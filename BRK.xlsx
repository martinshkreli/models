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E16EB25-A466-41DF-895C-DA766D7B65D5}" xr6:coauthVersionLast="47" xr6:coauthVersionMax="47" xr10:uidLastSave="{00000000-0000-0000-0000-000000000000}"/>
  <bookViews>
    <workbookView xWindow="49030" yWindow="2150" windowWidth="24340" windowHeight="15680" xr2:uid="{5F5DF802-5A85-4E14-9A3B-0D559800B44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D37" i="2"/>
  <c r="D31" i="2"/>
  <c r="D34" i="2"/>
  <c r="D32" i="2"/>
  <c r="D40" i="2" s="1"/>
  <c r="D43" i="2"/>
  <c r="D42" i="2"/>
  <c r="D48" i="2" s="1"/>
  <c r="K42" i="2"/>
  <c r="K6" i="1"/>
  <c r="K4" i="1"/>
  <c r="K5" i="1" s="1"/>
  <c r="K43" i="2"/>
  <c r="K48" i="2" s="1"/>
  <c r="K39" i="2"/>
  <c r="K37" i="2"/>
  <c r="K34" i="2"/>
  <c r="K31" i="2"/>
  <c r="K32" i="2"/>
  <c r="K12" i="2"/>
  <c r="J12" i="2"/>
  <c r="I12" i="2"/>
  <c r="K18" i="2"/>
  <c r="K26" i="2" s="1"/>
  <c r="K27" i="2" s="1"/>
  <c r="J18" i="2"/>
  <c r="J26" i="2" s="1"/>
  <c r="J27" i="2" s="1"/>
  <c r="I18" i="2"/>
  <c r="I26" i="2" s="1"/>
  <c r="K40" i="2" l="1"/>
  <c r="K8" i="1"/>
  <c r="I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tc={8FC0D6CF-269C-44FD-BDC8-40A0B27C38D4}</author>
    <author>tc={0038C80A-8825-4E95-9B72-6DDF6122769A}</author>
    <author>tc={12BE89E6-0277-4612-9839-C5F9ED9E035B}</author>
    <author>tc={F7DB9224-ABE9-4DE9-B29F-C65C33758B2F}</author>
    <author>tc={B2C25246-0FF8-4797-965E-9B1BAA943271}</author>
  </authors>
  <commentList>
    <comment ref="K5" authorId="0" shapeId="0" xr:uid="{8FC0D6CF-269C-44FD-BDC8-40A0B27C38D4}">
      <text>
        <t>[Threaded comment]
Your version of Excel allows you to read this threaded comment; however, any edits to it will get removed if the file is opened in a newer version of Excel. Learn more: https://go.microsoft.com/fwlink/?linkid=870924
Comment:
    PCC, Lubrizol, IMC, Marmon</t>
      </text>
    </comment>
    <comment ref="K6" authorId="1" shapeId="0" xr:uid="{0038C80A-8825-4E95-9B72-6DDF612276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Clayton Homes, Shaw (flooring), insulation, roofing</t>
      </text>
    </comment>
    <comment ref="K7" authorId="2" shapeId="0" xr:uid="{12BE89E6-0277-4612-9839-C5F9ED9E035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Forest River, Fruit of the Loom, Duracell</t>
      </text>
    </comment>
    <comment ref="K8" authorId="3" shapeId="0" xr:uid="{F7DB9224-ABE9-4DE9-B29F-C65C33758B2F}">
      <text>
        <t>[Threaded comment]
Your version of Excel allows you to read this threaded comment; however, any edits to it will get removed if the file is opened in a newer version of Excel. Learn more: https://go.microsoft.com/fwlink/?linkid=870924
Comment:
    NetJets, FlightSafety, TTI, Dairy Queen</t>
      </text>
    </comment>
    <comment ref="K9" authorId="4" shapeId="0" xr:uid="{B2C25246-0FF8-4797-965E-9B1BAA943271}">
      <text>
        <t>[Threaded comment]
Your version of Excel allows you to read this threaded comment; however, any edits to it will get removed if the file is opened in a newer version of Excel. Learn more: https://go.microsoft.com/fwlink/?linkid=870924
Comment:
    Berkshire Hathaway Automotive (69%) of revenue, a dealership, Nebraska Furniture Mart, Borsheim’s, See’s</t>
      </text>
    </comment>
  </commentList>
</comments>
</file>

<file path=xl/sharedStrings.xml><?xml version="1.0" encoding="utf-8"?>
<sst xmlns="http://schemas.openxmlformats.org/spreadsheetml/2006/main" count="61" uniqueCount="55">
  <si>
    <t>Shares</t>
  </si>
  <si>
    <t>MC</t>
  </si>
  <si>
    <t>Cash</t>
  </si>
  <si>
    <t>Debt</t>
  </si>
  <si>
    <t>EV</t>
  </si>
  <si>
    <t>Employees</t>
  </si>
  <si>
    <t>Insurance</t>
  </si>
  <si>
    <t>Burlington Northern Santa Fe</t>
  </si>
  <si>
    <t>Utilities &amp; Energy</t>
  </si>
  <si>
    <t>Manufacturing: Precision Castparts, Lubrizol, IMC, Marmon</t>
  </si>
  <si>
    <t>Price (A)</t>
  </si>
  <si>
    <t>Price (B)</t>
  </si>
  <si>
    <t>Main</t>
  </si>
  <si>
    <t>Underwriting</t>
  </si>
  <si>
    <t>Insurance Float</t>
  </si>
  <si>
    <t>BNSF</t>
  </si>
  <si>
    <t>BHE</t>
  </si>
  <si>
    <t>Manufacturing</t>
  </si>
  <si>
    <t>Non-control</t>
  </si>
  <si>
    <t>Investments</t>
  </si>
  <si>
    <t>Other</t>
  </si>
  <si>
    <t>Earnings</t>
  </si>
  <si>
    <t xml:space="preserve">  excl investments</t>
  </si>
  <si>
    <t xml:space="preserve">  Primary</t>
  </si>
  <si>
    <t xml:space="preserve">  GEICO</t>
  </si>
  <si>
    <t xml:space="preserve">  Reinsurance</t>
  </si>
  <si>
    <t xml:space="preserve">    Taxes</t>
  </si>
  <si>
    <t>Railroad revenue</t>
  </si>
  <si>
    <t>Energy Operating</t>
  </si>
  <si>
    <t>Industrial Products</t>
  </si>
  <si>
    <t>Building Products</t>
  </si>
  <si>
    <t>Consumer Products</t>
  </si>
  <si>
    <t>Service</t>
  </si>
  <si>
    <t>Retailing</t>
  </si>
  <si>
    <t>McLane</t>
  </si>
  <si>
    <t>Pilot/Flying J</t>
  </si>
  <si>
    <t>Revenue</t>
  </si>
  <si>
    <t>PP&amp;E</t>
  </si>
  <si>
    <t>Loans</t>
  </si>
  <si>
    <t>Assets</t>
  </si>
  <si>
    <t>Receivables</t>
  </si>
  <si>
    <t>Inventories</t>
  </si>
  <si>
    <t>Equipment</t>
  </si>
  <si>
    <t>Goodwill</t>
  </si>
  <si>
    <t>Retroactive Reinsurance</t>
  </si>
  <si>
    <t>AP</t>
  </si>
  <si>
    <t>Aircraft</t>
  </si>
  <si>
    <t>Taxes</t>
  </si>
  <si>
    <t>Regulatory</t>
  </si>
  <si>
    <t>SE</t>
  </si>
  <si>
    <t>L+SE</t>
  </si>
  <si>
    <t>Q225</t>
  </si>
  <si>
    <t>Q125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</si>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</sst>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1" fillId="0" borderId="0" xfId="0" applyNumberFormat="1" applyFon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CCE01F-6235-44BE-9C57-08FE0978C5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36DEFB89-B1BB-4F52-8F74-CB8110791D66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" dT="2025-03-12T19:38:50.81" personId="{36DEFB89-B1BB-4F52-8F74-CB8110791D66}" id="{8FC0D6CF-269C-44FD-BDC8-40A0B27C38D4}">
    <text>PCC, Lubrizol, IMC, Marmon</text>
  </threadedComment>
  <threadedComment ref="K6" dT="2025-03-12T19:39:24.56" personId="{36DEFB89-B1BB-4F52-8F74-CB8110791D66}" id="{0038C80A-8825-4E95-9B72-6DDF6122769A}">
    <text>Clayton Homes, Shaw (flooring), insulation, roofing</text>
  </threadedComment>
  <threadedComment ref="K7" dT="2025-03-12T19:40:02.80" personId="{36DEFB89-B1BB-4F52-8F74-CB8110791D66}" id="{12BE89E6-0277-4612-9839-C5F9ED9E035B}">
    <text>Forest River, Fruit of the Loom, Duracell</text>
  </threadedComment>
  <threadedComment ref="K8" dT="2025-03-12T19:40:48.83" personId="{36DEFB89-B1BB-4F52-8F74-CB8110791D66}" id="{F7DB9224-ABE9-4DE9-B29F-C65C33758B2F}">
    <text>NetJets, FlightSafety, TTI, Dairy Queen</text>
  </threadedComment>
  <threadedComment ref="K9" dT="2025-03-12T19:42:27.11" personId="{36DEFB89-B1BB-4F52-8F74-CB8110791D66}" id="{B2C25246-0FF8-4797-965E-9B1BAA943271}">
    <text>Berkshire Hathaway Automotive (69%) of revenue, a dealership, Nebraska Furniture Mart, Borsheim’s, See’s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5F68-7343-414B-BF71-41A4482A9714}">
  <dimension ref="B2:L10"/>
  <sheetViews>
    <sheetView tabSelected="1" zoomScale="130" zoomScaleNormal="130" workbookViewId="0">
      <selection activeCell="K4" sqref="K4"/>
    </sheetView>
  </sheetViews>
  <sheetFormatPr defaultRowHeight="12.5" x14ac:dyDescent="0.25"/>
  <cols>
    <col min="1" max="1" width="3.1796875" customWidth="1"/>
    <col min="2" max="2" width="13.453125" customWidth="1"/>
    <col min="10" max="10" width="12.453125" customWidth="1"/>
    <col min="11" max="11" width="10.453125" bestFit="1" customWidth="1"/>
  </cols>
  <sheetData>
    <row r="2" spans="2:12" x14ac:dyDescent="0.25">
      <c r="B2" t="s">
        <v>6</v>
      </c>
      <c r="J2" t="s">
        <v>10</v>
      </c>
      <c r="K2" s="1">
        <v>715645</v>
      </c>
    </row>
    <row r="3" spans="2:12" x14ac:dyDescent="0.25">
      <c r="B3" t="s">
        <v>7</v>
      </c>
      <c r="J3" t="s">
        <v>11</v>
      </c>
      <c r="K3">
        <v>492.18</v>
      </c>
    </row>
    <row r="4" spans="2:12" x14ac:dyDescent="0.25">
      <c r="B4" t="s">
        <v>8</v>
      </c>
      <c r="J4" t="s">
        <v>0</v>
      </c>
      <c r="K4" s="2">
        <f>0.519193+(1378.545639/1500)</f>
        <v>1.438223426</v>
      </c>
      <c r="L4" s="3" t="s">
        <v>51</v>
      </c>
    </row>
    <row r="5" spans="2:12" x14ac:dyDescent="0.25">
      <c r="B5" t="s">
        <v>9</v>
      </c>
      <c r="J5" t="s">
        <v>1</v>
      </c>
      <c r="K5" s="1">
        <f>+K2*K4</f>
        <v>1029257.40369977</v>
      </c>
    </row>
    <row r="6" spans="2:12" x14ac:dyDescent="0.25">
      <c r="J6" t="s">
        <v>2</v>
      </c>
      <c r="K6" s="1">
        <f>96193+243605+15084+267923+25323+4293</f>
        <v>652421</v>
      </c>
      <c r="L6" s="3" t="s">
        <v>51</v>
      </c>
    </row>
    <row r="7" spans="2:12" x14ac:dyDescent="0.25">
      <c r="J7" t="s">
        <v>3</v>
      </c>
      <c r="K7" s="1">
        <v>338454</v>
      </c>
      <c r="L7" s="3" t="s">
        <v>51</v>
      </c>
    </row>
    <row r="8" spans="2:12" x14ac:dyDescent="0.25">
      <c r="J8" t="s">
        <v>4</v>
      </c>
      <c r="K8" s="1">
        <f>+K5-K6+K7</f>
        <v>715290.40369976999</v>
      </c>
    </row>
    <row r="10" spans="2:12" x14ac:dyDescent="0.25">
      <c r="J10" t="s">
        <v>5</v>
      </c>
      <c r="K10" s="1">
        <v>372000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065D-B1E2-4A1D-AA03-3C34E2EC4704}">
  <dimension ref="A1:K48"/>
  <sheetViews>
    <sheetView zoomScale="160" zoomScaleNormal="160" workbookViewId="0">
      <pane xSplit="2" ySplit="2" topLeftCell="C29" activePane="bottomRight" state="frozen"/>
      <selection pane="topRight" activeCell="C1" sqref="C1"/>
      <selection pane="bottomLeft" activeCell="A3" sqref="A3"/>
      <selection pane="bottomRight" activeCell="D48" sqref="D48"/>
    </sheetView>
  </sheetViews>
  <sheetFormatPr defaultRowHeight="12.5" x14ac:dyDescent="0.25"/>
  <cols>
    <col min="1" max="1" width="5" bestFit="1" customWidth="1"/>
    <col min="2" max="2" width="18.1796875" customWidth="1"/>
    <col min="3" max="6" width="9.54296875" style="3" customWidth="1"/>
    <col min="7" max="11" width="9.54296875" customWidth="1"/>
  </cols>
  <sheetData>
    <row r="1" spans="1:11" x14ac:dyDescent="0.25">
      <c r="A1" t="s">
        <v>12</v>
      </c>
    </row>
    <row r="2" spans="1:11" x14ac:dyDescent="0.25">
      <c r="C2" s="3" t="s">
        <v>52</v>
      </c>
      <c r="D2" s="3" t="s">
        <v>51</v>
      </c>
      <c r="E2" s="3" t="s">
        <v>53</v>
      </c>
      <c r="F2" s="3" t="s">
        <v>54</v>
      </c>
      <c r="I2">
        <v>2022</v>
      </c>
      <c r="J2">
        <v>2023</v>
      </c>
      <c r="K2">
        <v>2024</v>
      </c>
    </row>
    <row r="3" spans="1:11" s="1" customFormat="1" x14ac:dyDescent="0.25">
      <c r="B3" s="1" t="s">
        <v>27</v>
      </c>
      <c r="C3" s="6"/>
      <c r="D3" s="6"/>
      <c r="E3" s="6"/>
      <c r="F3" s="6"/>
      <c r="I3" s="1">
        <v>25203</v>
      </c>
      <c r="J3" s="1">
        <v>23474</v>
      </c>
      <c r="K3" s="1">
        <v>23355</v>
      </c>
    </row>
    <row r="4" spans="1:11" s="1" customFormat="1" x14ac:dyDescent="0.25">
      <c r="B4" s="1" t="s">
        <v>28</v>
      </c>
      <c r="C4" s="6"/>
      <c r="D4" s="6"/>
      <c r="E4" s="6"/>
      <c r="F4" s="6"/>
      <c r="I4" s="1">
        <v>21069</v>
      </c>
      <c r="J4" s="1">
        <v>21280</v>
      </c>
      <c r="K4" s="1">
        <v>21566</v>
      </c>
    </row>
    <row r="5" spans="1:11" s="1" customFormat="1" x14ac:dyDescent="0.25">
      <c r="B5" s="1" t="s">
        <v>29</v>
      </c>
      <c r="C5" s="6"/>
      <c r="D5" s="6"/>
      <c r="E5" s="6"/>
      <c r="F5" s="6"/>
      <c r="I5" s="1">
        <v>30824</v>
      </c>
      <c r="J5" s="1">
        <v>34884</v>
      </c>
      <c r="K5" s="1">
        <v>35833</v>
      </c>
    </row>
    <row r="6" spans="1:11" s="1" customFormat="1" x14ac:dyDescent="0.25">
      <c r="B6" s="1" t="s">
        <v>30</v>
      </c>
      <c r="C6" s="6"/>
      <c r="D6" s="6"/>
      <c r="E6" s="6"/>
      <c r="F6" s="6"/>
      <c r="I6" s="1">
        <v>28896</v>
      </c>
      <c r="J6" s="1">
        <v>25965</v>
      </c>
      <c r="K6" s="1">
        <v>26525</v>
      </c>
    </row>
    <row r="7" spans="1:11" s="1" customFormat="1" x14ac:dyDescent="0.25">
      <c r="B7" s="1" t="s">
        <v>31</v>
      </c>
      <c r="C7" s="6"/>
      <c r="D7" s="6"/>
      <c r="E7" s="6"/>
      <c r="F7" s="6"/>
      <c r="I7" s="1">
        <v>16061</v>
      </c>
      <c r="J7" s="1">
        <v>14556</v>
      </c>
      <c r="K7" s="1">
        <v>14873</v>
      </c>
    </row>
    <row r="8" spans="1:11" s="1" customFormat="1" x14ac:dyDescent="0.25">
      <c r="B8" s="1" t="s">
        <v>32</v>
      </c>
      <c r="C8" s="6"/>
      <c r="D8" s="6"/>
      <c r="E8" s="6"/>
      <c r="F8" s="6"/>
      <c r="I8" s="1">
        <v>19006</v>
      </c>
      <c r="J8" s="1">
        <v>20588</v>
      </c>
      <c r="K8" s="1">
        <v>20697</v>
      </c>
    </row>
    <row r="9" spans="1:11" s="1" customFormat="1" x14ac:dyDescent="0.25">
      <c r="B9" s="1" t="s">
        <v>33</v>
      </c>
      <c r="C9" s="6"/>
      <c r="D9" s="6"/>
      <c r="E9" s="6"/>
      <c r="F9" s="6"/>
      <c r="I9" s="1">
        <v>19297</v>
      </c>
      <c r="J9" s="1">
        <v>19408</v>
      </c>
      <c r="K9" s="1">
        <v>19177</v>
      </c>
    </row>
    <row r="10" spans="1:11" s="1" customFormat="1" x14ac:dyDescent="0.25">
      <c r="B10" s="1" t="s">
        <v>35</v>
      </c>
      <c r="C10" s="6"/>
      <c r="D10" s="6"/>
      <c r="E10" s="6"/>
      <c r="F10" s="6"/>
      <c r="I10" s="1">
        <v>0</v>
      </c>
      <c r="J10" s="1">
        <v>51739</v>
      </c>
      <c r="K10" s="1">
        <v>46891</v>
      </c>
    </row>
    <row r="11" spans="1:11" s="1" customFormat="1" x14ac:dyDescent="0.25">
      <c r="B11" s="1" t="s">
        <v>34</v>
      </c>
      <c r="C11" s="6"/>
      <c r="D11" s="6"/>
      <c r="E11" s="6"/>
      <c r="F11" s="6"/>
      <c r="I11" s="1">
        <v>53209</v>
      </c>
      <c r="J11" s="1">
        <v>52607</v>
      </c>
      <c r="K11" s="1">
        <v>51907</v>
      </c>
    </row>
    <row r="12" spans="1:11" s="5" customFormat="1" ht="13" x14ac:dyDescent="0.3">
      <c r="B12" s="5" t="s">
        <v>36</v>
      </c>
      <c r="C12" s="7"/>
      <c r="D12" s="7"/>
      <c r="E12" s="7"/>
      <c r="F12" s="7"/>
      <c r="I12" s="5">
        <f>SUM(I3:I11)</f>
        <v>213565</v>
      </c>
      <c r="J12" s="5">
        <f>SUM(J3:J11)</f>
        <v>264501</v>
      </c>
      <c r="K12" s="5">
        <f>SUM(K3:K11)</f>
        <v>260824</v>
      </c>
    </row>
    <row r="14" spans="1:11" x14ac:dyDescent="0.25">
      <c r="B14" t="s">
        <v>24</v>
      </c>
      <c r="C14" s="6"/>
      <c r="D14" s="6"/>
      <c r="E14" s="6"/>
      <c r="F14" s="6"/>
      <c r="G14" s="1"/>
      <c r="H14" s="1"/>
      <c r="I14" s="1">
        <v>-1880</v>
      </c>
      <c r="J14" s="1">
        <v>3635</v>
      </c>
      <c r="K14" s="1">
        <v>7813</v>
      </c>
    </row>
    <row r="15" spans="1:11" x14ac:dyDescent="0.25">
      <c r="B15" t="s">
        <v>23</v>
      </c>
      <c r="C15" s="6"/>
      <c r="D15" s="6"/>
      <c r="E15" s="6"/>
      <c r="F15" s="6"/>
      <c r="G15" s="1"/>
      <c r="H15" s="1"/>
      <c r="I15" s="1">
        <v>393</v>
      </c>
      <c r="J15" s="1">
        <v>1374</v>
      </c>
      <c r="K15" s="1">
        <v>855</v>
      </c>
    </row>
    <row r="16" spans="1:11" x14ac:dyDescent="0.25">
      <c r="B16" t="s">
        <v>25</v>
      </c>
      <c r="C16" s="6"/>
      <c r="D16" s="6"/>
      <c r="E16" s="6"/>
      <c r="F16" s="6"/>
      <c r="G16" s="1"/>
      <c r="H16" s="1"/>
      <c r="I16" s="1">
        <v>1465</v>
      </c>
      <c r="J16" s="1">
        <v>1904</v>
      </c>
      <c r="K16" s="1">
        <v>2737</v>
      </c>
    </row>
    <row r="17" spans="2:11" x14ac:dyDescent="0.25">
      <c r="B17" t="s">
        <v>26</v>
      </c>
      <c r="C17" s="6"/>
      <c r="D17" s="6"/>
      <c r="E17" s="6"/>
      <c r="F17" s="6"/>
      <c r="G17" s="1"/>
      <c r="H17" s="1"/>
      <c r="I17" s="1">
        <v>8</v>
      </c>
      <c r="J17" s="1">
        <v>1485</v>
      </c>
      <c r="K17" s="1">
        <v>2385</v>
      </c>
    </row>
    <row r="18" spans="2:11" s="5" customFormat="1" ht="13" x14ac:dyDescent="0.3">
      <c r="B18" s="5" t="s">
        <v>13</v>
      </c>
      <c r="C18" s="7"/>
      <c r="D18" s="7"/>
      <c r="E18" s="7"/>
      <c r="F18" s="7"/>
      <c r="I18" s="5">
        <f>+I14+I15+I16-I17</f>
        <v>-30</v>
      </c>
      <c r="J18" s="5">
        <f>+J14+J15+J16-J17</f>
        <v>5428</v>
      </c>
      <c r="K18" s="5">
        <f>+K14+K15+K16-K17</f>
        <v>9020</v>
      </c>
    </row>
    <row r="19" spans="2:11" s="1" customFormat="1" x14ac:dyDescent="0.25">
      <c r="B19" s="1" t="s">
        <v>14</v>
      </c>
      <c r="C19" s="6"/>
      <c r="D19" s="6"/>
      <c r="E19" s="6"/>
      <c r="F19" s="6"/>
      <c r="I19" s="1">
        <v>6484</v>
      </c>
      <c r="J19" s="1">
        <v>9567</v>
      </c>
      <c r="K19" s="1">
        <v>13670</v>
      </c>
    </row>
    <row r="20" spans="2:11" s="1" customFormat="1" x14ac:dyDescent="0.25">
      <c r="B20" s="1" t="s">
        <v>15</v>
      </c>
      <c r="C20" s="6"/>
      <c r="D20" s="6"/>
      <c r="E20" s="6"/>
      <c r="F20" s="6"/>
      <c r="I20" s="1">
        <v>5946</v>
      </c>
      <c r="J20" s="1">
        <v>5087</v>
      </c>
      <c r="K20" s="1">
        <v>5031</v>
      </c>
    </row>
    <row r="21" spans="2:11" x14ac:dyDescent="0.25">
      <c r="B21" s="1" t="s">
        <v>16</v>
      </c>
      <c r="C21" s="6"/>
      <c r="D21" s="6"/>
      <c r="E21" s="6"/>
      <c r="F21" s="6"/>
      <c r="G21" s="1"/>
      <c r="H21" s="1"/>
      <c r="I21" s="1">
        <v>3904</v>
      </c>
      <c r="J21" s="1">
        <v>2331</v>
      </c>
      <c r="K21" s="1">
        <v>3730</v>
      </c>
    </row>
    <row r="22" spans="2:11" x14ac:dyDescent="0.25">
      <c r="B22" s="1" t="s">
        <v>17</v>
      </c>
      <c r="C22" s="6"/>
      <c r="D22" s="6"/>
      <c r="E22" s="6"/>
      <c r="F22" s="6"/>
      <c r="G22" s="1"/>
      <c r="H22" s="1"/>
      <c r="I22" s="1">
        <v>12512</v>
      </c>
      <c r="J22" s="1">
        <v>13362</v>
      </c>
      <c r="K22" s="1">
        <v>13072</v>
      </c>
    </row>
    <row r="23" spans="2:11" x14ac:dyDescent="0.25">
      <c r="B23" s="1" t="s">
        <v>18</v>
      </c>
      <c r="C23" s="6"/>
      <c r="D23" s="6"/>
      <c r="E23" s="6"/>
      <c r="F23" s="6"/>
      <c r="G23" s="1"/>
      <c r="H23" s="1"/>
      <c r="I23" s="1">
        <v>1528</v>
      </c>
      <c r="J23" s="1">
        <v>1750</v>
      </c>
      <c r="K23" s="1">
        <v>1519</v>
      </c>
    </row>
    <row r="24" spans="2:11" x14ac:dyDescent="0.25">
      <c r="B24" s="1" t="s">
        <v>19</v>
      </c>
      <c r="C24" s="6"/>
      <c r="D24" s="6"/>
      <c r="E24" s="6"/>
      <c r="F24" s="6"/>
      <c r="G24" s="1"/>
      <c r="H24" s="1"/>
      <c r="I24" s="1">
        <v>-53612</v>
      </c>
      <c r="J24" s="1">
        <v>58873</v>
      </c>
      <c r="K24" s="1">
        <v>41558</v>
      </c>
    </row>
    <row r="25" spans="2:11" x14ac:dyDescent="0.25">
      <c r="B25" s="1" t="s">
        <v>20</v>
      </c>
      <c r="C25" s="6"/>
      <c r="D25" s="6"/>
      <c r="E25" s="6"/>
      <c r="F25" s="6"/>
      <c r="G25" s="1"/>
      <c r="H25" s="1"/>
      <c r="I25" s="1">
        <v>509</v>
      </c>
      <c r="J25" s="1">
        <v>-175</v>
      </c>
      <c r="K25" s="1">
        <v>1395</v>
      </c>
    </row>
    <row r="26" spans="2:11" s="4" customFormat="1" ht="13" x14ac:dyDescent="0.3">
      <c r="B26" s="5" t="s">
        <v>21</v>
      </c>
      <c r="C26" s="7"/>
      <c r="D26" s="7"/>
      <c r="E26" s="7"/>
      <c r="F26" s="7"/>
      <c r="G26" s="5"/>
      <c r="H26" s="5"/>
      <c r="I26" s="5">
        <f>SUM(I18:I25)</f>
        <v>-22759</v>
      </c>
      <c r="J26" s="5">
        <f>SUM(J18:J25)</f>
        <v>96223</v>
      </c>
      <c r="K26" s="5">
        <f>SUM(K18:K25)</f>
        <v>88995</v>
      </c>
    </row>
    <row r="27" spans="2:11" x14ac:dyDescent="0.25">
      <c r="B27" s="1" t="s">
        <v>22</v>
      </c>
      <c r="C27" s="6"/>
      <c r="D27" s="6"/>
      <c r="E27" s="6"/>
      <c r="F27" s="6"/>
      <c r="G27" s="1"/>
      <c r="H27" s="1"/>
      <c r="I27" s="1">
        <f>+I26-I24</f>
        <v>30853</v>
      </c>
      <c r="J27" s="1">
        <f>+J26-J24</f>
        <v>37350</v>
      </c>
      <c r="K27" s="1">
        <f>+K26-K24</f>
        <v>47437</v>
      </c>
    </row>
    <row r="31" spans="2:11" s="1" customFormat="1" x14ac:dyDescent="0.25">
      <c r="B31" s="1" t="s">
        <v>2</v>
      </c>
      <c r="C31" s="6"/>
      <c r="D31" s="6">
        <f>96193+243605+15084+267923+25323+4293</f>
        <v>652421</v>
      </c>
      <c r="E31" s="6"/>
      <c r="F31" s="6"/>
      <c r="K31" s="1">
        <f>44333+286472+15364+271588+31134+3396</f>
        <v>652287</v>
      </c>
    </row>
    <row r="32" spans="2:11" s="1" customFormat="1" x14ac:dyDescent="0.25">
      <c r="B32" s="1" t="s">
        <v>37</v>
      </c>
      <c r="C32" s="6"/>
      <c r="D32" s="6">
        <f>30374+179366</f>
        <v>209740</v>
      </c>
      <c r="E32" s="6"/>
      <c r="F32" s="6"/>
      <c r="K32" s="1">
        <f>30071+175030</f>
        <v>205101</v>
      </c>
    </row>
    <row r="33" spans="2:11" s="1" customFormat="1" x14ac:dyDescent="0.25">
      <c r="B33" s="1" t="s">
        <v>38</v>
      </c>
      <c r="C33" s="6"/>
      <c r="D33" s="6">
        <v>28722</v>
      </c>
      <c r="E33" s="6"/>
      <c r="F33" s="6"/>
      <c r="K33" s="1">
        <v>27798</v>
      </c>
    </row>
    <row r="34" spans="2:11" s="1" customFormat="1" x14ac:dyDescent="0.25">
      <c r="B34" s="1" t="s">
        <v>40</v>
      </c>
      <c r="C34" s="6"/>
      <c r="D34" s="6">
        <f>47473+4323</f>
        <v>51796</v>
      </c>
      <c r="E34" s="6"/>
      <c r="F34" s="6"/>
      <c r="K34" s="1">
        <f>43887+4503</f>
        <v>48390</v>
      </c>
    </row>
    <row r="35" spans="2:11" s="1" customFormat="1" x14ac:dyDescent="0.25">
      <c r="B35" s="1" t="s">
        <v>41</v>
      </c>
      <c r="C35" s="6"/>
      <c r="D35" s="6">
        <v>24371</v>
      </c>
      <c r="E35" s="6"/>
      <c r="F35" s="6"/>
      <c r="K35" s="1">
        <v>24008</v>
      </c>
    </row>
    <row r="36" spans="2:11" s="1" customFormat="1" x14ac:dyDescent="0.25">
      <c r="B36" s="1" t="s">
        <v>42</v>
      </c>
      <c r="C36" s="6"/>
      <c r="D36" s="6">
        <v>18123</v>
      </c>
      <c r="E36" s="6"/>
      <c r="F36" s="6"/>
      <c r="K36" s="1">
        <v>17828</v>
      </c>
    </row>
    <row r="37" spans="2:11" s="1" customFormat="1" x14ac:dyDescent="0.25">
      <c r="B37" s="1" t="s">
        <v>43</v>
      </c>
      <c r="C37" s="6"/>
      <c r="D37" s="6">
        <f>57096+34079+27155</f>
        <v>118330</v>
      </c>
      <c r="E37" s="6"/>
      <c r="F37" s="6"/>
      <c r="K37" s="1">
        <f>56860+34638+27020</f>
        <v>118518</v>
      </c>
    </row>
    <row r="38" spans="2:11" s="1" customFormat="1" x14ac:dyDescent="0.25">
      <c r="B38" s="1" t="s">
        <v>44</v>
      </c>
      <c r="C38" s="6"/>
      <c r="D38" s="6">
        <v>8474</v>
      </c>
      <c r="E38" s="6"/>
      <c r="F38" s="6"/>
      <c r="K38" s="1">
        <v>8797</v>
      </c>
    </row>
    <row r="39" spans="2:11" s="1" customFormat="1" x14ac:dyDescent="0.25">
      <c r="B39" s="1" t="s">
        <v>20</v>
      </c>
      <c r="C39" s="6"/>
      <c r="D39" s="6">
        <f>25699+21051+5241</f>
        <v>51991</v>
      </c>
      <c r="E39" s="6"/>
      <c r="F39" s="6"/>
      <c r="K39" s="1">
        <f>20811+24994+5349</f>
        <v>51154</v>
      </c>
    </row>
    <row r="40" spans="2:11" s="1" customFormat="1" x14ac:dyDescent="0.25">
      <c r="B40" s="1" t="s">
        <v>39</v>
      </c>
      <c r="C40" s="6"/>
      <c r="D40" s="6">
        <f>SUM(D31:D39)</f>
        <v>1163968</v>
      </c>
      <c r="E40" s="6"/>
      <c r="F40" s="6"/>
      <c r="K40" s="1">
        <f>SUM(K31:K39)</f>
        <v>1153881</v>
      </c>
    </row>
    <row r="42" spans="2:11" s="1" customFormat="1" x14ac:dyDescent="0.25">
      <c r="B42" s="1" t="s">
        <v>3</v>
      </c>
      <c r="C42" s="6"/>
      <c r="D42" s="6">
        <f>118788+31733+32414+17865+10634+45040+81980</f>
        <v>338454</v>
      </c>
      <c r="E42" s="6"/>
      <c r="F42" s="6"/>
      <c r="K42" s="1">
        <f>115151+32443+17616+10703+12769+79877+44885+30808</f>
        <v>344252</v>
      </c>
    </row>
    <row r="43" spans="2:11" s="1" customFormat="1" x14ac:dyDescent="0.25">
      <c r="B43" s="1" t="s">
        <v>45</v>
      </c>
      <c r="C43" s="6"/>
      <c r="D43" s="6">
        <f>36988+18382</f>
        <v>55370</v>
      </c>
      <c r="E43" s="6"/>
      <c r="F43" s="6"/>
      <c r="K43" s="1">
        <f>18226+37489</f>
        <v>55715</v>
      </c>
    </row>
    <row r="44" spans="2:11" s="1" customFormat="1" x14ac:dyDescent="0.25">
      <c r="B44" s="1" t="s">
        <v>46</v>
      </c>
      <c r="C44" s="6"/>
      <c r="D44" s="6">
        <v>9747</v>
      </c>
      <c r="E44" s="6"/>
      <c r="F44" s="6"/>
      <c r="K44" s="1">
        <v>9356</v>
      </c>
    </row>
    <row r="45" spans="2:11" s="1" customFormat="1" x14ac:dyDescent="0.25">
      <c r="B45" s="1" t="s">
        <v>47</v>
      </c>
      <c r="C45" s="6"/>
      <c r="D45" s="6">
        <v>82991</v>
      </c>
      <c r="E45" s="6"/>
      <c r="F45" s="6"/>
      <c r="K45" s="1">
        <v>85870</v>
      </c>
    </row>
    <row r="46" spans="2:11" s="1" customFormat="1" x14ac:dyDescent="0.25">
      <c r="B46" s="1" t="s">
        <v>48</v>
      </c>
      <c r="C46" s="6"/>
      <c r="D46" s="6">
        <v>7130</v>
      </c>
      <c r="E46" s="6"/>
      <c r="F46" s="6"/>
      <c r="K46" s="1">
        <v>7033</v>
      </c>
    </row>
    <row r="47" spans="2:11" s="1" customFormat="1" x14ac:dyDescent="0.25">
      <c r="B47" s="1" t="s">
        <v>49</v>
      </c>
      <c r="C47" s="6"/>
      <c r="D47" s="6">
        <v>670276</v>
      </c>
      <c r="E47" s="6"/>
      <c r="F47" s="6"/>
      <c r="K47" s="1">
        <v>651655</v>
      </c>
    </row>
    <row r="48" spans="2:11" s="1" customFormat="1" x14ac:dyDescent="0.25">
      <c r="B48" s="1" t="s">
        <v>50</v>
      </c>
      <c r="C48" s="6"/>
      <c r="D48" s="1">
        <f>SUM(D42:D47)</f>
        <v>1163968</v>
      </c>
      <c r="E48" s="6"/>
      <c r="F48" s="6"/>
      <c r="K48" s="1">
        <f>SUM(K42:K47)</f>
        <v>1153881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2023-02-07T21:31:30Z</dcterms:created>
  <dcterms:modified xsi:type="dcterms:W3CDTF">2025-10-30T14:03:13Z</dcterms:modified>
</cp:coreProperties>
</file>