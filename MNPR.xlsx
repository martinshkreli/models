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D3F4D818-BA4D-452F-81B3-6C1F1E95E526}" xr6:coauthVersionLast="47" xr6:coauthVersionMax="47" xr10:uidLastSave="{00000000-0000-0000-0000-000000000000}"/>
  <bookViews>
    <workbookView xWindow="39270" yWindow="5890" windowWidth="22990" windowHeight="14710" activeTab="1" xr2:uid="{E0F9B4FF-09D5-4794-A32F-9014F757C863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2" l="1"/>
  <c r="J7" i="2"/>
  <c r="I7" i="2"/>
  <c r="H7" i="2"/>
  <c r="G7" i="2"/>
  <c r="F7" i="2"/>
  <c r="E7" i="2"/>
  <c r="D7" i="2"/>
  <c r="C7" i="2"/>
  <c r="I5" i="2"/>
  <c r="H5" i="2"/>
  <c r="G5" i="2"/>
  <c r="F5" i="2"/>
  <c r="E5" i="2"/>
  <c r="D5" i="2"/>
  <c r="C5" i="2"/>
  <c r="J5" i="2"/>
  <c r="O2" i="2"/>
  <c r="N2" i="2"/>
  <c r="M2" i="2"/>
  <c r="L2" i="2"/>
  <c r="K2" i="2"/>
  <c r="J2" i="2"/>
  <c r="I2" i="2"/>
  <c r="H2" i="2"/>
  <c r="G2" i="2"/>
  <c r="F2" i="2"/>
  <c r="E2" i="2"/>
  <c r="D2" i="2"/>
  <c r="L4" i="1" l="1"/>
  <c r="L7" i="1" s="1"/>
</calcChain>
</file>

<file path=xl/sharedStrings.xml><?xml version="1.0" encoding="utf-8"?>
<sst xmlns="http://schemas.openxmlformats.org/spreadsheetml/2006/main" count="24" uniqueCount="21">
  <si>
    <t>Price</t>
  </si>
  <si>
    <t>Shares</t>
  </si>
  <si>
    <t>MC</t>
  </si>
  <si>
    <t>Cash</t>
  </si>
  <si>
    <t>Debt</t>
  </si>
  <si>
    <t>EV</t>
  </si>
  <si>
    <t>Name</t>
  </si>
  <si>
    <t>ALXN1840</t>
  </si>
  <si>
    <t>Generic</t>
  </si>
  <si>
    <t>tetrathiomolybdate</t>
  </si>
  <si>
    <t>Indication</t>
  </si>
  <si>
    <t>Wilson's</t>
  </si>
  <si>
    <t>Phase</t>
  </si>
  <si>
    <t>Filing NDA Early 2026</t>
  </si>
  <si>
    <t>Q225</t>
  </si>
  <si>
    <t>Main</t>
  </si>
  <si>
    <t>Patients</t>
  </si>
  <si>
    <t>Revenue</t>
  </si>
  <si>
    <t>OpEx</t>
  </si>
  <si>
    <t>Net</t>
  </si>
  <si>
    <t>NPV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</si>
</sst>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F925A42D-506B-4327-920F-7780C6A79FE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7903C-9214-44AA-9B09-BBAEABCBDE8F}">
  <dimension ref="B2:M7"/>
  <sheetViews>
    <sheetView zoomScale="145" zoomScaleNormal="145" workbookViewId="0">
      <selection activeCell="M6" sqref="M6"/>
    </sheetView>
  </sheetViews>
  <sheetFormatPr defaultRowHeight="12.5" x14ac:dyDescent="0.25"/>
  <cols>
    <col min="2" max="2" width="9.453125" bestFit="1" customWidth="1"/>
  </cols>
  <sheetData>
    <row r="2" spans="2:13" x14ac:dyDescent="0.25">
      <c r="B2" t="s">
        <v>6</v>
      </c>
      <c r="C2" t="s">
        <v>8</v>
      </c>
      <c r="D2" t="s">
        <v>10</v>
      </c>
      <c r="E2" t="s">
        <v>12</v>
      </c>
      <c r="K2" t="s">
        <v>0</v>
      </c>
      <c r="L2" s="1">
        <v>100</v>
      </c>
    </row>
    <row r="3" spans="2:13" x14ac:dyDescent="0.25">
      <c r="B3" s="4" t="s">
        <v>7</v>
      </c>
      <c r="C3" t="s">
        <v>9</v>
      </c>
      <c r="D3" t="s">
        <v>11</v>
      </c>
      <c r="E3" t="s">
        <v>13</v>
      </c>
      <c r="K3" t="s">
        <v>1</v>
      </c>
      <c r="L3" s="2">
        <v>6.1689999999999996</v>
      </c>
      <c r="M3" s="3" t="s">
        <v>14</v>
      </c>
    </row>
    <row r="4" spans="2:13" x14ac:dyDescent="0.25">
      <c r="K4" t="s">
        <v>2</v>
      </c>
      <c r="L4" s="2">
        <f>+L2*L3</f>
        <v>616.9</v>
      </c>
    </row>
    <row r="5" spans="2:13" x14ac:dyDescent="0.25">
      <c r="K5" t="s">
        <v>3</v>
      </c>
      <c r="L5" s="2">
        <v>53.3</v>
      </c>
      <c r="M5" s="3" t="s">
        <v>14</v>
      </c>
    </row>
    <row r="6" spans="2:13" x14ac:dyDescent="0.25">
      <c r="K6" t="s">
        <v>4</v>
      </c>
      <c r="L6" s="2">
        <v>0</v>
      </c>
      <c r="M6" s="3" t="s">
        <v>14</v>
      </c>
    </row>
    <row r="7" spans="2:13" x14ac:dyDescent="0.25">
      <c r="K7" t="s">
        <v>5</v>
      </c>
      <c r="L7" s="2">
        <f>+L4-L5+L6</f>
        <v>563.6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A4DB8-8418-4A63-8A7F-2B8D466B7D64}">
  <dimension ref="A1:O10"/>
  <sheetViews>
    <sheetView tabSelected="1" zoomScale="190" zoomScaleNormal="190" workbookViewId="0">
      <selection activeCell="C4" sqref="C4"/>
    </sheetView>
  </sheetViews>
  <sheetFormatPr defaultRowHeight="12.5" x14ac:dyDescent="0.25"/>
  <cols>
    <col min="1" max="1" width="4.7265625" bestFit="1" customWidth="1"/>
  </cols>
  <sheetData>
    <row r="1" spans="1:15" x14ac:dyDescent="0.25">
      <c r="A1" s="5" t="s">
        <v>15</v>
      </c>
    </row>
    <row r="2" spans="1:15" x14ac:dyDescent="0.25">
      <c r="C2">
        <v>2025</v>
      </c>
      <c r="D2">
        <f>+C2+1</f>
        <v>2026</v>
      </c>
      <c r="E2">
        <f>+D2+1</f>
        <v>2027</v>
      </c>
      <c r="F2">
        <f>+E2+1</f>
        <v>2028</v>
      </c>
      <c r="G2">
        <f>+F2+1</f>
        <v>2029</v>
      </c>
      <c r="H2">
        <f>+G2+1</f>
        <v>2030</v>
      </c>
      <c r="I2">
        <f>+H2+1</f>
        <v>2031</v>
      </c>
      <c r="J2">
        <f>+I2+1</f>
        <v>2032</v>
      </c>
      <c r="K2">
        <f>+J2+1</f>
        <v>2033</v>
      </c>
      <c r="L2">
        <f>+K2+1</f>
        <v>2034</v>
      </c>
      <c r="M2">
        <f>+L2+1</f>
        <v>2035</v>
      </c>
      <c r="N2">
        <f>+M2+1</f>
        <v>2036</v>
      </c>
      <c r="O2">
        <f>+N2+1</f>
        <v>2037</v>
      </c>
    </row>
    <row r="3" spans="1:15" x14ac:dyDescent="0.25">
      <c r="B3" s="2" t="s">
        <v>16</v>
      </c>
      <c r="C3" s="2">
        <v>0</v>
      </c>
      <c r="D3" s="2">
        <v>25</v>
      </c>
      <c r="E3" s="2">
        <v>150</v>
      </c>
      <c r="F3" s="2">
        <v>300</v>
      </c>
      <c r="G3" s="2">
        <v>350</v>
      </c>
      <c r="H3" s="2">
        <v>400</v>
      </c>
      <c r="I3" s="2">
        <v>450</v>
      </c>
      <c r="J3" s="2">
        <v>500</v>
      </c>
      <c r="K3" s="2"/>
      <c r="L3" s="2"/>
      <c r="M3" s="2"/>
      <c r="N3" s="2"/>
      <c r="O3" s="2"/>
    </row>
    <row r="4" spans="1:15" x14ac:dyDescent="0.25">
      <c r="B4" t="s">
        <v>0</v>
      </c>
      <c r="C4">
        <v>0.15</v>
      </c>
      <c r="D4">
        <v>0.15</v>
      </c>
      <c r="E4">
        <v>0.15</v>
      </c>
      <c r="F4">
        <v>0.15</v>
      </c>
      <c r="G4">
        <v>0.15</v>
      </c>
      <c r="H4">
        <v>0.15</v>
      </c>
      <c r="I4">
        <v>0.15</v>
      </c>
      <c r="J4">
        <v>0.15</v>
      </c>
    </row>
    <row r="5" spans="1:15" x14ac:dyDescent="0.25">
      <c r="B5" s="2" t="s">
        <v>17</v>
      </c>
      <c r="C5" s="2">
        <f>+C3*C4</f>
        <v>0</v>
      </c>
      <c r="D5" s="2">
        <f t="shared" ref="D5:O5" si="0">+D3*D4</f>
        <v>3.75</v>
      </c>
      <c r="E5" s="2">
        <f t="shared" si="0"/>
        <v>22.5</v>
      </c>
      <c r="F5" s="2">
        <f t="shared" si="0"/>
        <v>45</v>
      </c>
      <c r="G5" s="2">
        <f t="shared" si="0"/>
        <v>52.5</v>
      </c>
      <c r="H5" s="2">
        <f t="shared" si="0"/>
        <v>60</v>
      </c>
      <c r="I5" s="2">
        <f t="shared" si="0"/>
        <v>67.5</v>
      </c>
      <c r="J5" s="2">
        <f t="shared" si="0"/>
        <v>75</v>
      </c>
    </row>
    <row r="6" spans="1:15" x14ac:dyDescent="0.25">
      <c r="B6" t="s">
        <v>18</v>
      </c>
      <c r="C6">
        <v>30</v>
      </c>
      <c r="D6">
        <v>30</v>
      </c>
      <c r="E6">
        <v>30</v>
      </c>
      <c r="F6">
        <v>30</v>
      </c>
      <c r="G6">
        <v>30</v>
      </c>
      <c r="H6">
        <v>30</v>
      </c>
      <c r="I6">
        <v>30</v>
      </c>
      <c r="J6">
        <v>30</v>
      </c>
    </row>
    <row r="7" spans="1:15" x14ac:dyDescent="0.25">
      <c r="B7" s="2" t="s">
        <v>19</v>
      </c>
      <c r="C7" s="2">
        <f>+C5-C6</f>
        <v>-30</v>
      </c>
      <c r="D7" s="2">
        <f t="shared" ref="D7:J7" si="1">+D5-D6</f>
        <v>-26.25</v>
      </c>
      <c r="E7" s="2">
        <f t="shared" si="1"/>
        <v>-7.5</v>
      </c>
      <c r="F7" s="2">
        <f t="shared" si="1"/>
        <v>15</v>
      </c>
      <c r="G7" s="2">
        <f t="shared" si="1"/>
        <v>22.5</v>
      </c>
      <c r="H7" s="2">
        <f t="shared" si="1"/>
        <v>30</v>
      </c>
      <c r="I7" s="2">
        <f t="shared" si="1"/>
        <v>37.5</v>
      </c>
      <c r="J7" s="2">
        <f t="shared" si="1"/>
        <v>45</v>
      </c>
    </row>
    <row r="10" spans="1:15" x14ac:dyDescent="0.25">
      <c r="B10" t="s">
        <v>20</v>
      </c>
      <c r="C10" s="2">
        <f>NPV(10%,C7:J7)</f>
        <v>26.784607888487667</v>
      </c>
    </row>
  </sheetData>
  <hyperlinks>
    <hyperlink ref="A1" location="Main!A1" display="Main" xr:uid="{88377896-B666-4270-B152-CD618C1BC44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2024-10-24T16:32:34Z</dcterms:created>
  <dcterms:modified xsi:type="dcterms:W3CDTF">2025-10-06T16:10:30Z</dcterms:modified>
</cp:coreProperties>
</file>