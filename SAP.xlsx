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\code\models\"/>
    </mc:Choice>
  </mc:AlternateContent>
  <xr:revisionPtr revIDLastSave="0" documentId="13_ncr:1_{229C4C64-2C4B-41DB-8289-5E8BEF92138F}" xr6:coauthVersionLast="47" xr6:coauthVersionMax="47" xr10:uidLastSave="{00000000-0000-0000-0000-000000000000}"/>
  <bookViews>
    <workbookView xWindow="20800" yWindow="710" windowWidth="17600" windowHeight="20070" activeTab="1" xr2:uid="{32DCA01F-B437-43C4-8293-E13203F995C7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Z14" i="2" l="1"/>
  <c r="W22" i="2"/>
  <c r="Y48" i="2"/>
  <c r="Y46" i="2"/>
  <c r="Y44" i="2"/>
  <c r="Y47" i="2"/>
  <c r="Y45" i="2"/>
  <c r="X51" i="2"/>
  <c r="W51" i="2"/>
  <c r="V51" i="2"/>
  <c r="U51" i="2"/>
  <c r="Y41" i="2"/>
  <c r="X41" i="2"/>
  <c r="W41" i="2"/>
  <c r="V41" i="2"/>
  <c r="U41" i="2"/>
  <c r="Y33" i="2"/>
  <c r="Y32" i="2" s="1"/>
  <c r="Y36" i="2"/>
  <c r="Y37" i="2"/>
  <c r="W30" i="2"/>
  <c r="Y30" i="2"/>
  <c r="U30" i="2"/>
  <c r="V32" i="2"/>
  <c r="W32" i="2"/>
  <c r="X32" i="2"/>
  <c r="U32" i="2"/>
  <c r="T32" i="2"/>
  <c r="Y20" i="2"/>
  <c r="X20" i="2"/>
  <c r="W20" i="2"/>
  <c r="V20" i="2"/>
  <c r="U20" i="2"/>
  <c r="Y14" i="2"/>
  <c r="Y16" i="2" s="1"/>
  <c r="X14" i="2"/>
  <c r="X16" i="2" s="1"/>
  <c r="W14" i="2"/>
  <c r="W16" i="2" s="1"/>
  <c r="V14" i="2"/>
  <c r="V16" i="2" s="1"/>
  <c r="U14" i="2"/>
  <c r="U16" i="2" s="1"/>
  <c r="N30" i="2"/>
  <c r="M30" i="2"/>
  <c r="L30" i="2"/>
  <c r="K30" i="2"/>
  <c r="L24" i="2"/>
  <c r="L22" i="2"/>
  <c r="L20" i="2"/>
  <c r="M24" i="2"/>
  <c r="M22" i="2"/>
  <c r="M20" i="2"/>
  <c r="Q24" i="2"/>
  <c r="Q22" i="2"/>
  <c r="N24" i="2"/>
  <c r="N15" i="2"/>
  <c r="N20" i="2"/>
  <c r="R24" i="2"/>
  <c r="R22" i="2"/>
  <c r="R15" i="2"/>
  <c r="N14" i="2"/>
  <c r="M14" i="2"/>
  <c r="M16" i="2" s="1"/>
  <c r="L14" i="2"/>
  <c r="L16" i="2" s="1"/>
  <c r="L21" i="2" s="1"/>
  <c r="O24" i="2"/>
  <c r="O22" i="2"/>
  <c r="O20" i="2"/>
  <c r="O16" i="2"/>
  <c r="O15" i="2"/>
  <c r="S24" i="2"/>
  <c r="S22" i="2"/>
  <c r="S15" i="2"/>
  <c r="T47" i="2"/>
  <c r="T48" i="2"/>
  <c r="T46" i="2"/>
  <c r="T45" i="2"/>
  <c r="T44" i="2"/>
  <c r="T43" i="2"/>
  <c r="T51" i="2" s="1"/>
  <c r="T35" i="2"/>
  <c r="T36" i="2"/>
  <c r="T33" i="2"/>
  <c r="T37" i="2"/>
  <c r="P24" i="2"/>
  <c r="P15" i="2"/>
  <c r="T24" i="2"/>
  <c r="T20" i="2"/>
  <c r="S20" i="2"/>
  <c r="R20" i="2"/>
  <c r="Q20" i="2"/>
  <c r="P20" i="2"/>
  <c r="T15" i="2"/>
  <c r="T14" i="2"/>
  <c r="S14" i="2"/>
  <c r="S16" i="2" s="1"/>
  <c r="R14" i="2"/>
  <c r="R30" i="2" s="1"/>
  <c r="Q14" i="2"/>
  <c r="Q30" i="2" s="1"/>
  <c r="P14" i="2"/>
  <c r="P30" i="2" s="1"/>
  <c r="O14" i="2"/>
  <c r="O30" i="2" s="1"/>
  <c r="L4" i="1"/>
  <c r="L7" i="1" s="1"/>
  <c r="F20" i="2"/>
  <c r="F15" i="2"/>
  <c r="F14" i="2"/>
  <c r="J15" i="2"/>
  <c r="J14" i="2"/>
  <c r="K20" i="2"/>
  <c r="J20" i="2"/>
  <c r="I20" i="2"/>
  <c r="H20" i="2"/>
  <c r="G20" i="2"/>
  <c r="I16" i="2"/>
  <c r="H16" i="2"/>
  <c r="G14" i="2"/>
  <c r="G16" i="2" s="1"/>
  <c r="K14" i="2"/>
  <c r="K16" i="2" s="1"/>
  <c r="V21" i="2" l="1"/>
  <c r="V23" i="2" s="1"/>
  <c r="V25" i="2" s="1"/>
  <c r="V26" i="2" s="1"/>
  <c r="V30" i="2"/>
  <c r="X30" i="2"/>
  <c r="Y51" i="2"/>
  <c r="T30" i="2"/>
  <c r="O21" i="2"/>
  <c r="O23" i="2" s="1"/>
  <c r="O25" i="2" s="1"/>
  <c r="O26" i="2" s="1"/>
  <c r="S30" i="2"/>
  <c r="Q16" i="2"/>
  <c r="Q21" i="2" s="1"/>
  <c r="Q23" i="2" s="1"/>
  <c r="Q25" i="2" s="1"/>
  <c r="Q26" i="2" s="1"/>
  <c r="U21" i="2"/>
  <c r="U23" i="2" s="1"/>
  <c r="U25" i="2" s="1"/>
  <c r="U26" i="2" s="1"/>
  <c r="I21" i="2"/>
  <c r="I23" i="2" s="1"/>
  <c r="I25" i="2" s="1"/>
  <c r="W21" i="2"/>
  <c r="W23" i="2" s="1"/>
  <c r="W25" i="2" s="1"/>
  <c r="W26" i="2" s="1"/>
  <c r="R16" i="2"/>
  <c r="R21" i="2" s="1"/>
  <c r="R23" i="2" s="1"/>
  <c r="R25" i="2" s="1"/>
  <c r="R26" i="2" s="1"/>
  <c r="N16" i="2"/>
  <c r="N21" i="2" s="1"/>
  <c r="N23" i="2" s="1"/>
  <c r="N25" i="2" s="1"/>
  <c r="N26" i="2" s="1"/>
  <c r="X21" i="2"/>
  <c r="X23" i="2" s="1"/>
  <c r="X25" i="2" s="1"/>
  <c r="X26" i="2" s="1"/>
  <c r="Y21" i="2"/>
  <c r="Y23" i="2" s="1"/>
  <c r="Y25" i="2" s="1"/>
  <c r="Y26" i="2" s="1"/>
  <c r="M21" i="2"/>
  <c r="M23" i="2" s="1"/>
  <c r="M25" i="2" s="1"/>
  <c r="M26" i="2" s="1"/>
  <c r="L23" i="2"/>
  <c r="L25" i="2" s="1"/>
  <c r="L26" i="2" s="1"/>
  <c r="S21" i="2"/>
  <c r="S23" i="2" s="1"/>
  <c r="S25" i="2" s="1"/>
  <c r="S26" i="2" s="1"/>
  <c r="H21" i="2"/>
  <c r="H23" i="2" s="1"/>
  <c r="H25" i="2" s="1"/>
  <c r="T16" i="2"/>
  <c r="T21" i="2" s="1"/>
  <c r="T23" i="2" s="1"/>
  <c r="T25" i="2" s="1"/>
  <c r="T26" i="2" s="1"/>
  <c r="G21" i="2"/>
  <c r="G23" i="2" s="1"/>
  <c r="G25" i="2" s="1"/>
  <c r="G26" i="2" s="1"/>
  <c r="T41" i="2"/>
  <c r="J30" i="2"/>
  <c r="P16" i="2"/>
  <c r="P21" i="2" s="1"/>
  <c r="P23" i="2" s="1"/>
  <c r="P25" i="2" s="1"/>
  <c r="P26" i="2" s="1"/>
  <c r="K21" i="2"/>
  <c r="K23" i="2" s="1"/>
  <c r="K25" i="2" s="1"/>
  <c r="K26" i="2" s="1"/>
  <c r="F16" i="2"/>
  <c r="F21" i="2" s="1"/>
  <c r="F23" i="2" s="1"/>
  <c r="F25" i="2" s="1"/>
  <c r="F26" i="2" s="1"/>
  <c r="J16" i="2"/>
  <c r="J21" i="2" s="1"/>
  <c r="J23" i="2" s="1"/>
  <c r="J25" i="2" s="1"/>
  <c r="J26" i="2" s="1"/>
</calcChain>
</file>

<file path=xl/sharedStrings.xml><?xml version="1.0" encoding="utf-8"?>
<sst xmlns="http://schemas.openxmlformats.org/spreadsheetml/2006/main" count="79" uniqueCount="72">
  <si>
    <t>Shares</t>
  </si>
  <si>
    <t>MC</t>
  </si>
  <si>
    <t>Cash</t>
  </si>
  <si>
    <t>Debt</t>
  </si>
  <si>
    <t>EV</t>
  </si>
  <si>
    <t>Main</t>
  </si>
  <si>
    <t>Revenue</t>
  </si>
  <si>
    <t>Cloud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</si>
  <si>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</si>
  <si>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</si>
  <si>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</si>
  <si>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</si>
  <si>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</si>
  <si>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</si>
  <si>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</si>
  <si>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</si>
  <si>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</si>
  <si>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</si>
  <si>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</si>
  <si>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</si>
  <si>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SAP S/4HANA</t>
  </si>
  <si>
    <t>Licenses</t>
  </si>
  <si>
    <t>Support</t>
  </si>
  <si>
    <t>Licenses+Support</t>
  </si>
  <si>
    <t>Services</t>
  </si>
  <si>
    <t>COGS</t>
  </si>
  <si>
    <t>Gross Profit</t>
  </si>
  <si>
    <t>R&amp;D</t>
  </si>
  <si>
    <t>S&amp;M</t>
  </si>
  <si>
    <t>G&amp;A</t>
  </si>
  <si>
    <t>Operating Expenses</t>
  </si>
  <si>
    <t>Operating Income</t>
  </si>
  <si>
    <t>Revenue Growth</t>
  </si>
  <si>
    <t>Interest Expense</t>
  </si>
  <si>
    <t>Pretax Income</t>
  </si>
  <si>
    <t>Net Income</t>
  </si>
  <si>
    <t>EPS</t>
  </si>
  <si>
    <t>Taxes</t>
  </si>
  <si>
    <t>Headcount</t>
  </si>
  <si>
    <t>Q123</t>
  </si>
  <si>
    <t>Q223</t>
  </si>
  <si>
    <t>Q323</t>
  </si>
  <si>
    <t>Q423</t>
  </si>
  <si>
    <t>Q124</t>
  </si>
  <si>
    <t>Q224</t>
  </si>
  <si>
    <t>Q324</t>
  </si>
  <si>
    <t>Q424</t>
  </si>
  <si>
    <t>IaaS</t>
  </si>
  <si>
    <t>Euro in millions</t>
  </si>
  <si>
    <t>AR</t>
  </si>
  <si>
    <t>Other</t>
  </si>
  <si>
    <t>Goodwill</t>
  </si>
  <si>
    <t>PP&amp;E</t>
  </si>
  <si>
    <t>Other Receivables</t>
  </si>
  <si>
    <t>DTA</t>
  </si>
  <si>
    <t>Assets</t>
  </si>
  <si>
    <t>AP</t>
  </si>
  <si>
    <t>Provisions</t>
  </si>
  <si>
    <t>DR</t>
  </si>
  <si>
    <t>DTL</t>
  </si>
  <si>
    <t>SE</t>
  </si>
  <si>
    <t>L+SE</t>
  </si>
  <si>
    <t>Cloud ERP</t>
  </si>
  <si>
    <t>Extension</t>
  </si>
  <si>
    <t>Q125</t>
  </si>
  <si>
    <t>Q225</t>
  </si>
  <si>
    <t>Q325</t>
  </si>
  <si>
    <t>Q425</t>
  </si>
  <si>
    <t>Net Cash</t>
  </si>
  <si>
    <t>Cash EUR</t>
  </si>
  <si>
    <t>Debt EUR</t>
  </si>
  <si>
    <t>Price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</si>
</sst>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0" fontId="2" fillId="0" borderId="0" xfId="1"/>
    <xf numFmtId="3" fontId="0" fillId="0" borderId="0" xfId="0" applyNumberFormat="1"/>
    <xf numFmtId="3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49D73275-2095-4D3C-A0AA-406F49E3CE3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57910</xdr:colOff>
      <xdr:row>0</xdr:row>
      <xdr:rowOff>93870</xdr:rowOff>
    </xdr:from>
    <xdr:to>
      <xdr:col>25</xdr:col>
      <xdr:colOff>57910</xdr:colOff>
      <xdr:row>70</xdr:row>
      <xdr:rowOff>9940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779288F-FCB2-57EA-C8B9-D2FFAF5DD000}"/>
            </a:ext>
          </a:extLst>
        </xdr:cNvPr>
        <xdr:cNvCxnSpPr/>
      </xdr:nvCxnSpPr>
      <xdr:spPr>
        <a:xfrm>
          <a:off x="16070953" y="93870"/>
          <a:ext cx="0" cy="1113072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DACA0-F2A2-47B8-8EFC-1E2513D7ED69}">
  <dimension ref="K2:M7"/>
  <sheetViews>
    <sheetView zoomScale="130" zoomScaleNormal="130" workbookViewId="0">
      <selection activeCell="K7" sqref="K7"/>
    </sheetView>
  </sheetViews>
  <sheetFormatPr defaultRowHeight="12.5" x14ac:dyDescent="0.25"/>
  <cols>
    <col min="10" max="10" width="6.453125" customWidth="1"/>
    <col min="11" max="11" width="9.36328125" bestFit="1" customWidth="1"/>
  </cols>
  <sheetData>
    <row r="2" spans="11:13" x14ac:dyDescent="0.25">
      <c r="K2" t="s">
        <v>71</v>
      </c>
      <c r="L2" s="1">
        <v>225.35</v>
      </c>
    </row>
    <row r="3" spans="11:13" x14ac:dyDescent="0.25">
      <c r="K3" t="s">
        <v>0</v>
      </c>
      <c r="L3" s="4">
        <v>1164</v>
      </c>
      <c r="M3" s="2" t="s">
        <v>66</v>
      </c>
    </row>
    <row r="4" spans="11:13" x14ac:dyDescent="0.25">
      <c r="K4" t="s">
        <v>1</v>
      </c>
      <c r="L4" s="4">
        <f>L2*L3</f>
        <v>262307.39999999997</v>
      </c>
    </row>
    <row r="5" spans="11:13" x14ac:dyDescent="0.25">
      <c r="K5" t="s">
        <v>69</v>
      </c>
      <c r="L5" s="4">
        <v>20956</v>
      </c>
      <c r="M5" s="2" t="s">
        <v>66</v>
      </c>
    </row>
    <row r="6" spans="11:13" x14ac:dyDescent="0.25">
      <c r="K6" t="s">
        <v>70</v>
      </c>
      <c r="L6" s="4">
        <v>9121</v>
      </c>
      <c r="M6" s="2" t="s">
        <v>66</v>
      </c>
    </row>
    <row r="7" spans="11:13" x14ac:dyDescent="0.25">
      <c r="K7" t="s">
        <v>4</v>
      </c>
      <c r="L7" s="4">
        <f>L4-L5+L6</f>
        <v>250472.39999999997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7C550-93EA-49F8-8D50-E0A2F444052A}">
  <dimension ref="A1:Z53"/>
  <sheetViews>
    <sheetView tabSelected="1" zoomScale="115" zoomScaleNormal="115" workbookViewId="0">
      <pane xSplit="2" ySplit="2" topLeftCell="X3" activePane="bottomRight" state="frozen"/>
      <selection pane="topRight" activeCell="C1" sqref="C1"/>
      <selection pane="bottomLeft" activeCell="A3" sqref="A3"/>
      <selection pane="bottomRight" activeCell="AI14" sqref="AI14"/>
    </sheetView>
  </sheetViews>
  <sheetFormatPr defaultRowHeight="12.5" x14ac:dyDescent="0.25"/>
  <cols>
    <col min="1" max="1" width="5" bestFit="1" customWidth="1"/>
    <col min="2" max="2" width="17.81640625" customWidth="1"/>
    <col min="3" max="4" width="9.54296875" style="2" customWidth="1"/>
    <col min="5" max="14" width="9.1796875" style="2"/>
  </cols>
  <sheetData>
    <row r="1" spans="1:26" x14ac:dyDescent="0.25">
      <c r="A1" s="3" t="s">
        <v>5</v>
      </c>
    </row>
    <row r="2" spans="1:26" x14ac:dyDescent="0.25">
      <c r="B2" t="s">
        <v>48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64</v>
      </c>
      <c r="X2" s="2" t="s">
        <v>65</v>
      </c>
      <c r="Y2" s="2" t="s">
        <v>66</v>
      </c>
      <c r="Z2" s="2" t="s">
        <v>67</v>
      </c>
    </row>
    <row r="3" spans="1:26" x14ac:dyDescent="0.25">
      <c r="B3" t="s">
        <v>62</v>
      </c>
      <c r="O3" s="5">
        <v>2422</v>
      </c>
      <c r="P3" s="2"/>
      <c r="Q3" s="2"/>
      <c r="R3" s="2"/>
      <c r="S3" s="5">
        <v>3167</v>
      </c>
      <c r="T3" s="5">
        <v>3414</v>
      </c>
      <c r="U3" s="5">
        <v>3636</v>
      </c>
      <c r="V3" s="5">
        <v>3949</v>
      </c>
      <c r="W3" s="5">
        <v>4251</v>
      </c>
      <c r="X3" s="5">
        <v>4422</v>
      </c>
      <c r="Y3" s="5">
        <v>4586</v>
      </c>
    </row>
    <row r="4" spans="1:26" x14ac:dyDescent="0.25">
      <c r="B4" t="s">
        <v>63</v>
      </c>
      <c r="O4" s="5">
        <v>558</v>
      </c>
      <c r="P4" s="2"/>
      <c r="Q4" s="2"/>
      <c r="R4" s="2"/>
      <c r="S4" s="5">
        <v>597</v>
      </c>
      <c r="T4" s="5">
        <v>604</v>
      </c>
      <c r="U4" s="2"/>
      <c r="V4" s="2"/>
    </row>
    <row r="5" spans="1:26" x14ac:dyDescent="0.25">
      <c r="B5" t="s">
        <v>47</v>
      </c>
      <c r="O5" s="5">
        <v>197</v>
      </c>
      <c r="P5" s="2"/>
      <c r="Q5" s="2"/>
      <c r="R5" s="2"/>
      <c r="S5" s="5">
        <v>164</v>
      </c>
      <c r="T5" s="5">
        <v>135</v>
      </c>
      <c r="U5" s="2"/>
      <c r="V5" s="2"/>
    </row>
    <row r="6" spans="1:26" x14ac:dyDescent="0.25">
      <c r="O6" s="2"/>
      <c r="P6" s="2"/>
      <c r="Q6" s="2"/>
      <c r="R6" s="2"/>
      <c r="S6" s="5"/>
      <c r="T6" s="5"/>
      <c r="U6" s="2"/>
      <c r="V6" s="2"/>
    </row>
    <row r="7" spans="1:26" s="4" customFormat="1" x14ac:dyDescent="0.25">
      <c r="B7" s="4" t="s">
        <v>20</v>
      </c>
      <c r="C7" s="5"/>
      <c r="D7" s="5"/>
      <c r="E7" s="5"/>
      <c r="F7" s="5"/>
      <c r="G7" s="5">
        <v>227</v>
      </c>
      <c r="H7" s="5">
        <v>257</v>
      </c>
      <c r="I7" s="5">
        <v>276</v>
      </c>
      <c r="J7" s="5">
        <v>329</v>
      </c>
      <c r="K7" s="5">
        <v>404</v>
      </c>
      <c r="L7" s="5">
        <v>473</v>
      </c>
      <c r="M7" s="5">
        <v>548</v>
      </c>
      <c r="N7" s="5">
        <v>662</v>
      </c>
      <c r="O7" s="4">
        <v>719</v>
      </c>
      <c r="P7" s="4">
        <v>828</v>
      </c>
      <c r="Q7" s="4">
        <v>920</v>
      </c>
      <c r="R7" s="4">
        <v>1028</v>
      </c>
    </row>
    <row r="8" spans="1:26" s="4" customFormat="1" x14ac:dyDescent="0.25">
      <c r="B8" s="4" t="s">
        <v>23</v>
      </c>
      <c r="C8" s="5"/>
      <c r="D8" s="5"/>
      <c r="E8" s="5"/>
      <c r="F8" s="5"/>
      <c r="G8" s="5">
        <v>3283</v>
      </c>
      <c r="H8" s="5">
        <v>3474</v>
      </c>
      <c r="I8" s="5">
        <v>3524</v>
      </c>
      <c r="J8" s="5">
        <v>4379</v>
      </c>
      <c r="K8" s="5">
        <v>3240</v>
      </c>
      <c r="L8" s="5"/>
      <c r="M8" s="5"/>
      <c r="N8" s="5"/>
    </row>
    <row r="9" spans="1:26" s="4" customFormat="1" x14ac:dyDescent="0.25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26" s="4" customFormat="1" x14ac:dyDescent="0.25">
      <c r="B10" s="4" t="s">
        <v>7</v>
      </c>
      <c r="C10" s="5">
        <v>2011</v>
      </c>
      <c r="D10" s="5">
        <v>2044</v>
      </c>
      <c r="E10" s="5">
        <v>1984</v>
      </c>
      <c r="F10" s="5">
        <v>2041</v>
      </c>
      <c r="G10" s="5">
        <v>2145</v>
      </c>
      <c r="H10" s="5">
        <v>2276</v>
      </c>
      <c r="I10" s="5">
        <v>2386</v>
      </c>
      <c r="J10" s="5">
        <v>2611.4</v>
      </c>
      <c r="K10" s="5">
        <v>2820</v>
      </c>
      <c r="L10" s="5">
        <v>2796</v>
      </c>
      <c r="M10" s="5">
        <v>2986</v>
      </c>
      <c r="N10" s="5">
        <v>3078</v>
      </c>
      <c r="O10" s="4">
        <v>3178</v>
      </c>
      <c r="P10" s="4">
        <v>3316</v>
      </c>
      <c r="Q10" s="4">
        <v>3472</v>
      </c>
      <c r="R10" s="4">
        <v>3699</v>
      </c>
      <c r="S10" s="4">
        <v>3928</v>
      </c>
      <c r="T10" s="4">
        <v>4153</v>
      </c>
      <c r="U10" s="4">
        <v>4351</v>
      </c>
      <c r="V10" s="4">
        <v>4708</v>
      </c>
      <c r="W10" s="4">
        <v>4993</v>
      </c>
      <c r="X10" s="4">
        <v>5130</v>
      </c>
      <c r="Y10" s="4">
        <v>5290</v>
      </c>
    </row>
    <row r="11" spans="1:26" s="4" customFormat="1" x14ac:dyDescent="0.25">
      <c r="B11" s="4" t="s">
        <v>21</v>
      </c>
      <c r="C11" s="5"/>
      <c r="D11" s="5"/>
      <c r="E11" s="5"/>
      <c r="F11" s="5">
        <v>1703</v>
      </c>
      <c r="G11" s="5">
        <v>483</v>
      </c>
      <c r="H11" s="5">
        <v>650</v>
      </c>
      <c r="I11" s="5">
        <v>657</v>
      </c>
      <c r="J11" s="5">
        <v>1458</v>
      </c>
      <c r="K11" s="5">
        <v>317</v>
      </c>
      <c r="L11" s="5">
        <v>426</v>
      </c>
      <c r="M11" s="5">
        <v>406</v>
      </c>
      <c r="N11" s="5">
        <v>907</v>
      </c>
      <c r="O11" s="4">
        <v>276</v>
      </c>
      <c r="P11" s="4">
        <v>316</v>
      </c>
      <c r="Q11" s="4">
        <v>335</v>
      </c>
      <c r="R11" s="4">
        <v>841</v>
      </c>
      <c r="S11" s="4">
        <v>203</v>
      </c>
      <c r="T11" s="4">
        <v>229</v>
      </c>
      <c r="U11" s="4">
        <v>285</v>
      </c>
      <c r="V11" s="4">
        <v>683</v>
      </c>
      <c r="W11" s="4">
        <v>183</v>
      </c>
      <c r="X11" s="4">
        <v>194</v>
      </c>
      <c r="Y11" s="4">
        <v>161</v>
      </c>
    </row>
    <row r="12" spans="1:26" s="4" customFormat="1" x14ac:dyDescent="0.25">
      <c r="B12" s="4" t="s">
        <v>22</v>
      </c>
      <c r="C12" s="5"/>
      <c r="D12" s="5"/>
      <c r="E12" s="5"/>
      <c r="F12" s="5">
        <v>2835</v>
      </c>
      <c r="G12" s="5">
        <v>2801</v>
      </c>
      <c r="H12" s="5">
        <v>2823</v>
      </c>
      <c r="I12" s="5">
        <v>2867</v>
      </c>
      <c r="J12" s="5">
        <v>2920.4</v>
      </c>
      <c r="K12" s="5">
        <v>2923</v>
      </c>
      <c r="L12" s="5">
        <v>2977</v>
      </c>
      <c r="M12" s="5">
        <v>3016</v>
      </c>
      <c r="N12" s="5">
        <v>2993</v>
      </c>
      <c r="O12" s="4">
        <v>2905</v>
      </c>
      <c r="P12" s="4">
        <v>2873</v>
      </c>
      <c r="Q12" s="4">
        <v>2872</v>
      </c>
      <c r="R12" s="4">
        <v>2846</v>
      </c>
      <c r="S12" s="4">
        <v>2829</v>
      </c>
      <c r="T12" s="4">
        <v>2792</v>
      </c>
      <c r="U12" s="4">
        <v>2793</v>
      </c>
      <c r="V12" s="4">
        <v>2876</v>
      </c>
      <c r="W12" s="4">
        <v>2761</v>
      </c>
      <c r="X12" s="4">
        <v>2642</v>
      </c>
      <c r="Y12" s="4">
        <v>2565</v>
      </c>
    </row>
    <row r="13" spans="1:26" s="4" customFormat="1" x14ac:dyDescent="0.25">
      <c r="B13" s="4" t="s">
        <v>24</v>
      </c>
      <c r="C13" s="5"/>
      <c r="D13" s="5"/>
      <c r="E13" s="5"/>
      <c r="F13" s="5">
        <v>960</v>
      </c>
      <c r="G13" s="5">
        <v>919</v>
      </c>
      <c r="H13" s="5"/>
      <c r="I13" s="5"/>
      <c r="J13" s="5">
        <v>991</v>
      </c>
      <c r="K13" s="5">
        <v>1017</v>
      </c>
      <c r="L13" s="5">
        <v>1007</v>
      </c>
      <c r="M13" s="5">
        <v>1069</v>
      </c>
      <c r="N13" s="5">
        <v>1085</v>
      </c>
      <c r="O13" s="4">
        <v>1083</v>
      </c>
      <c r="P13" s="4">
        <v>1049</v>
      </c>
      <c r="Q13" s="4">
        <v>1065</v>
      </c>
      <c r="R13" s="4">
        <v>1081</v>
      </c>
      <c r="S13" s="4">
        <v>1081</v>
      </c>
      <c r="T13" s="4">
        <v>1114</v>
      </c>
      <c r="U13" s="4">
        <v>1041</v>
      </c>
      <c r="V13" s="4">
        <v>1110</v>
      </c>
      <c r="W13" s="4">
        <v>1075</v>
      </c>
      <c r="X13" s="4">
        <v>1061</v>
      </c>
      <c r="Y13" s="4">
        <v>1060</v>
      </c>
    </row>
    <row r="14" spans="1:26" s="7" customFormat="1" ht="13" x14ac:dyDescent="0.3">
      <c r="B14" s="7" t="s">
        <v>6</v>
      </c>
      <c r="C14" s="8"/>
      <c r="D14" s="8"/>
      <c r="E14" s="8"/>
      <c r="F14" s="8">
        <f>SUM(F10:F13)</f>
        <v>7539</v>
      </c>
      <c r="G14" s="8">
        <f>SUM(G10:G13)</f>
        <v>6348</v>
      </c>
      <c r="H14" s="8">
        <v>6669</v>
      </c>
      <c r="I14" s="8">
        <v>6845</v>
      </c>
      <c r="J14" s="8">
        <f>SUM(J10:J13)</f>
        <v>7980.8</v>
      </c>
      <c r="K14" s="8">
        <f>SUM(K10:K13)</f>
        <v>7077</v>
      </c>
      <c r="L14" s="8">
        <f t="shared" ref="L14:N14" si="0">SUM(L10:L13)</f>
        <v>7206</v>
      </c>
      <c r="M14" s="8">
        <f t="shared" si="0"/>
        <v>7477</v>
      </c>
      <c r="N14" s="8">
        <f t="shared" si="0"/>
        <v>8063</v>
      </c>
      <c r="O14" s="8">
        <f>SUM(O10:O13)</f>
        <v>7442</v>
      </c>
      <c r="P14" s="8">
        <f t="shared" ref="P14:Z14" si="1">SUM(P10:P13)</f>
        <v>7554</v>
      </c>
      <c r="Q14" s="8">
        <f t="shared" si="1"/>
        <v>7744</v>
      </c>
      <c r="R14" s="8">
        <f t="shared" si="1"/>
        <v>8467</v>
      </c>
      <c r="S14" s="8">
        <f t="shared" si="1"/>
        <v>8041</v>
      </c>
      <c r="T14" s="8">
        <f t="shared" si="1"/>
        <v>8288</v>
      </c>
      <c r="U14" s="8">
        <f t="shared" si="1"/>
        <v>8470</v>
      </c>
      <c r="V14" s="8">
        <f t="shared" si="1"/>
        <v>9377</v>
      </c>
      <c r="W14" s="8">
        <f t="shared" si="1"/>
        <v>9012</v>
      </c>
      <c r="X14" s="8">
        <f t="shared" si="1"/>
        <v>9027</v>
      </c>
      <c r="Y14" s="8">
        <f t="shared" si="1"/>
        <v>9076</v>
      </c>
      <c r="Z14" s="8">
        <f t="shared" si="1"/>
        <v>0</v>
      </c>
    </row>
    <row r="15" spans="1:26" s="4" customFormat="1" x14ac:dyDescent="0.25">
      <c r="B15" s="4" t="s">
        <v>25</v>
      </c>
      <c r="C15" s="5"/>
      <c r="D15" s="5"/>
      <c r="E15" s="5"/>
      <c r="F15" s="5">
        <f>662+537+703</f>
        <v>1902</v>
      </c>
      <c r="G15" s="5">
        <v>1884</v>
      </c>
      <c r="H15" s="5"/>
      <c r="I15" s="5"/>
      <c r="J15" s="5">
        <f>873+531.2+753.2</f>
        <v>2157.4</v>
      </c>
      <c r="K15" s="5">
        <v>2099</v>
      </c>
      <c r="L15" s="5">
        <v>1967</v>
      </c>
      <c r="M15" s="5">
        <v>2037</v>
      </c>
      <c r="N15" s="4">
        <f>1305+844</f>
        <v>2149</v>
      </c>
      <c r="O15" s="4">
        <f>1301+855</f>
        <v>2156</v>
      </c>
      <c r="P15" s="4">
        <f>1282+863</f>
        <v>2145</v>
      </c>
      <c r="Q15" s="4">
        <v>2108</v>
      </c>
      <c r="R15" s="4">
        <f>1423+848</f>
        <v>2271</v>
      </c>
      <c r="S15" s="4">
        <f>1417+862</f>
        <v>2279</v>
      </c>
      <c r="T15" s="4">
        <f>1434+837</f>
        <v>2271</v>
      </c>
      <c r="U15" s="4">
        <v>2258</v>
      </c>
      <c r="V15" s="4">
        <v>2435</v>
      </c>
      <c r="W15" s="4">
        <v>2406</v>
      </c>
      <c r="X15" s="4">
        <v>2407</v>
      </c>
      <c r="Y15" s="4">
        <v>2405</v>
      </c>
    </row>
    <row r="16" spans="1:26" s="4" customFormat="1" x14ac:dyDescent="0.25">
      <c r="B16" s="4" t="s">
        <v>26</v>
      </c>
      <c r="C16" s="5"/>
      <c r="D16" s="5"/>
      <c r="E16" s="5"/>
      <c r="F16" s="5">
        <f>F14-F15</f>
        <v>5637</v>
      </c>
      <c r="G16" s="5">
        <f>G14-G15</f>
        <v>4464</v>
      </c>
      <c r="H16" s="5">
        <f t="shared" ref="H16:K16" si="2">H14-H15</f>
        <v>6669</v>
      </c>
      <c r="I16" s="5">
        <f t="shared" si="2"/>
        <v>6845</v>
      </c>
      <c r="J16" s="5">
        <f t="shared" si="2"/>
        <v>5823.4</v>
      </c>
      <c r="K16" s="5">
        <f t="shared" si="2"/>
        <v>4978</v>
      </c>
      <c r="L16" s="5">
        <f>+L14-L15</f>
        <v>5239</v>
      </c>
      <c r="M16" s="5">
        <f>+M14-M15</f>
        <v>5440</v>
      </c>
      <c r="N16" s="4">
        <f t="shared" ref="N16" si="3">+N14-N15</f>
        <v>5914</v>
      </c>
      <c r="O16" s="4">
        <f t="shared" ref="O16:T16" si="4">+O14-O15</f>
        <v>5286</v>
      </c>
      <c r="P16" s="4">
        <f t="shared" si="4"/>
        <v>5409</v>
      </c>
      <c r="Q16" s="4">
        <f t="shared" si="4"/>
        <v>5636</v>
      </c>
      <c r="R16" s="4">
        <f t="shared" si="4"/>
        <v>6196</v>
      </c>
      <c r="S16" s="4">
        <f t="shared" si="4"/>
        <v>5762</v>
      </c>
      <c r="T16" s="4">
        <f t="shared" si="4"/>
        <v>6017</v>
      </c>
      <c r="U16" s="4">
        <f>+U14-U15</f>
        <v>6212</v>
      </c>
      <c r="V16" s="4">
        <f>+V14-V15</f>
        <v>6942</v>
      </c>
      <c r="W16" s="4">
        <f>+W14-W15</f>
        <v>6606</v>
      </c>
      <c r="X16" s="4">
        <f>+X14-X15</f>
        <v>6620</v>
      </c>
      <c r="Y16" s="4">
        <f>+Y14-Y15</f>
        <v>6671</v>
      </c>
    </row>
    <row r="17" spans="2:25" s="4" customFormat="1" x14ac:dyDescent="0.25">
      <c r="B17" s="4" t="s">
        <v>27</v>
      </c>
      <c r="C17" s="5"/>
      <c r="D17" s="5"/>
      <c r="E17" s="5"/>
      <c r="F17" s="5">
        <v>1132</v>
      </c>
      <c r="G17" s="5">
        <v>1171</v>
      </c>
      <c r="H17" s="5"/>
      <c r="I17" s="5"/>
      <c r="J17" s="5">
        <v>1412</v>
      </c>
      <c r="K17" s="5">
        <v>1425</v>
      </c>
      <c r="L17" s="5">
        <v>1514</v>
      </c>
      <c r="M17" s="5">
        <v>1571</v>
      </c>
      <c r="N17" s="4">
        <v>1598</v>
      </c>
      <c r="O17" s="4">
        <v>1573</v>
      </c>
      <c r="P17" s="4">
        <v>1565</v>
      </c>
      <c r="Q17" s="4">
        <v>1515</v>
      </c>
      <c r="R17" s="4">
        <v>1669</v>
      </c>
      <c r="S17" s="4">
        <v>1665</v>
      </c>
      <c r="T17" s="4">
        <v>1605</v>
      </c>
      <c r="U17" s="4">
        <v>1568</v>
      </c>
      <c r="V17" s="4">
        <v>1675</v>
      </c>
      <c r="W17" s="4">
        <v>1673</v>
      </c>
      <c r="X17" s="4">
        <v>1618</v>
      </c>
      <c r="Y17" s="4">
        <v>1644</v>
      </c>
    </row>
    <row r="18" spans="2:25" s="4" customFormat="1" x14ac:dyDescent="0.25">
      <c r="B18" s="4" t="s">
        <v>28</v>
      </c>
      <c r="C18" s="5"/>
      <c r="D18" s="5"/>
      <c r="E18" s="5"/>
      <c r="F18" s="5">
        <v>1744</v>
      </c>
      <c r="G18" s="5">
        <v>1663</v>
      </c>
      <c r="H18" s="5"/>
      <c r="I18" s="5"/>
      <c r="J18" s="5">
        <v>2168</v>
      </c>
      <c r="K18" s="5">
        <v>1987</v>
      </c>
      <c r="L18" s="5">
        <v>2100</v>
      </c>
      <c r="M18" s="5">
        <v>1997</v>
      </c>
      <c r="N18" s="4">
        <v>2107</v>
      </c>
      <c r="O18" s="4">
        <v>2291</v>
      </c>
      <c r="P18" s="4">
        <v>2165</v>
      </c>
      <c r="Q18" s="4">
        <v>2105</v>
      </c>
      <c r="R18" s="4">
        <v>2267</v>
      </c>
      <c r="S18" s="4">
        <v>2278</v>
      </c>
      <c r="T18" s="4">
        <v>2217</v>
      </c>
      <c r="U18" s="4">
        <v>2098</v>
      </c>
      <c r="V18" s="4">
        <v>2496</v>
      </c>
      <c r="W18" s="4">
        <v>2235</v>
      </c>
      <c r="X18" s="4">
        <v>2156</v>
      </c>
      <c r="Y18" s="4">
        <v>2185</v>
      </c>
    </row>
    <row r="19" spans="2:25" s="4" customFormat="1" x14ac:dyDescent="0.25">
      <c r="B19" s="4" t="s">
        <v>29</v>
      </c>
      <c r="C19" s="5"/>
      <c r="D19" s="5"/>
      <c r="E19" s="5"/>
      <c r="F19" s="5">
        <v>282</v>
      </c>
      <c r="G19" s="5">
        <v>505</v>
      </c>
      <c r="H19" s="5"/>
      <c r="I19" s="5"/>
      <c r="J19" s="5">
        <v>756</v>
      </c>
      <c r="K19" s="5">
        <v>504</v>
      </c>
      <c r="L19" s="5">
        <v>341</v>
      </c>
      <c r="M19" s="5">
        <v>333</v>
      </c>
      <c r="N19" s="4">
        <v>345</v>
      </c>
      <c r="O19" s="4">
        <v>348</v>
      </c>
      <c r="P19" s="4">
        <v>322</v>
      </c>
      <c r="Q19" s="4">
        <v>327</v>
      </c>
      <c r="R19" s="4">
        <v>362</v>
      </c>
      <c r="S19" s="4">
        <v>360</v>
      </c>
      <c r="T19" s="4">
        <v>336</v>
      </c>
      <c r="U19" s="4">
        <v>361</v>
      </c>
      <c r="V19" s="4">
        <v>378</v>
      </c>
      <c r="W19" s="4">
        <v>358</v>
      </c>
      <c r="X19" s="4">
        <v>361</v>
      </c>
      <c r="Y19" s="4">
        <v>364</v>
      </c>
    </row>
    <row r="20" spans="2:25" s="4" customFormat="1" x14ac:dyDescent="0.25">
      <c r="B20" s="4" t="s">
        <v>30</v>
      </c>
      <c r="C20" s="5"/>
      <c r="D20" s="5"/>
      <c r="E20" s="5"/>
      <c r="F20" s="5">
        <f t="shared" ref="F20" si="5">SUM(F17:F19)</f>
        <v>3158</v>
      </c>
      <c r="G20" s="5">
        <f>SUM(G17:G19)</f>
        <v>3339</v>
      </c>
      <c r="H20" s="5">
        <f t="shared" ref="H20:K20" si="6">SUM(H17:H19)</f>
        <v>0</v>
      </c>
      <c r="I20" s="5">
        <f t="shared" si="6"/>
        <v>0</v>
      </c>
      <c r="J20" s="5">
        <f t="shared" si="6"/>
        <v>4336</v>
      </c>
      <c r="K20" s="5">
        <f t="shared" si="6"/>
        <v>3916</v>
      </c>
      <c r="L20" s="5">
        <f t="shared" ref="L20:M20" si="7">SUM(L17:L19)</f>
        <v>3955</v>
      </c>
      <c r="M20" s="5">
        <f t="shared" si="7"/>
        <v>3901</v>
      </c>
      <c r="N20" s="5">
        <f t="shared" ref="N20:O20" si="8">SUM(N17:N19)</f>
        <v>4050</v>
      </c>
      <c r="O20" s="5">
        <f t="shared" si="8"/>
        <v>4212</v>
      </c>
      <c r="P20" s="5">
        <f t="shared" ref="P20:T20" si="9">SUM(P17:P19)</f>
        <v>4052</v>
      </c>
      <c r="Q20" s="5">
        <f t="shared" si="9"/>
        <v>3947</v>
      </c>
      <c r="R20" s="5">
        <f t="shared" si="9"/>
        <v>4298</v>
      </c>
      <c r="S20" s="5">
        <f t="shared" si="9"/>
        <v>4303</v>
      </c>
      <c r="T20" s="5">
        <f t="shared" si="9"/>
        <v>4158</v>
      </c>
      <c r="U20" s="5">
        <f t="shared" ref="U20:Y20" si="10">SUM(U17:U19)</f>
        <v>4027</v>
      </c>
      <c r="V20" s="5">
        <f t="shared" si="10"/>
        <v>4549</v>
      </c>
      <c r="W20" s="5">
        <f t="shared" si="10"/>
        <v>4266</v>
      </c>
      <c r="X20" s="5">
        <f t="shared" si="10"/>
        <v>4135</v>
      </c>
      <c r="Y20" s="5">
        <f t="shared" si="10"/>
        <v>4193</v>
      </c>
    </row>
    <row r="21" spans="2:25" s="4" customFormat="1" x14ac:dyDescent="0.25">
      <c r="B21" s="4" t="s">
        <v>31</v>
      </c>
      <c r="C21" s="5"/>
      <c r="D21" s="5"/>
      <c r="E21" s="5"/>
      <c r="F21" s="5">
        <f t="shared" ref="F21" si="11">F16-F20</f>
        <v>2479</v>
      </c>
      <c r="G21" s="5">
        <f>G16-G20</f>
        <v>1125</v>
      </c>
      <c r="H21" s="5">
        <f t="shared" ref="H21:K21" si="12">H16-H20</f>
        <v>6669</v>
      </c>
      <c r="I21" s="5">
        <f t="shared" si="12"/>
        <v>6845</v>
      </c>
      <c r="J21" s="5">
        <f t="shared" si="12"/>
        <v>1487.3999999999996</v>
      </c>
      <c r="K21" s="5">
        <f t="shared" si="12"/>
        <v>1062</v>
      </c>
      <c r="L21" s="5">
        <f t="shared" ref="L21:M21" si="13">L16-L20</f>
        <v>1284</v>
      </c>
      <c r="M21" s="5">
        <f t="shared" si="13"/>
        <v>1539</v>
      </c>
      <c r="N21" s="5">
        <f t="shared" ref="N21:O21" si="14">N16-N20</f>
        <v>1864</v>
      </c>
      <c r="O21" s="5">
        <f t="shared" si="14"/>
        <v>1074</v>
      </c>
      <c r="P21" s="5">
        <f t="shared" ref="P21:T21" si="15">P16-P20</f>
        <v>1357</v>
      </c>
      <c r="Q21" s="5">
        <f t="shared" si="15"/>
        <v>1689</v>
      </c>
      <c r="R21" s="5">
        <f t="shared" si="15"/>
        <v>1898</v>
      </c>
      <c r="S21" s="5">
        <f t="shared" si="15"/>
        <v>1459</v>
      </c>
      <c r="T21" s="5">
        <f t="shared" si="15"/>
        <v>1859</v>
      </c>
      <c r="U21" s="5">
        <f t="shared" ref="U21:Y21" si="16">U16-U20</f>
        <v>2185</v>
      </c>
      <c r="V21" s="5">
        <f t="shared" si="16"/>
        <v>2393</v>
      </c>
      <c r="W21" s="5">
        <f t="shared" si="16"/>
        <v>2340</v>
      </c>
      <c r="X21" s="5">
        <f t="shared" si="16"/>
        <v>2485</v>
      </c>
      <c r="Y21" s="5">
        <f t="shared" si="16"/>
        <v>2478</v>
      </c>
    </row>
    <row r="22" spans="2:25" x14ac:dyDescent="0.25">
      <c r="B22" s="4" t="s">
        <v>33</v>
      </c>
      <c r="F22" s="2">
        <v>107</v>
      </c>
      <c r="G22" s="2">
        <v>315</v>
      </c>
      <c r="J22" s="2">
        <v>523</v>
      </c>
      <c r="K22" s="2">
        <v>-56</v>
      </c>
      <c r="L22" s="2">
        <f>-95-118</f>
        <v>-213</v>
      </c>
      <c r="M22" s="2">
        <f>10+163-496</f>
        <v>-323</v>
      </c>
      <c r="N22" s="4">
        <v>-884</v>
      </c>
      <c r="O22" s="4">
        <f>-8-112</f>
        <v>-120</v>
      </c>
      <c r="P22" s="4">
        <v>-175</v>
      </c>
      <c r="Q22">
        <f>-2+204-279</f>
        <v>-77</v>
      </c>
      <c r="R22">
        <f>-4-107</f>
        <v>-111</v>
      </c>
      <c r="S22">
        <f>-4-45</f>
        <v>-49</v>
      </c>
      <c r="T22" s="4">
        <v>170</v>
      </c>
      <c r="U22" s="4">
        <v>-1</v>
      </c>
      <c r="V22" s="4">
        <v>273</v>
      </c>
      <c r="W22">
        <f>405-280</f>
        <v>125</v>
      </c>
      <c r="X22" s="4">
        <v>49</v>
      </c>
      <c r="Y22" s="4">
        <v>212</v>
      </c>
    </row>
    <row r="23" spans="2:25" x14ac:dyDescent="0.25">
      <c r="B23" s="4" t="s">
        <v>34</v>
      </c>
      <c r="F23" s="5">
        <f>F21+F22</f>
        <v>2586</v>
      </c>
      <c r="G23" s="5">
        <f>G21+G22</f>
        <v>1440</v>
      </c>
      <c r="H23" s="5">
        <f t="shared" ref="H23:K23" si="17">H21+H22</f>
        <v>6669</v>
      </c>
      <c r="I23" s="5">
        <f t="shared" si="17"/>
        <v>6845</v>
      </c>
      <c r="J23" s="5">
        <f t="shared" si="17"/>
        <v>2010.3999999999996</v>
      </c>
      <c r="K23" s="5">
        <f t="shared" si="17"/>
        <v>1006</v>
      </c>
      <c r="L23" s="4">
        <f t="shared" ref="L23:N23" si="18">+L21+L22</f>
        <v>1071</v>
      </c>
      <c r="M23" s="4">
        <f t="shared" si="18"/>
        <v>1216</v>
      </c>
      <c r="N23" s="4">
        <f t="shared" si="18"/>
        <v>980</v>
      </c>
      <c r="O23" s="4">
        <f t="shared" ref="O23:Y23" si="19">+O21+O22</f>
        <v>954</v>
      </c>
      <c r="P23" s="4">
        <f t="shared" si="19"/>
        <v>1182</v>
      </c>
      <c r="Q23" s="4">
        <f t="shared" si="19"/>
        <v>1612</v>
      </c>
      <c r="R23" s="4">
        <f t="shared" si="19"/>
        <v>1787</v>
      </c>
      <c r="S23" s="4">
        <f t="shared" si="19"/>
        <v>1410</v>
      </c>
      <c r="T23" s="4">
        <f t="shared" si="19"/>
        <v>2029</v>
      </c>
      <c r="U23" s="4">
        <f t="shared" si="19"/>
        <v>2184</v>
      </c>
      <c r="V23" s="4">
        <f t="shared" si="19"/>
        <v>2666</v>
      </c>
      <c r="W23" s="4">
        <f t="shared" si="19"/>
        <v>2465</v>
      </c>
      <c r="X23" s="4">
        <f t="shared" si="19"/>
        <v>2534</v>
      </c>
      <c r="Y23" s="4">
        <f t="shared" si="19"/>
        <v>2690</v>
      </c>
    </row>
    <row r="24" spans="2:25" x14ac:dyDescent="0.25">
      <c r="B24" s="4" t="s">
        <v>37</v>
      </c>
      <c r="F24" s="2">
        <v>772</v>
      </c>
      <c r="G24" s="5">
        <v>267</v>
      </c>
      <c r="H24" s="5"/>
      <c r="I24" s="5"/>
      <c r="J24" s="5">
        <v>513</v>
      </c>
      <c r="K24" s="5">
        <v>313</v>
      </c>
      <c r="L24" s="2">
        <f>318-21</f>
        <v>297</v>
      </c>
      <c r="M24" s="2">
        <f>332-42</f>
        <v>290</v>
      </c>
      <c r="N24">
        <f>448-140</f>
        <v>308</v>
      </c>
      <c r="O24">
        <f>274-3</f>
        <v>271</v>
      </c>
      <c r="P24">
        <f>369-4</f>
        <v>365</v>
      </c>
      <c r="Q24">
        <f>489-6</f>
        <v>483</v>
      </c>
      <c r="R24">
        <f>595-20</f>
        <v>575</v>
      </c>
      <c r="S24">
        <f>157+4</f>
        <v>161</v>
      </c>
      <c r="T24">
        <f>469+30</f>
        <v>499</v>
      </c>
      <c r="U24">
        <v>710</v>
      </c>
      <c r="V24">
        <v>591</v>
      </c>
      <c r="W24">
        <v>672</v>
      </c>
      <c r="X24">
        <v>753</v>
      </c>
      <c r="Y24">
        <v>694</v>
      </c>
    </row>
    <row r="25" spans="2:25" x14ac:dyDescent="0.25">
      <c r="B25" s="4" t="s">
        <v>35</v>
      </c>
      <c r="F25" s="5">
        <f>F23-F24</f>
        <v>1814</v>
      </c>
      <c r="G25" s="5">
        <f>G23-G24</f>
        <v>1173</v>
      </c>
      <c r="H25" s="5">
        <f t="shared" ref="H25:K25" si="20">H23-H24</f>
        <v>6669</v>
      </c>
      <c r="I25" s="5">
        <f t="shared" si="20"/>
        <v>6845</v>
      </c>
      <c r="J25" s="5">
        <f t="shared" si="20"/>
        <v>1497.3999999999996</v>
      </c>
      <c r="K25" s="5">
        <f t="shared" si="20"/>
        <v>693</v>
      </c>
      <c r="L25" s="4">
        <f t="shared" ref="L25:N25" si="21">+L23-L24</f>
        <v>774</v>
      </c>
      <c r="M25" s="4">
        <f t="shared" si="21"/>
        <v>926</v>
      </c>
      <c r="N25" s="4">
        <f t="shared" si="21"/>
        <v>672</v>
      </c>
      <c r="O25" s="4">
        <f t="shared" ref="O25:Y25" si="22">+O23-O24</f>
        <v>683</v>
      </c>
      <c r="P25" s="4">
        <f t="shared" si="22"/>
        <v>817</v>
      </c>
      <c r="Q25" s="4">
        <f t="shared" si="22"/>
        <v>1129</v>
      </c>
      <c r="R25" s="4">
        <f t="shared" si="22"/>
        <v>1212</v>
      </c>
      <c r="S25" s="4">
        <f t="shared" si="22"/>
        <v>1249</v>
      </c>
      <c r="T25" s="4">
        <f t="shared" si="22"/>
        <v>1530</v>
      </c>
      <c r="U25" s="4">
        <f t="shared" si="22"/>
        <v>1474</v>
      </c>
      <c r="V25" s="4">
        <f t="shared" si="22"/>
        <v>2075</v>
      </c>
      <c r="W25" s="4">
        <f t="shared" si="22"/>
        <v>1793</v>
      </c>
      <c r="X25" s="4">
        <f t="shared" si="22"/>
        <v>1781</v>
      </c>
      <c r="Y25" s="4">
        <f t="shared" si="22"/>
        <v>1996</v>
      </c>
    </row>
    <row r="26" spans="2:25" x14ac:dyDescent="0.25">
      <c r="B26" s="4" t="s">
        <v>36</v>
      </c>
      <c r="F26" s="9">
        <f>F25/F27</f>
        <v>1.5372881355932204</v>
      </c>
      <c r="G26" s="9">
        <f t="shared" ref="G26" si="23">G25/G27</f>
        <v>0.99406779661016953</v>
      </c>
      <c r="J26" s="9">
        <f t="shared" ref="J26:K26" si="24">J25/J27</f>
        <v>1.2689830508474573</v>
      </c>
      <c r="K26" s="9">
        <f t="shared" si="24"/>
        <v>0.5882852292020373</v>
      </c>
      <c r="L26" s="1">
        <f t="shared" ref="L26:N26" si="25">+L25/L27</f>
        <v>0.65984654731457804</v>
      </c>
      <c r="M26" s="1">
        <f t="shared" si="25"/>
        <v>0.78942881500426254</v>
      </c>
      <c r="N26" s="1">
        <f t="shared" si="25"/>
        <v>0.57337883959044367</v>
      </c>
      <c r="O26" s="1">
        <f t="shared" ref="O26:Y26" si="26">+O25/O27</f>
        <v>0.58177172061328786</v>
      </c>
      <c r="P26" s="1">
        <f t="shared" si="26"/>
        <v>0.69237288135593222</v>
      </c>
      <c r="Q26" s="1">
        <f t="shared" si="26"/>
        <v>0.95677966101694911</v>
      </c>
      <c r="R26" s="1">
        <f t="shared" si="26"/>
        <v>1.0288624787775891</v>
      </c>
      <c r="S26" s="1">
        <f t="shared" si="26"/>
        <v>1.0593723494486853</v>
      </c>
      <c r="T26" s="1">
        <f t="shared" si="26"/>
        <v>1.298811544991511</v>
      </c>
      <c r="U26" s="1">
        <f t="shared" si="26"/>
        <v>1.2641509433962264</v>
      </c>
      <c r="V26" s="1">
        <f t="shared" si="26"/>
        <v>1.7795883361921099</v>
      </c>
      <c r="W26" s="1">
        <f t="shared" si="26"/>
        <v>1.5364181662382177</v>
      </c>
      <c r="X26" s="1">
        <f t="shared" si="26"/>
        <v>1.5274442538593482</v>
      </c>
      <c r="Y26" s="1">
        <f t="shared" si="26"/>
        <v>1.7147766323024054</v>
      </c>
    </row>
    <row r="27" spans="2:25" s="4" customFormat="1" x14ac:dyDescent="0.25">
      <c r="B27" s="4" t="s">
        <v>0</v>
      </c>
      <c r="C27" s="5"/>
      <c r="D27" s="5"/>
      <c r="E27" s="5"/>
      <c r="F27" s="5">
        <v>1180</v>
      </c>
      <c r="G27" s="5">
        <v>1180</v>
      </c>
      <c r="H27" s="5"/>
      <c r="I27" s="5"/>
      <c r="J27" s="5">
        <v>1180</v>
      </c>
      <c r="K27" s="5">
        <v>1178</v>
      </c>
      <c r="L27" s="5">
        <v>1173</v>
      </c>
      <c r="M27" s="5">
        <v>1173</v>
      </c>
      <c r="N27" s="4">
        <v>1172</v>
      </c>
      <c r="O27" s="4">
        <v>1174</v>
      </c>
      <c r="P27" s="4">
        <v>1180</v>
      </c>
      <c r="Q27" s="4">
        <v>1180</v>
      </c>
      <c r="R27" s="4">
        <v>1178</v>
      </c>
      <c r="S27" s="4">
        <v>1179</v>
      </c>
      <c r="T27" s="4">
        <v>1178</v>
      </c>
      <c r="U27" s="4">
        <v>1166</v>
      </c>
      <c r="V27" s="4">
        <v>1166</v>
      </c>
      <c r="W27" s="4">
        <v>1167</v>
      </c>
      <c r="X27" s="4">
        <v>1166</v>
      </c>
      <c r="Y27" s="4">
        <v>1164</v>
      </c>
    </row>
    <row r="30" spans="2:25" x14ac:dyDescent="0.25">
      <c r="B30" t="s">
        <v>32</v>
      </c>
      <c r="J30" s="6">
        <f>J14/F14-1</f>
        <v>5.86019365963657E-2</v>
      </c>
      <c r="K30" s="10">
        <f t="shared" ref="K30:P30" si="27">+K14/G14-1</f>
        <v>0.11483931947069936</v>
      </c>
      <c r="L30" s="10">
        <f t="shared" si="27"/>
        <v>8.052181736392261E-2</v>
      </c>
      <c r="M30" s="10">
        <f t="shared" si="27"/>
        <v>9.2330168005843705E-2</v>
      </c>
      <c r="N30" s="10">
        <f t="shared" si="27"/>
        <v>1.0299719326383405E-2</v>
      </c>
      <c r="O30" s="10">
        <f t="shared" si="27"/>
        <v>5.1575526352974466E-2</v>
      </c>
      <c r="P30" s="10">
        <f t="shared" si="27"/>
        <v>4.8293089092422914E-2</v>
      </c>
      <c r="Q30" s="10">
        <f>+Q14/M14-1</f>
        <v>3.5709509161428343E-2</v>
      </c>
      <c r="R30" s="10">
        <f>+R14/N14-1</f>
        <v>5.0105419818925911E-2</v>
      </c>
      <c r="S30" s="10">
        <f>+S14/O14-1</f>
        <v>8.0489115829078139E-2</v>
      </c>
      <c r="T30" s="10">
        <f>+T14/P14-1</f>
        <v>9.7167063807254372E-2</v>
      </c>
      <c r="U30" s="10">
        <f>+U14/Q14-1</f>
        <v>9.375E-2</v>
      </c>
      <c r="V30" s="10">
        <f t="shared" ref="V30:Y30" si="28">+V14/R14-1</f>
        <v>0.10747608361875516</v>
      </c>
      <c r="W30" s="10">
        <f t="shared" si="28"/>
        <v>0.12075612486009213</v>
      </c>
      <c r="X30" s="10">
        <f t="shared" si="28"/>
        <v>8.9165057915058021E-2</v>
      </c>
      <c r="Y30" s="10">
        <f t="shared" si="28"/>
        <v>7.1546635182998752E-2</v>
      </c>
    </row>
    <row r="32" spans="2:25" x14ac:dyDescent="0.25">
      <c r="B32" t="s">
        <v>68</v>
      </c>
      <c r="T32" s="4">
        <f>+T33-T45</f>
        <v>8195</v>
      </c>
      <c r="U32" s="4">
        <f>+U33-U45</f>
        <v>0</v>
      </c>
      <c r="V32" s="4">
        <f t="shared" ref="V32:Y32" si="29">+V33-V45</f>
        <v>0</v>
      </c>
      <c r="W32" s="4">
        <f t="shared" si="29"/>
        <v>0</v>
      </c>
      <c r="X32" s="4">
        <f t="shared" si="29"/>
        <v>0</v>
      </c>
      <c r="Y32" s="4">
        <f t="shared" si="29"/>
        <v>11835</v>
      </c>
    </row>
    <row r="33" spans="2:25" x14ac:dyDescent="0.25">
      <c r="B33" t="s">
        <v>2</v>
      </c>
      <c r="T33" s="4">
        <f>7870+3808+6109</f>
        <v>17787</v>
      </c>
      <c r="U33" s="4"/>
      <c r="V33" s="4"/>
      <c r="W33" s="4"/>
      <c r="X33" s="4"/>
      <c r="Y33" s="4">
        <f>8554+1380+3964+7058</f>
        <v>20956</v>
      </c>
    </row>
    <row r="34" spans="2:25" x14ac:dyDescent="0.25">
      <c r="B34" t="s">
        <v>49</v>
      </c>
      <c r="T34" s="4">
        <v>6148</v>
      </c>
      <c r="U34" s="4"/>
      <c r="V34" s="4"/>
      <c r="W34" s="4"/>
      <c r="X34" s="4"/>
      <c r="Y34" s="4">
        <v>5778</v>
      </c>
    </row>
    <row r="35" spans="2:25" x14ac:dyDescent="0.25">
      <c r="B35" t="s">
        <v>50</v>
      </c>
      <c r="T35" s="4">
        <f>2531+3515</f>
        <v>6046</v>
      </c>
      <c r="U35" s="4"/>
      <c r="V35" s="4"/>
      <c r="W35" s="4"/>
      <c r="X35" s="4"/>
      <c r="Y35" s="4">
        <v>2777</v>
      </c>
    </row>
    <row r="36" spans="2:25" x14ac:dyDescent="0.25">
      <c r="B36" t="s">
        <v>37</v>
      </c>
      <c r="T36" s="4">
        <f>539+346</f>
        <v>885</v>
      </c>
      <c r="U36" s="4"/>
      <c r="V36" s="4"/>
      <c r="W36" s="4"/>
      <c r="X36" s="4"/>
      <c r="Y36" s="4">
        <f>418+317</f>
        <v>735</v>
      </c>
    </row>
    <row r="37" spans="2:25" x14ac:dyDescent="0.25">
      <c r="B37" t="s">
        <v>51</v>
      </c>
      <c r="T37" s="4">
        <f>29777+2365</f>
        <v>32142</v>
      </c>
      <c r="U37" s="4"/>
      <c r="V37" s="4"/>
      <c r="W37" s="4"/>
      <c r="X37" s="4"/>
      <c r="Y37" s="4">
        <f>29028+2390</f>
        <v>31418</v>
      </c>
    </row>
    <row r="38" spans="2:25" x14ac:dyDescent="0.25">
      <c r="B38" t="s">
        <v>52</v>
      </c>
      <c r="T38" s="4">
        <v>4255</v>
      </c>
      <c r="U38" s="4"/>
      <c r="V38" s="4"/>
      <c r="W38" s="4"/>
      <c r="X38" s="4"/>
      <c r="Y38" s="4">
        <v>4396</v>
      </c>
    </row>
    <row r="39" spans="2:25" x14ac:dyDescent="0.25">
      <c r="B39" t="s">
        <v>53</v>
      </c>
      <c r="T39" s="4">
        <v>121</v>
      </c>
      <c r="U39" s="4"/>
      <c r="V39" s="4"/>
      <c r="W39" s="4"/>
      <c r="X39" s="4"/>
      <c r="Y39" s="4">
        <v>126</v>
      </c>
    </row>
    <row r="40" spans="2:25" x14ac:dyDescent="0.25">
      <c r="B40" t="s">
        <v>54</v>
      </c>
      <c r="T40" s="4">
        <v>2993</v>
      </c>
      <c r="U40" s="4"/>
      <c r="V40" s="4"/>
      <c r="W40" s="4"/>
      <c r="X40" s="4"/>
      <c r="Y40" s="4">
        <v>2210</v>
      </c>
    </row>
    <row r="41" spans="2:25" x14ac:dyDescent="0.25">
      <c r="B41" t="s">
        <v>55</v>
      </c>
      <c r="T41" s="4">
        <f>SUM(T33:T40)</f>
        <v>70377</v>
      </c>
      <c r="U41" s="4">
        <f t="shared" ref="U41:Y41" si="30">SUM(U33:U40)</f>
        <v>0</v>
      </c>
      <c r="V41" s="4">
        <f t="shared" si="30"/>
        <v>0</v>
      </c>
      <c r="W41" s="4">
        <f t="shared" si="30"/>
        <v>0</v>
      </c>
      <c r="X41" s="4">
        <f t="shared" si="30"/>
        <v>0</v>
      </c>
      <c r="Y41" s="4">
        <f t="shared" si="30"/>
        <v>68396</v>
      </c>
    </row>
    <row r="42" spans="2:25" x14ac:dyDescent="0.25">
      <c r="T42" s="4"/>
      <c r="U42" s="4"/>
      <c r="V42" s="4"/>
      <c r="W42" s="4"/>
      <c r="X42" s="4"/>
      <c r="Y42" s="4"/>
    </row>
    <row r="43" spans="2:25" x14ac:dyDescent="0.25">
      <c r="B43" t="s">
        <v>56</v>
      </c>
      <c r="T43" s="4">
        <f>1875+20</f>
        <v>1895</v>
      </c>
      <c r="U43" s="4"/>
      <c r="V43" s="4"/>
      <c r="W43" s="4"/>
      <c r="X43" s="4"/>
      <c r="Y43" s="4">
        <v>2074</v>
      </c>
    </row>
    <row r="44" spans="2:25" x14ac:dyDescent="0.25">
      <c r="B44" t="s">
        <v>37</v>
      </c>
      <c r="T44" s="4">
        <f>439+818</f>
        <v>1257</v>
      </c>
      <c r="U44" s="4"/>
      <c r="V44" s="4"/>
      <c r="W44" s="4"/>
      <c r="X44" s="4"/>
      <c r="Y44" s="4">
        <f>934+554</f>
        <v>1488</v>
      </c>
    </row>
    <row r="45" spans="2:25" x14ac:dyDescent="0.25">
      <c r="B45" t="s">
        <v>3</v>
      </c>
      <c r="T45" s="4">
        <f>2271+7321</f>
        <v>9592</v>
      </c>
      <c r="U45" s="4"/>
      <c r="V45" s="4"/>
      <c r="W45" s="4"/>
      <c r="X45" s="4"/>
      <c r="Y45" s="4">
        <f>3032+6089</f>
        <v>9121</v>
      </c>
    </row>
    <row r="46" spans="2:25" x14ac:dyDescent="0.25">
      <c r="B46" t="s">
        <v>50</v>
      </c>
      <c r="T46" s="4">
        <f>4002+850</f>
        <v>4852</v>
      </c>
      <c r="U46" s="4"/>
      <c r="V46" s="4"/>
      <c r="W46" s="4"/>
      <c r="X46" s="4"/>
      <c r="Y46" s="4">
        <f>4152+3+520</f>
        <v>4675</v>
      </c>
    </row>
    <row r="47" spans="2:25" x14ac:dyDescent="0.25">
      <c r="B47" t="s">
        <v>57</v>
      </c>
      <c r="T47" s="4">
        <f>2341+444</f>
        <v>2785</v>
      </c>
      <c r="U47" s="4"/>
      <c r="V47" s="4"/>
      <c r="W47" s="4"/>
      <c r="X47" s="4"/>
      <c r="Y47" s="4">
        <f>170+547</f>
        <v>717</v>
      </c>
    </row>
    <row r="48" spans="2:25" x14ac:dyDescent="0.25">
      <c r="B48" t="s">
        <v>58</v>
      </c>
      <c r="T48" s="4">
        <f>7734+55</f>
        <v>7789</v>
      </c>
      <c r="U48" s="4"/>
      <c r="V48" s="4"/>
      <c r="W48" s="4"/>
      <c r="X48" s="4"/>
      <c r="Y48" s="4">
        <f>6749+145</f>
        <v>6894</v>
      </c>
    </row>
    <row r="49" spans="2:25" x14ac:dyDescent="0.25">
      <c r="B49" t="s">
        <v>59</v>
      </c>
      <c r="T49" s="4">
        <v>267</v>
      </c>
      <c r="U49" s="4"/>
      <c r="V49" s="4"/>
      <c r="W49" s="4"/>
      <c r="X49" s="4"/>
      <c r="Y49" s="4">
        <v>187</v>
      </c>
    </row>
    <row r="50" spans="2:25" x14ac:dyDescent="0.25">
      <c r="B50" t="s">
        <v>60</v>
      </c>
      <c r="T50" s="4">
        <v>41942</v>
      </c>
      <c r="U50" s="4"/>
      <c r="V50" s="4"/>
      <c r="W50" s="4"/>
      <c r="X50" s="4"/>
      <c r="Y50" s="4">
        <v>43241</v>
      </c>
    </row>
    <row r="51" spans="2:25" x14ac:dyDescent="0.25">
      <c r="B51" t="s">
        <v>61</v>
      </c>
      <c r="T51" s="4">
        <f>SUM(T43:T50)</f>
        <v>70379</v>
      </c>
      <c r="U51" s="4">
        <f t="shared" ref="U51:Y51" si="31">SUM(U43:U50)</f>
        <v>0</v>
      </c>
      <c r="V51" s="4">
        <f t="shared" si="31"/>
        <v>0</v>
      </c>
      <c r="W51" s="4">
        <f t="shared" si="31"/>
        <v>0</v>
      </c>
      <c r="X51" s="4">
        <f t="shared" si="31"/>
        <v>0</v>
      </c>
      <c r="Y51" s="4">
        <f t="shared" si="31"/>
        <v>68397</v>
      </c>
    </row>
    <row r="53" spans="2:25" s="4" customFormat="1" x14ac:dyDescent="0.25">
      <c r="B53" s="4" t="s">
        <v>38</v>
      </c>
      <c r="C53" s="5"/>
      <c r="D53" s="5"/>
      <c r="E53" s="5"/>
      <c r="F53" s="5"/>
      <c r="G53" s="5">
        <v>103142</v>
      </c>
      <c r="H53" s="5"/>
      <c r="I53" s="5"/>
      <c r="J53" s="5"/>
      <c r="K53" s="5">
        <v>104670</v>
      </c>
      <c r="L53" s="5">
        <v>104988</v>
      </c>
      <c r="M53" s="5">
        <v>106912</v>
      </c>
      <c r="N53" s="5">
        <v>106312</v>
      </c>
      <c r="O53" s="5">
        <v>105132</v>
      </c>
      <c r="P53" s="5">
        <v>105328</v>
      </c>
      <c r="Q53" s="5">
        <v>106495</v>
      </c>
      <c r="R53" s="5">
        <v>107602</v>
      </c>
      <c r="S53" s="5">
        <v>108133</v>
      </c>
      <c r="T53" s="5"/>
    </row>
  </sheetData>
  <hyperlinks>
    <hyperlink ref="A1" location="Main!A1" display="Main" xr:uid="{5A31A477-6A66-4B24-BA68-9FA64C57DD1B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2022-07-02T18:57:28Z</dcterms:created>
  <dcterms:modified xsi:type="dcterms:W3CDTF">2025-11-02T02:35:15Z</dcterms:modified>
</cp:coreProperties>
</file>