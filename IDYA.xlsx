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DAA83CE-0F0D-4077-AA41-6A68D11DA109}" xr6:coauthVersionLast="47" xr6:coauthVersionMax="47" xr10:uidLastSave="{00000000-0000-0000-0000-000000000000}"/>
  <bookViews>
    <workbookView xWindow="41490" yWindow="3560" windowWidth="21540" windowHeight="12540" xr2:uid="{E1C5C3AC-7D79-48FA-8152-F315E533B618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7" i="1" l="1"/>
</calcChain>
</file>

<file path=xl/sharedStrings.xml><?xml version="1.0" encoding="utf-8"?>
<sst xmlns="http://schemas.openxmlformats.org/spreadsheetml/2006/main" count="37" uniqueCount="31">
  <si>
    <t>Price</t>
  </si>
  <si>
    <t>Shares</t>
  </si>
  <si>
    <t>MC</t>
  </si>
  <si>
    <t>Cash</t>
  </si>
  <si>
    <t>Debt</t>
  </si>
  <si>
    <t>EV</t>
  </si>
  <si>
    <t>Name</t>
  </si>
  <si>
    <t>Q225</t>
  </si>
  <si>
    <t>PIC</t>
  </si>
  <si>
    <t>AD</t>
  </si>
  <si>
    <t>Established</t>
  </si>
  <si>
    <t>IDE705 (GSK101)</t>
  </si>
  <si>
    <t>MOA</t>
  </si>
  <si>
    <t>Pol Theta</t>
  </si>
  <si>
    <t>Indication</t>
  </si>
  <si>
    <t>Oncology</t>
  </si>
  <si>
    <t>Phase</t>
  </si>
  <si>
    <t>I</t>
  </si>
  <si>
    <t>IDE275 (GSK959)</t>
  </si>
  <si>
    <t>WRN</t>
  </si>
  <si>
    <t>PKC inhibitor</t>
  </si>
  <si>
    <t>IDE196 (LXS196), darovasertib</t>
  </si>
  <si>
    <t>uveal melanoma</t>
  </si>
  <si>
    <t>II/III</t>
  </si>
  <si>
    <t>IDE849</t>
  </si>
  <si>
    <t>DLL3 ADC</t>
  </si>
  <si>
    <t>PARG</t>
  </si>
  <si>
    <t>IDE161</t>
  </si>
  <si>
    <t>IDE892</t>
  </si>
  <si>
    <t>IDE034</t>
  </si>
  <si>
    <t>IDE574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</si>
</sst>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30DA-AA15-4005-9D2B-2D1E406A9226}">
  <dimension ref="B2:M12"/>
  <sheetViews>
    <sheetView tabSelected="1" zoomScale="130" zoomScaleNormal="130" workbookViewId="0">
      <selection activeCell="B7" sqref="B7"/>
    </sheetView>
  </sheetViews>
  <sheetFormatPr defaultRowHeight="12.5" x14ac:dyDescent="0.25"/>
  <cols>
    <col min="1" max="1" width="4.08984375" style="1" customWidth="1"/>
    <col min="2" max="2" width="26.36328125" style="1" bestFit="1" customWidth="1"/>
    <col min="3" max="3" width="15.26953125" style="1" customWidth="1"/>
    <col min="4" max="4" width="14" style="1" bestFit="1" customWidth="1"/>
    <col min="5" max="5" width="8.7265625" style="1"/>
    <col min="6" max="9" width="6.36328125" style="1" customWidth="1"/>
    <col min="10" max="10" width="6.453125" style="1" customWidth="1"/>
    <col min="11" max="11" width="10.54296875" style="1" customWidth="1"/>
    <col min="12" max="16384" width="8.7265625" style="1"/>
  </cols>
  <sheetData>
    <row r="2" spans="2:13" x14ac:dyDescent="0.25">
      <c r="B2" s="11" t="s">
        <v>6</v>
      </c>
      <c r="C2" s="12" t="s">
        <v>12</v>
      </c>
      <c r="D2" s="12" t="s">
        <v>14</v>
      </c>
      <c r="E2" s="12" t="s">
        <v>16</v>
      </c>
      <c r="F2" s="12"/>
      <c r="G2" s="13"/>
      <c r="K2" s="1" t="s">
        <v>0</v>
      </c>
      <c r="L2" s="2">
        <v>28.66</v>
      </c>
    </row>
    <row r="3" spans="2:13" x14ac:dyDescent="0.25">
      <c r="B3" s="5" t="s">
        <v>21</v>
      </c>
      <c r="C3" s="6" t="s">
        <v>20</v>
      </c>
      <c r="D3" s="6" t="s">
        <v>22</v>
      </c>
      <c r="E3" s="6" t="s">
        <v>23</v>
      </c>
      <c r="F3" s="6"/>
      <c r="G3" s="7"/>
      <c r="K3" s="1" t="s">
        <v>1</v>
      </c>
      <c r="L3" s="3">
        <v>87.643000000000001</v>
      </c>
      <c r="M3" s="4" t="s">
        <v>7</v>
      </c>
    </row>
    <row r="4" spans="2:13" x14ac:dyDescent="0.25">
      <c r="B4" s="5" t="s">
        <v>11</v>
      </c>
      <c r="C4" s="6" t="s">
        <v>13</v>
      </c>
      <c r="D4" s="6" t="s">
        <v>15</v>
      </c>
      <c r="E4" s="6" t="s">
        <v>17</v>
      </c>
      <c r="F4" s="6"/>
      <c r="G4" s="7"/>
      <c r="K4" s="1" t="s">
        <v>2</v>
      </c>
      <c r="L4" s="3">
        <f>+L2*L3</f>
        <v>2511.8483799999999</v>
      </c>
    </row>
    <row r="5" spans="2:13" x14ac:dyDescent="0.25">
      <c r="B5" s="5" t="s">
        <v>18</v>
      </c>
      <c r="C5" s="6" t="s">
        <v>19</v>
      </c>
      <c r="D5" s="6" t="s">
        <v>15</v>
      </c>
      <c r="E5" s="6" t="s">
        <v>17</v>
      </c>
      <c r="F5" s="6"/>
      <c r="G5" s="7"/>
      <c r="K5" s="1" t="s">
        <v>3</v>
      </c>
      <c r="L5" s="3">
        <f>114.645+555.093+322.131</f>
        <v>991.86899999999991</v>
      </c>
      <c r="M5" s="4" t="s">
        <v>7</v>
      </c>
    </row>
    <row r="6" spans="2:13" ht="13" x14ac:dyDescent="0.3">
      <c r="B6" s="14" t="s">
        <v>24</v>
      </c>
      <c r="C6" s="15" t="s">
        <v>25</v>
      </c>
      <c r="D6" s="15" t="s">
        <v>15</v>
      </c>
      <c r="E6" s="15"/>
      <c r="F6" s="15"/>
      <c r="G6" s="16"/>
      <c r="K6" s="1" t="s">
        <v>4</v>
      </c>
      <c r="L6" s="3">
        <v>0</v>
      </c>
      <c r="M6" s="4" t="s">
        <v>7</v>
      </c>
    </row>
    <row r="7" spans="2:13" x14ac:dyDescent="0.25">
      <c r="B7" s="5" t="s">
        <v>27</v>
      </c>
      <c r="C7" s="6" t="s">
        <v>26</v>
      </c>
      <c r="D7" s="6" t="s">
        <v>15</v>
      </c>
      <c r="E7" s="6"/>
      <c r="F7" s="6"/>
      <c r="G7" s="7"/>
      <c r="K7" s="1" t="s">
        <v>5</v>
      </c>
      <c r="L7" s="3">
        <f>+L4-L5+L6</f>
        <v>1519.97938</v>
      </c>
    </row>
    <row r="8" spans="2:13" x14ac:dyDescent="0.25">
      <c r="B8" s="5" t="s">
        <v>29</v>
      </c>
      <c r="C8" s="6"/>
      <c r="D8" s="6"/>
      <c r="E8" s="6"/>
      <c r="F8" s="6"/>
      <c r="G8" s="7"/>
    </row>
    <row r="9" spans="2:13" x14ac:dyDescent="0.25">
      <c r="B9" s="5" t="s">
        <v>30</v>
      </c>
      <c r="C9" s="6"/>
      <c r="D9" s="6"/>
      <c r="E9" s="6"/>
      <c r="F9" s="6"/>
      <c r="G9" s="7"/>
      <c r="K9" s="1" t="s">
        <v>8</v>
      </c>
      <c r="L9" s="3">
        <v>1730.633</v>
      </c>
    </row>
    <row r="10" spans="2:13" x14ac:dyDescent="0.25">
      <c r="B10" s="8" t="s">
        <v>28</v>
      </c>
      <c r="C10" s="9"/>
      <c r="D10" s="9"/>
      <c r="E10" s="9"/>
      <c r="F10" s="9"/>
      <c r="G10" s="10"/>
      <c r="K10" s="1" t="s">
        <v>9</v>
      </c>
      <c r="L10" s="3">
        <v>-772.51</v>
      </c>
    </row>
    <row r="12" spans="2:13" x14ac:dyDescent="0.25">
      <c r="K12" s="1" t="s">
        <v>10</v>
      </c>
      <c r="L12" s="1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2025-10-15T18:35:33Z</dcterms:created>
  <dcterms:modified xsi:type="dcterms:W3CDTF">2025-10-15T18:57:31Z</dcterms:modified>
</cp:coreProperties>
</file>