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tin Shkreli\code\models\"/>
    </mc:Choice>
  </mc:AlternateContent>
  <xr:revisionPtr revIDLastSave="0" documentId="13_ncr:1_{34091995-AB76-4B8C-9DDC-AAA4496BAD20}" xr6:coauthVersionLast="47" xr6:coauthVersionMax="47" xr10:uidLastSave="{00000000-0000-0000-0000-000000000000}"/>
  <bookViews>
    <workbookView xWindow="220" yWindow="240" windowWidth="17850" windowHeight="20070" activeTab="1" xr2:uid="{A417974C-84E3-45BB-9954-F43481646C86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5" i="2" l="1"/>
  <c r="V16" i="2"/>
  <c r="V14" i="2"/>
  <c r="V13" i="2"/>
  <c r="V12" i="2"/>
  <c r="V11" i="2"/>
  <c r="V10" i="2"/>
  <c r="V9" i="2"/>
  <c r="V8" i="2"/>
  <c r="V7" i="2"/>
  <c r="V6" i="2"/>
  <c r="V5" i="2"/>
  <c r="V4" i="2"/>
  <c r="M36" i="2"/>
  <c r="M25" i="2"/>
  <c r="M42" i="2"/>
  <c r="M32" i="2"/>
  <c r="M24" i="2"/>
  <c r="M11" i="2"/>
  <c r="N36" i="2"/>
  <c r="N42" i="2" s="1"/>
  <c r="N25" i="2"/>
  <c r="N32" i="2" s="1"/>
  <c r="N11" i="2"/>
  <c r="N6" i="2"/>
  <c r="N8" i="2" s="1"/>
  <c r="N10" i="2" s="1"/>
  <c r="M6" i="2"/>
  <c r="M18" i="2" s="1"/>
  <c r="R2" i="2"/>
  <c r="P2" i="2"/>
  <c r="O2" i="2"/>
  <c r="M2" i="2"/>
  <c r="Q2" i="2" s="1"/>
  <c r="D21" i="2"/>
  <c r="D20" i="2"/>
  <c r="D22" i="2" s="1"/>
  <c r="D11" i="2"/>
  <c r="E21" i="2"/>
  <c r="F21" i="2" s="1"/>
  <c r="D6" i="2"/>
  <c r="D8" i="2" s="1"/>
  <c r="D10" i="2" s="1"/>
  <c r="K18" i="2"/>
  <c r="J18" i="2"/>
  <c r="I18" i="2"/>
  <c r="L18" i="2"/>
  <c r="I21" i="2"/>
  <c r="J21" i="2" s="1"/>
  <c r="I20" i="2"/>
  <c r="I22" i="2" s="1"/>
  <c r="E11" i="2"/>
  <c r="E8" i="2"/>
  <c r="E6" i="2"/>
  <c r="I11" i="2"/>
  <c r="I6" i="2"/>
  <c r="I8" i="2" s="1"/>
  <c r="I10" i="2" s="1"/>
  <c r="F11" i="2"/>
  <c r="F6" i="2"/>
  <c r="F8" i="2" s="1"/>
  <c r="F10" i="2" s="1"/>
  <c r="F12" i="2" s="1"/>
  <c r="F14" i="2" s="1"/>
  <c r="F15" i="2" s="1"/>
  <c r="J11" i="2"/>
  <c r="J6" i="2"/>
  <c r="J8" i="2" s="1"/>
  <c r="J10" i="2" s="1"/>
  <c r="J12" i="2" s="1"/>
  <c r="J14" i="2" s="1"/>
  <c r="J15" i="2" s="1"/>
  <c r="G22" i="2"/>
  <c r="K22" i="2"/>
  <c r="G11" i="2"/>
  <c r="G6" i="2"/>
  <c r="G8" i="2" s="1"/>
  <c r="G10" i="2" s="1"/>
  <c r="K11" i="2"/>
  <c r="K6" i="2"/>
  <c r="K8" i="2" s="1"/>
  <c r="K10" i="2" s="1"/>
  <c r="H21" i="2"/>
  <c r="L21" i="2"/>
  <c r="M21" i="2" s="1"/>
  <c r="N21" i="2" s="1"/>
  <c r="H20" i="2"/>
  <c r="L20" i="2"/>
  <c r="J4" i="1"/>
  <c r="J7" i="1" s="1"/>
  <c r="L11" i="2"/>
  <c r="H11" i="2"/>
  <c r="H6" i="2"/>
  <c r="H8" i="2" s="1"/>
  <c r="H10" i="2" s="1"/>
  <c r="H12" i="2" s="1"/>
  <c r="H14" i="2" s="1"/>
  <c r="H15" i="2" s="1"/>
  <c r="L6" i="2"/>
  <c r="L8" i="2" s="1"/>
  <c r="L10" i="2" s="1"/>
  <c r="K12" i="2" l="1"/>
  <c r="K14" i="2" s="1"/>
  <c r="K15" i="2" s="1"/>
  <c r="N24" i="2"/>
  <c r="M8" i="2"/>
  <c r="M10" i="2" s="1"/>
  <c r="M12" i="2" s="1"/>
  <c r="M14" i="2" s="1"/>
  <c r="M15" i="2" s="1"/>
  <c r="M20" i="2"/>
  <c r="M22" i="2" s="1"/>
  <c r="H18" i="2"/>
  <c r="J20" i="2"/>
  <c r="J22" i="2" s="1"/>
  <c r="N18" i="2"/>
  <c r="N12" i="2"/>
  <c r="N14" i="2" s="1"/>
  <c r="N15" i="2" s="1"/>
  <c r="E10" i="2"/>
  <c r="D12" i="2"/>
  <c r="D14" i="2" s="1"/>
  <c r="D15" i="2" s="1"/>
  <c r="E20" i="2"/>
  <c r="F20" i="2" s="1"/>
  <c r="E12" i="2"/>
  <c r="E14" i="2" s="1"/>
  <c r="E15" i="2" s="1"/>
  <c r="I12" i="2"/>
  <c r="I14" i="2" s="1"/>
  <c r="I15" i="2" s="1"/>
  <c r="H22" i="2"/>
  <c r="L22" i="2"/>
  <c r="G12" i="2"/>
  <c r="G14" i="2" s="1"/>
  <c r="G15" i="2" s="1"/>
  <c r="L12" i="2"/>
  <c r="L14" i="2" s="1"/>
  <c r="L15" i="2" s="1"/>
  <c r="N20" i="2" l="1"/>
  <c r="N22" i="2" s="1"/>
  <c r="F22" i="2"/>
  <c r="E22" i="2"/>
</calcChain>
</file>

<file path=xl/sharedStrings.xml><?xml version="1.0" encoding="utf-8"?>
<sst xmlns="http://schemas.openxmlformats.org/spreadsheetml/2006/main" count="59" uniqueCount="54">
  <si>
    <t>Price</t>
  </si>
  <si>
    <t>Shares</t>
  </si>
  <si>
    <t>MC</t>
  </si>
  <si>
    <t>Cash</t>
  </si>
  <si>
    <t>Debt</t>
  </si>
  <si>
    <t>EV</t>
  </si>
  <si>
    <t>Main</t>
  </si>
  <si>
    <t>Revenue</t>
  </si>
  <si>
    <t>Fees</t>
  </si>
  <si>
    <t>Merchandise</t>
  </si>
  <si>
    <t>EPS</t>
  </si>
  <si>
    <t>Net Income</t>
  </si>
  <si>
    <t>Taxes</t>
  </si>
  <si>
    <t>Pretax Income</t>
  </si>
  <si>
    <t>Interest</t>
  </si>
  <si>
    <t>COGS</t>
  </si>
  <si>
    <t>Gross Profit</t>
  </si>
  <si>
    <t>SG&amp;A</t>
  </si>
  <si>
    <t>Operating Income</t>
  </si>
  <si>
    <t>CFFO</t>
  </si>
  <si>
    <t>CX</t>
  </si>
  <si>
    <t>FCF</t>
  </si>
  <si>
    <t>Revenue y/y</t>
  </si>
  <si>
    <t>Assets</t>
  </si>
  <si>
    <t>OLTA</t>
  </si>
  <si>
    <t>ROU</t>
  </si>
  <si>
    <t>PP&amp;E</t>
  </si>
  <si>
    <t>Inventories</t>
  </si>
  <si>
    <t>OCA</t>
  </si>
  <si>
    <t>AR</t>
  </si>
  <si>
    <t>AP</t>
  </si>
  <si>
    <t>Salaries</t>
  </si>
  <si>
    <t>Rewards/Fees</t>
  </si>
  <si>
    <t>OCL</t>
  </si>
  <si>
    <t>Lease</t>
  </si>
  <si>
    <t>OLTL</t>
  </si>
  <si>
    <t>SE</t>
  </si>
  <si>
    <t>L+SE</t>
  </si>
  <si>
    <t>Net Cash</t>
  </si>
  <si>
    <t>Q325</t>
  </si>
  <si>
    <t>FY25</t>
  </si>
  <si>
    <t>FQ425</t>
  </si>
  <si>
    <t>FQ325</t>
  </si>
  <si>
    <t>FQ225</t>
  </si>
  <si>
    <t>FQ125</t>
  </si>
  <si>
    <t>FQ424</t>
  </si>
  <si>
    <t>FQ124</t>
  </si>
  <si>
    <t>FQ224</t>
  </si>
  <si>
    <t>FQ324</t>
  </si>
  <si>
    <t>FQ126</t>
  </si>
  <si>
    <t>FQ226</t>
  </si>
  <si>
    <t>FQ326</t>
  </si>
  <si>
    <t>FQ426</t>
  </si>
  <si>
    <t>FY26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</si>
</sst>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;@"/>
  </numFmts>
  <fonts count="5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u/>
      <sz val="11"/>
      <color theme="10"/>
      <name val="Aptos Narrow"/>
      <family val="2"/>
      <scheme val="minor"/>
    </font>
    <font>
      <b/>
      <sz val="10"/>
      <color theme="1"/>
      <name val="Arial"/>
      <family val="2"/>
    </font>
    <font>
      <u/>
      <sz val="10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3" fontId="1" fillId="0" borderId="0" xfId="0" applyNumberFormat="1" applyFont="1"/>
    <xf numFmtId="3" fontId="3" fillId="0" borderId="0" xfId="0" applyNumberFormat="1" applyFont="1"/>
    <xf numFmtId="4" fontId="1" fillId="0" borderId="0" xfId="0" applyNumberFormat="1" applyFont="1"/>
    <xf numFmtId="0" fontId="1" fillId="0" borderId="0" xfId="0" applyFont="1" applyAlignment="1">
      <alignment horizontal="right"/>
    </xf>
    <xf numFmtId="0" fontId="4" fillId="0" borderId="0" xfId="1" applyFont="1"/>
    <xf numFmtId="164" fontId="1" fillId="0" borderId="0" xfId="0" applyNumberFormat="1" applyFont="1"/>
    <xf numFmtId="9" fontId="1" fillId="0" borderId="0" xfId="0" applyNumberFormat="1" applyFont="1"/>
    <xf numFmtId="164" fontId="1" fillId="0" borderId="0" xfId="0" applyNumberFormat="1" applyFont="1" applyAlignment="1">
      <alignment horizontal="right"/>
    </xf>
    <xf numFmtId="3" fontId="1" fillId="0" borderId="0" xfId="0" applyNumberFormat="1" applyFont="1" applyAlignment="1">
      <alignment horizontal="right"/>
    </xf>
    <xf numFmtId="3" fontId="3" fillId="0" borderId="0" xfId="0" applyNumberFormat="1" applyFont="1" applyAlignment="1">
      <alignment horizontal="righ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26276</xdr:colOff>
      <xdr:row>0</xdr:row>
      <xdr:rowOff>39414</xdr:rowOff>
    </xdr:from>
    <xdr:to>
      <xdr:col>14</xdr:col>
      <xdr:colOff>26276</xdr:colOff>
      <xdr:row>50</xdr:row>
      <xdr:rowOff>8759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C76DCC8E-C2AC-98E1-BE98-19C762633698}"/>
            </a:ext>
          </a:extLst>
        </xdr:cNvPr>
        <xdr:cNvCxnSpPr/>
      </xdr:nvCxnSpPr>
      <xdr:spPr>
        <a:xfrm>
          <a:off x="9222828" y="39414"/>
          <a:ext cx="0" cy="7703207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2ACE3-046E-4AC2-8D68-BB925063D7D7}">
  <dimension ref="I2:K7"/>
  <sheetViews>
    <sheetView topLeftCell="D1" zoomScale="190" zoomScaleNormal="190" workbookViewId="0">
      <selection activeCell="K6" sqref="K6"/>
    </sheetView>
  </sheetViews>
  <sheetFormatPr defaultRowHeight="12.5" x14ac:dyDescent="0.25"/>
  <cols>
    <col min="1" max="16384" width="8.7265625" style="1"/>
  </cols>
  <sheetData>
    <row r="2" spans="9:11" x14ac:dyDescent="0.25">
      <c r="I2" s="1" t="s">
        <v>0</v>
      </c>
      <c r="J2" s="4">
        <v>914</v>
      </c>
    </row>
    <row r="3" spans="9:11" x14ac:dyDescent="0.25">
      <c r="I3" s="1" t="s">
        <v>1</v>
      </c>
      <c r="J3" s="1">
        <v>445</v>
      </c>
      <c r="K3" s="5" t="s">
        <v>39</v>
      </c>
    </row>
    <row r="4" spans="9:11" x14ac:dyDescent="0.25">
      <c r="I4" s="1" t="s">
        <v>2</v>
      </c>
      <c r="J4" s="2">
        <f>+J2*J3</f>
        <v>406730</v>
      </c>
      <c r="K4" s="5"/>
    </row>
    <row r="5" spans="9:11" x14ac:dyDescent="0.25">
      <c r="I5" s="1" t="s">
        <v>3</v>
      </c>
      <c r="J5" s="2">
        <v>15284</v>
      </c>
      <c r="K5" s="5" t="s">
        <v>39</v>
      </c>
    </row>
    <row r="6" spans="9:11" x14ac:dyDescent="0.25">
      <c r="I6" s="1" t="s">
        <v>4</v>
      </c>
      <c r="J6" s="2">
        <v>5713</v>
      </c>
      <c r="K6" s="5" t="s">
        <v>39</v>
      </c>
    </row>
    <row r="7" spans="9:11" x14ac:dyDescent="0.25">
      <c r="I7" s="1" t="s">
        <v>5</v>
      </c>
      <c r="J7" s="2">
        <f>+J4-J5+J6</f>
        <v>397159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457DD-B4A5-4633-B41D-28FA9C054CD1}">
  <dimension ref="A1:W42"/>
  <sheetViews>
    <sheetView tabSelected="1" zoomScale="115" zoomScaleNormal="115" workbookViewId="0">
      <pane xSplit="2" ySplit="3" topLeftCell="D4" activePane="bottomRight" state="frozen"/>
      <selection pane="topRight" activeCell="C1" sqref="C1"/>
      <selection pane="bottomLeft" activeCell="A4" sqref="A4"/>
      <selection pane="bottomRight" activeCell="D15" sqref="D15"/>
    </sheetView>
  </sheetViews>
  <sheetFormatPr defaultRowHeight="12.5" x14ac:dyDescent="0.25"/>
  <cols>
    <col min="1" max="1" width="4.7265625" style="1" bestFit="1" customWidth="1"/>
    <col min="2" max="2" width="16.08984375" style="1" customWidth="1"/>
    <col min="3" max="12" width="9.36328125" style="1" customWidth="1"/>
    <col min="13" max="21" width="8.7265625" style="1"/>
    <col min="22" max="23" width="8.7265625" style="5"/>
    <col min="24" max="16384" width="8.7265625" style="1"/>
  </cols>
  <sheetData>
    <row r="1" spans="1:23" x14ac:dyDescent="0.25">
      <c r="A1" s="6" t="s">
        <v>6</v>
      </c>
    </row>
    <row r="2" spans="1:23" s="7" customFormat="1" x14ac:dyDescent="0.25">
      <c r="D2" s="7">
        <v>44969</v>
      </c>
      <c r="E2" s="7">
        <v>45053</v>
      </c>
      <c r="F2" s="7">
        <v>45172</v>
      </c>
      <c r="G2" s="7">
        <v>45256</v>
      </c>
      <c r="H2" s="7">
        <v>45340</v>
      </c>
      <c r="I2" s="7">
        <v>45424</v>
      </c>
      <c r="J2" s="7">
        <v>45536</v>
      </c>
      <c r="K2" s="7">
        <v>45620</v>
      </c>
      <c r="L2" s="7">
        <v>45704</v>
      </c>
      <c r="M2" s="7">
        <f>+I2+365</f>
        <v>45789</v>
      </c>
      <c r="N2" s="7">
        <v>45900</v>
      </c>
      <c r="O2" s="7">
        <f>+K2+365</f>
        <v>45985</v>
      </c>
      <c r="P2" s="7">
        <f>+L2+365</f>
        <v>46069</v>
      </c>
      <c r="Q2" s="7">
        <f>+M2+365</f>
        <v>46154</v>
      </c>
      <c r="R2" s="7">
        <f>+N2+365</f>
        <v>46265</v>
      </c>
      <c r="V2" s="9"/>
      <c r="W2" s="9"/>
    </row>
    <row r="3" spans="1:23" s="7" customFormat="1" x14ac:dyDescent="0.25">
      <c r="G3" s="9" t="s">
        <v>46</v>
      </c>
      <c r="H3" s="9" t="s">
        <v>47</v>
      </c>
      <c r="I3" s="9" t="s">
        <v>48</v>
      </c>
      <c r="J3" s="9" t="s">
        <v>45</v>
      </c>
      <c r="K3" s="9" t="s">
        <v>44</v>
      </c>
      <c r="L3" s="9" t="s">
        <v>43</v>
      </c>
      <c r="M3" s="9" t="s">
        <v>42</v>
      </c>
      <c r="N3" s="9" t="s">
        <v>41</v>
      </c>
      <c r="O3" s="9" t="s">
        <v>49</v>
      </c>
      <c r="P3" s="9" t="s">
        <v>50</v>
      </c>
      <c r="Q3" s="9" t="s">
        <v>51</v>
      </c>
      <c r="R3" s="9" t="s">
        <v>52</v>
      </c>
      <c r="V3" s="9" t="s">
        <v>40</v>
      </c>
      <c r="W3" s="9" t="s">
        <v>53</v>
      </c>
    </row>
    <row r="4" spans="1:23" s="2" customFormat="1" x14ac:dyDescent="0.25">
      <c r="B4" s="2" t="s">
        <v>9</v>
      </c>
      <c r="D4" s="2">
        <v>54239</v>
      </c>
      <c r="E4" s="2">
        <v>52604</v>
      </c>
      <c r="F4" s="2">
        <v>77430</v>
      </c>
      <c r="G4" s="2">
        <v>56717</v>
      </c>
      <c r="H4" s="2">
        <v>57331</v>
      </c>
      <c r="I4" s="2">
        <v>57392</v>
      </c>
      <c r="J4" s="2">
        <v>78185</v>
      </c>
      <c r="K4" s="2">
        <v>60985</v>
      </c>
      <c r="L4" s="2">
        <v>62530</v>
      </c>
      <c r="M4" s="2">
        <v>61965</v>
      </c>
      <c r="N4" s="2">
        <v>84432</v>
      </c>
      <c r="V4" s="10">
        <f>SUM(K4:N4)</f>
        <v>269912</v>
      </c>
      <c r="W4" s="10"/>
    </row>
    <row r="5" spans="1:23" s="2" customFormat="1" x14ac:dyDescent="0.25">
      <c r="B5" s="2" t="s">
        <v>8</v>
      </c>
      <c r="D5" s="2">
        <v>1027</v>
      </c>
      <c r="E5" s="2">
        <v>1044</v>
      </c>
      <c r="F5" s="2">
        <v>1509</v>
      </c>
      <c r="G5" s="2">
        <v>1082</v>
      </c>
      <c r="H5" s="2">
        <v>1111</v>
      </c>
      <c r="I5" s="2">
        <v>1123</v>
      </c>
      <c r="J5" s="2">
        <v>1512</v>
      </c>
      <c r="K5" s="2">
        <v>1166</v>
      </c>
      <c r="L5" s="2">
        <v>1193</v>
      </c>
      <c r="M5" s="2">
        <v>1240</v>
      </c>
      <c r="N5" s="2">
        <v>1724</v>
      </c>
      <c r="V5" s="10">
        <f>SUM(K5:N5)</f>
        <v>5323</v>
      </c>
      <c r="W5" s="10"/>
    </row>
    <row r="6" spans="1:23" s="3" customFormat="1" ht="13" x14ac:dyDescent="0.3">
      <c r="B6" s="3" t="s">
        <v>7</v>
      </c>
      <c r="D6" s="3">
        <f t="shared" ref="D6:N6" si="0">+D4+D5</f>
        <v>55266</v>
      </c>
      <c r="E6" s="3">
        <f t="shared" si="0"/>
        <v>53648</v>
      </c>
      <c r="F6" s="3">
        <f t="shared" si="0"/>
        <v>78939</v>
      </c>
      <c r="G6" s="3">
        <f t="shared" si="0"/>
        <v>57799</v>
      </c>
      <c r="H6" s="3">
        <f t="shared" si="0"/>
        <v>58442</v>
      </c>
      <c r="I6" s="3">
        <f t="shared" si="0"/>
        <v>58515</v>
      </c>
      <c r="J6" s="3">
        <f t="shared" si="0"/>
        <v>79697</v>
      </c>
      <c r="K6" s="3">
        <f t="shared" si="0"/>
        <v>62151</v>
      </c>
      <c r="L6" s="3">
        <f t="shared" si="0"/>
        <v>63723</v>
      </c>
      <c r="M6" s="3">
        <f t="shared" si="0"/>
        <v>63205</v>
      </c>
      <c r="N6" s="3">
        <f t="shared" si="0"/>
        <v>86156</v>
      </c>
      <c r="V6" s="3">
        <f t="shared" ref="V6" si="1">+V4+V5</f>
        <v>275235</v>
      </c>
      <c r="W6" s="11"/>
    </row>
    <row r="7" spans="1:23" s="2" customFormat="1" x14ac:dyDescent="0.25">
      <c r="B7" s="2" t="s">
        <v>15</v>
      </c>
      <c r="D7" s="2">
        <v>48423</v>
      </c>
      <c r="E7" s="2">
        <v>47175</v>
      </c>
      <c r="F7" s="2">
        <v>69219</v>
      </c>
      <c r="G7" s="2">
        <v>50457</v>
      </c>
      <c r="H7" s="2">
        <v>51140</v>
      </c>
      <c r="I7" s="2">
        <v>51173</v>
      </c>
      <c r="J7" s="2">
        <v>69588</v>
      </c>
      <c r="K7" s="2">
        <v>54109</v>
      </c>
      <c r="L7" s="2">
        <v>55744</v>
      </c>
      <c r="M7" s="2">
        <v>54996</v>
      </c>
      <c r="N7" s="2">
        <v>75037</v>
      </c>
      <c r="V7" s="10">
        <f>SUM(K7:N7)</f>
        <v>239886</v>
      </c>
      <c r="W7" s="10"/>
    </row>
    <row r="8" spans="1:23" s="2" customFormat="1" x14ac:dyDescent="0.25">
      <c r="B8" s="2" t="s">
        <v>16</v>
      </c>
      <c r="D8" s="2">
        <f t="shared" ref="D8:M8" si="2">+D6-D7</f>
        <v>6843</v>
      </c>
      <c r="E8" s="2">
        <f t="shared" si="2"/>
        <v>6473</v>
      </c>
      <c r="F8" s="2">
        <f t="shared" si="2"/>
        <v>9720</v>
      </c>
      <c r="G8" s="2">
        <f t="shared" si="2"/>
        <v>7342</v>
      </c>
      <c r="H8" s="2">
        <f t="shared" si="2"/>
        <v>7302</v>
      </c>
      <c r="I8" s="2">
        <f t="shared" si="2"/>
        <v>7342</v>
      </c>
      <c r="J8" s="2">
        <f t="shared" si="2"/>
        <v>10109</v>
      </c>
      <c r="K8" s="2">
        <f t="shared" si="2"/>
        <v>8042</v>
      </c>
      <c r="L8" s="2">
        <f t="shared" si="2"/>
        <v>7979</v>
      </c>
      <c r="M8" s="2">
        <f t="shared" si="2"/>
        <v>8209</v>
      </c>
      <c r="N8" s="2">
        <f>+N6-N7</f>
        <v>11119</v>
      </c>
      <c r="V8" s="10">
        <f>+V6-V7</f>
        <v>35349</v>
      </c>
      <c r="W8" s="10"/>
    </row>
    <row r="9" spans="1:23" s="2" customFormat="1" x14ac:dyDescent="0.25">
      <c r="B9" s="2" t="s">
        <v>17</v>
      </c>
      <c r="D9" s="2">
        <v>4940</v>
      </c>
      <c r="E9" s="2">
        <v>4794</v>
      </c>
      <c r="F9" s="2">
        <v>6939</v>
      </c>
      <c r="G9" s="2">
        <v>5358</v>
      </c>
      <c r="H9" s="2">
        <v>5240</v>
      </c>
      <c r="I9" s="2">
        <v>5145</v>
      </c>
      <c r="J9" s="2">
        <v>7067</v>
      </c>
      <c r="K9" s="2">
        <v>5846</v>
      </c>
      <c r="L9" s="2">
        <v>5663</v>
      </c>
      <c r="M9" s="2">
        <v>5679</v>
      </c>
      <c r="N9" s="2">
        <v>7778</v>
      </c>
      <c r="V9" s="10">
        <f>SUM(K9:N9)</f>
        <v>24966</v>
      </c>
      <c r="W9" s="10"/>
    </row>
    <row r="10" spans="1:23" s="2" customFormat="1" x14ac:dyDescent="0.25">
      <c r="B10" s="2" t="s">
        <v>18</v>
      </c>
      <c r="D10" s="2">
        <f t="shared" ref="D10:N10" si="3">+D8-D9</f>
        <v>1903</v>
      </c>
      <c r="E10" s="2">
        <f t="shared" si="3"/>
        <v>1679</v>
      </c>
      <c r="F10" s="2">
        <f t="shared" si="3"/>
        <v>2781</v>
      </c>
      <c r="G10" s="2">
        <f t="shared" si="3"/>
        <v>1984</v>
      </c>
      <c r="H10" s="2">
        <f t="shared" si="3"/>
        <v>2062</v>
      </c>
      <c r="I10" s="2">
        <f t="shared" si="3"/>
        <v>2197</v>
      </c>
      <c r="J10" s="2">
        <f t="shared" si="3"/>
        <v>3042</v>
      </c>
      <c r="K10" s="2">
        <f t="shared" si="3"/>
        <v>2196</v>
      </c>
      <c r="L10" s="2">
        <f t="shared" si="3"/>
        <v>2316</v>
      </c>
      <c r="M10" s="2">
        <f t="shared" si="3"/>
        <v>2530</v>
      </c>
      <c r="N10" s="2">
        <f t="shared" si="3"/>
        <v>3341</v>
      </c>
      <c r="V10" s="2">
        <f t="shared" ref="V10" si="4">+V8-V9</f>
        <v>10383</v>
      </c>
      <c r="W10" s="10"/>
    </row>
    <row r="11" spans="1:23" x14ac:dyDescent="0.25">
      <c r="B11" s="1" t="s">
        <v>14</v>
      </c>
      <c r="D11" s="1">
        <f>-34+114</f>
        <v>80</v>
      </c>
      <c r="E11" s="1">
        <f>-36+128</f>
        <v>92</v>
      </c>
      <c r="F11" s="1">
        <f>-56+238</f>
        <v>182</v>
      </c>
      <c r="G11" s="1">
        <f>-38+160</f>
        <v>122</v>
      </c>
      <c r="H11" s="1">
        <f>-41+216</f>
        <v>175</v>
      </c>
      <c r="I11" s="1">
        <f>-41+128</f>
        <v>87</v>
      </c>
      <c r="J11" s="1">
        <f>-49+120</f>
        <v>71</v>
      </c>
      <c r="K11" s="1">
        <f>-37+147</f>
        <v>110</v>
      </c>
      <c r="L11" s="1">
        <f>-36+142</f>
        <v>106</v>
      </c>
      <c r="M11" s="1">
        <f>-35+85</f>
        <v>50</v>
      </c>
      <c r="N11" s="1">
        <f>-46+215</f>
        <v>169</v>
      </c>
      <c r="V11" s="10">
        <f>SUM(K11:N11)</f>
        <v>435</v>
      </c>
    </row>
    <row r="12" spans="1:23" x14ac:dyDescent="0.25">
      <c r="B12" s="1" t="s">
        <v>13</v>
      </c>
      <c r="C12" s="2"/>
      <c r="D12" s="2">
        <f t="shared" ref="D12:N12" si="5">+D10+D11</f>
        <v>1983</v>
      </c>
      <c r="E12" s="2">
        <f t="shared" si="5"/>
        <v>1771</v>
      </c>
      <c r="F12" s="2">
        <f t="shared" si="5"/>
        <v>2963</v>
      </c>
      <c r="G12" s="2">
        <f t="shared" si="5"/>
        <v>2106</v>
      </c>
      <c r="H12" s="2">
        <f t="shared" si="5"/>
        <v>2237</v>
      </c>
      <c r="I12" s="2">
        <f t="shared" si="5"/>
        <v>2284</v>
      </c>
      <c r="J12" s="2">
        <f t="shared" si="5"/>
        <v>3113</v>
      </c>
      <c r="K12" s="2">
        <f t="shared" si="5"/>
        <v>2306</v>
      </c>
      <c r="L12" s="2">
        <f t="shared" si="5"/>
        <v>2422</v>
      </c>
      <c r="M12" s="2">
        <f t="shared" si="5"/>
        <v>2580</v>
      </c>
      <c r="N12" s="2">
        <f t="shared" si="5"/>
        <v>3510</v>
      </c>
      <c r="V12" s="2">
        <f t="shared" ref="V12" si="6">+V10+V11</f>
        <v>10818</v>
      </c>
    </row>
    <row r="13" spans="1:23" x14ac:dyDescent="0.25">
      <c r="B13" s="1" t="s">
        <v>12</v>
      </c>
      <c r="D13" s="1">
        <v>517</v>
      </c>
      <c r="E13" s="1">
        <v>469</v>
      </c>
      <c r="F13" s="1">
        <v>803</v>
      </c>
      <c r="G13" s="1">
        <v>517</v>
      </c>
      <c r="H13" s="1">
        <v>494</v>
      </c>
      <c r="I13" s="1">
        <v>603</v>
      </c>
      <c r="J13" s="1">
        <v>759</v>
      </c>
      <c r="K13" s="1">
        <v>508</v>
      </c>
      <c r="L13" s="1">
        <v>634</v>
      </c>
      <c r="M13" s="1">
        <v>677</v>
      </c>
      <c r="N13" s="1">
        <v>900</v>
      </c>
      <c r="V13" s="10">
        <f>SUM(K13:N13)</f>
        <v>2719</v>
      </c>
    </row>
    <row r="14" spans="1:23" x14ac:dyDescent="0.25">
      <c r="B14" s="1" t="s">
        <v>11</v>
      </c>
      <c r="C14" s="2"/>
      <c r="D14" s="2">
        <f t="shared" ref="D14:N14" si="7">+D12-D13</f>
        <v>1466</v>
      </c>
      <c r="E14" s="2">
        <f t="shared" si="7"/>
        <v>1302</v>
      </c>
      <c r="F14" s="2">
        <f t="shared" si="7"/>
        <v>2160</v>
      </c>
      <c r="G14" s="2">
        <f t="shared" si="7"/>
        <v>1589</v>
      </c>
      <c r="H14" s="2">
        <f t="shared" si="7"/>
        <v>1743</v>
      </c>
      <c r="I14" s="2">
        <f t="shared" si="7"/>
        <v>1681</v>
      </c>
      <c r="J14" s="2">
        <f t="shared" si="7"/>
        <v>2354</v>
      </c>
      <c r="K14" s="2">
        <f t="shared" si="7"/>
        <v>1798</v>
      </c>
      <c r="L14" s="2">
        <f t="shared" si="7"/>
        <v>1788</v>
      </c>
      <c r="M14" s="2">
        <f t="shared" si="7"/>
        <v>1903</v>
      </c>
      <c r="N14" s="2">
        <f t="shared" si="7"/>
        <v>2610</v>
      </c>
      <c r="V14" s="2">
        <f t="shared" ref="V14" si="8">+V12-V13</f>
        <v>8099</v>
      </c>
    </row>
    <row r="15" spans="1:23" x14ac:dyDescent="0.25">
      <c r="B15" s="1" t="s">
        <v>10</v>
      </c>
      <c r="C15" s="4"/>
      <c r="D15" s="4">
        <f t="shared" ref="D15:N15" si="9">+D14/D16</f>
        <v>3.2982732437144944</v>
      </c>
      <c r="E15" s="4">
        <f t="shared" si="9"/>
        <v>2.9300567107750473</v>
      </c>
      <c r="F15" s="4">
        <f t="shared" si="9"/>
        <v>4.8599939250075934</v>
      </c>
      <c r="G15" s="4">
        <f t="shared" si="9"/>
        <v>3.575583423154209</v>
      </c>
      <c r="H15" s="4">
        <f t="shared" si="9"/>
        <v>3.9190204022898052</v>
      </c>
      <c r="I15" s="4">
        <f t="shared" si="9"/>
        <v>3.7789887327236595</v>
      </c>
      <c r="J15" s="4">
        <f t="shared" si="9"/>
        <v>5.2901610645044581</v>
      </c>
      <c r="K15" s="4">
        <f t="shared" si="9"/>
        <v>4.0414393637992223</v>
      </c>
      <c r="L15" s="4">
        <f t="shared" si="9"/>
        <v>4.0190071164298269</v>
      </c>
      <c r="M15" s="4">
        <f t="shared" si="9"/>
        <v>4.2786928739415684</v>
      </c>
      <c r="N15" s="4">
        <f t="shared" si="9"/>
        <v>5.8690460663899291</v>
      </c>
      <c r="V15" s="4">
        <f t="shared" ref="V15" si="10">+V14/V16</f>
        <v>18.207722938662187</v>
      </c>
    </row>
    <row r="16" spans="1:23" x14ac:dyDescent="0.25">
      <c r="B16" s="1" t="s">
        <v>1</v>
      </c>
      <c r="C16" s="2"/>
      <c r="D16" s="2">
        <v>444.47500000000002</v>
      </c>
      <c r="E16" s="2">
        <v>444.36</v>
      </c>
      <c r="F16" s="2">
        <v>444.44499999999999</v>
      </c>
      <c r="G16" s="2">
        <v>444.40300000000002</v>
      </c>
      <c r="H16" s="2">
        <v>444.75400000000002</v>
      </c>
      <c r="I16" s="2">
        <v>444.82799999999997</v>
      </c>
      <c r="J16" s="2">
        <v>444.97699999999998</v>
      </c>
      <c r="K16" s="2">
        <v>444.89100000000002</v>
      </c>
      <c r="L16" s="2">
        <v>444.88600000000002</v>
      </c>
      <c r="M16" s="2">
        <v>444.762</v>
      </c>
      <c r="N16" s="2">
        <v>444.70600000000002</v>
      </c>
      <c r="V16" s="10">
        <f>AVERAGE(K16:N16)</f>
        <v>444.81124999999997</v>
      </c>
    </row>
    <row r="18" spans="2:23" x14ac:dyDescent="0.25">
      <c r="B18" s="1" t="s">
        <v>22</v>
      </c>
      <c r="H18" s="8">
        <f t="shared" ref="H18:K18" si="11">+H6/D6-1</f>
        <v>5.7467520717982223E-2</v>
      </c>
      <c r="I18" s="8">
        <f t="shared" si="11"/>
        <v>9.0720996122874986E-2</v>
      </c>
      <c r="J18" s="8">
        <f t="shared" si="11"/>
        <v>9.6023511825586993E-3</v>
      </c>
      <c r="K18" s="8">
        <f t="shared" si="11"/>
        <v>7.5295420335991903E-2</v>
      </c>
      <c r="L18" s="8">
        <f>+L6/H6-1</f>
        <v>9.0363095034392993E-2</v>
      </c>
      <c r="M18" s="8">
        <f>+M6/I6-1</f>
        <v>8.0150388789199445E-2</v>
      </c>
      <c r="N18" s="8">
        <f>+N6/J6-1</f>
        <v>8.1044455876632782E-2</v>
      </c>
    </row>
    <row r="20" spans="2:23" s="2" customFormat="1" x14ac:dyDescent="0.25">
      <c r="B20" s="2" t="s">
        <v>19</v>
      </c>
      <c r="D20" s="2">
        <f>5802-C20</f>
        <v>5802</v>
      </c>
      <c r="E20" s="2">
        <f>7343-D20-C20</f>
        <v>1541</v>
      </c>
      <c r="F20" s="2">
        <f>11068-E20-D20-C20</f>
        <v>3725</v>
      </c>
      <c r="G20" s="2">
        <v>4651</v>
      </c>
      <c r="H20" s="2">
        <f>5382-G20</f>
        <v>731</v>
      </c>
      <c r="I20" s="2">
        <f>8381-H20-G20</f>
        <v>2999</v>
      </c>
      <c r="J20" s="2">
        <f>11339-I20-H20-G20</f>
        <v>2958</v>
      </c>
      <c r="K20" s="2">
        <v>3260</v>
      </c>
      <c r="L20" s="2">
        <f>6008-K20</f>
        <v>2748</v>
      </c>
      <c r="M20" s="2">
        <f>9468-L20-K20</f>
        <v>3460</v>
      </c>
      <c r="N20" s="2">
        <f>13335-M20-L20-K20</f>
        <v>3867</v>
      </c>
      <c r="V20" s="10"/>
      <c r="W20" s="10"/>
    </row>
    <row r="21" spans="2:23" s="2" customFormat="1" x14ac:dyDescent="0.25">
      <c r="B21" s="2" t="s">
        <v>20</v>
      </c>
      <c r="D21" s="2">
        <f>-1947-C21</f>
        <v>-1947</v>
      </c>
      <c r="E21" s="2">
        <f>-2767-D21-C21</f>
        <v>-820</v>
      </c>
      <c r="F21" s="2">
        <f>-1622-E21-D21-C21</f>
        <v>1145</v>
      </c>
      <c r="G21" s="2">
        <v>-1040</v>
      </c>
      <c r="H21" s="2">
        <f>-2071-G21</f>
        <v>-1031</v>
      </c>
      <c r="I21" s="2">
        <f>-3133-H21-G21</f>
        <v>-1062</v>
      </c>
      <c r="J21" s="2">
        <f>-4710-I21-H21-G21</f>
        <v>-1577</v>
      </c>
      <c r="K21" s="2">
        <v>-1264</v>
      </c>
      <c r="L21" s="2">
        <f>-2401-K21</f>
        <v>-1137</v>
      </c>
      <c r="M21" s="2">
        <f>-3532-L21-K21</f>
        <v>-1131</v>
      </c>
      <c r="N21" s="2">
        <f>-5498-M21-L21-K21</f>
        <v>-1966</v>
      </c>
      <c r="V21" s="10"/>
      <c r="W21" s="10"/>
    </row>
    <row r="22" spans="2:23" s="2" customFormat="1" x14ac:dyDescent="0.25">
      <c r="B22" s="2" t="s">
        <v>21</v>
      </c>
      <c r="D22" s="2">
        <f t="shared" ref="D22:N22" si="12">+D20+D21</f>
        <v>3855</v>
      </c>
      <c r="E22" s="2">
        <f t="shared" si="12"/>
        <v>721</v>
      </c>
      <c r="F22" s="2">
        <f t="shared" si="12"/>
        <v>4870</v>
      </c>
      <c r="G22" s="2">
        <f t="shared" si="12"/>
        <v>3611</v>
      </c>
      <c r="H22" s="2">
        <f t="shared" si="12"/>
        <v>-300</v>
      </c>
      <c r="I22" s="2">
        <f t="shared" si="12"/>
        <v>1937</v>
      </c>
      <c r="J22" s="2">
        <f t="shared" si="12"/>
        <v>1381</v>
      </c>
      <c r="K22" s="2">
        <f t="shared" si="12"/>
        <v>1996</v>
      </c>
      <c r="L22" s="2">
        <f t="shared" si="12"/>
        <v>1611</v>
      </c>
      <c r="M22" s="2">
        <f t="shared" si="12"/>
        <v>2329</v>
      </c>
      <c r="N22" s="2">
        <f t="shared" si="12"/>
        <v>1901</v>
      </c>
      <c r="V22" s="10"/>
      <c r="W22" s="10"/>
    </row>
    <row r="24" spans="2:23" x14ac:dyDescent="0.25">
      <c r="B24" s="1" t="s">
        <v>38</v>
      </c>
      <c r="M24" s="2">
        <f>+M25-M38</f>
        <v>9133</v>
      </c>
      <c r="N24" s="2">
        <f>+N25-N38</f>
        <v>9571</v>
      </c>
    </row>
    <row r="25" spans="2:23" s="2" customFormat="1" x14ac:dyDescent="0.25">
      <c r="B25" s="2" t="s">
        <v>3</v>
      </c>
      <c r="M25" s="2">
        <f>13836+1014</f>
        <v>14850</v>
      </c>
      <c r="N25" s="2">
        <f>14161+1123</f>
        <v>15284</v>
      </c>
      <c r="V25" s="10"/>
      <c r="W25" s="10"/>
    </row>
    <row r="26" spans="2:23" s="2" customFormat="1" x14ac:dyDescent="0.25">
      <c r="B26" s="2" t="s">
        <v>29</v>
      </c>
      <c r="M26" s="2">
        <v>2875</v>
      </c>
      <c r="N26" s="2">
        <v>3203</v>
      </c>
      <c r="V26" s="10"/>
      <c r="W26" s="10"/>
    </row>
    <row r="27" spans="2:23" s="2" customFormat="1" x14ac:dyDescent="0.25">
      <c r="B27" s="2" t="s">
        <v>27</v>
      </c>
      <c r="M27" s="2">
        <v>18606</v>
      </c>
      <c r="N27" s="2">
        <v>18116</v>
      </c>
      <c r="V27" s="10"/>
      <c r="W27" s="10"/>
    </row>
    <row r="28" spans="2:23" s="2" customFormat="1" x14ac:dyDescent="0.25">
      <c r="B28" s="2" t="s">
        <v>28</v>
      </c>
      <c r="M28" s="2">
        <v>1820</v>
      </c>
      <c r="N28" s="2">
        <v>1777</v>
      </c>
      <c r="V28" s="10"/>
      <c r="W28" s="10"/>
    </row>
    <row r="29" spans="2:23" s="2" customFormat="1" x14ac:dyDescent="0.25">
      <c r="B29" s="2" t="s">
        <v>26</v>
      </c>
      <c r="M29" s="2">
        <v>30582</v>
      </c>
      <c r="N29" s="2">
        <v>31909</v>
      </c>
      <c r="V29" s="10"/>
      <c r="W29" s="10"/>
    </row>
    <row r="30" spans="2:23" s="2" customFormat="1" x14ac:dyDescent="0.25">
      <c r="B30" s="2" t="s">
        <v>25</v>
      </c>
      <c r="M30" s="2">
        <v>2718</v>
      </c>
      <c r="N30" s="2">
        <v>2725</v>
      </c>
      <c r="V30" s="10"/>
      <c r="W30" s="10"/>
    </row>
    <row r="31" spans="2:23" s="2" customFormat="1" x14ac:dyDescent="0.25">
      <c r="B31" s="2" t="s">
        <v>24</v>
      </c>
      <c r="M31" s="2">
        <v>4031</v>
      </c>
      <c r="N31" s="2">
        <v>4085</v>
      </c>
      <c r="V31" s="10"/>
      <c r="W31" s="10"/>
    </row>
    <row r="32" spans="2:23" s="2" customFormat="1" x14ac:dyDescent="0.25">
      <c r="B32" s="2" t="s">
        <v>23</v>
      </c>
      <c r="M32" s="2">
        <f>SUM(M25:M31)</f>
        <v>75482</v>
      </c>
      <c r="N32" s="2">
        <f>SUM(N25:N31)</f>
        <v>77099</v>
      </c>
      <c r="V32" s="10"/>
      <c r="W32" s="10"/>
    </row>
    <row r="34" spans="2:14" x14ac:dyDescent="0.25">
      <c r="B34" s="1" t="s">
        <v>30</v>
      </c>
      <c r="M34" s="2">
        <v>19820</v>
      </c>
      <c r="N34" s="2">
        <v>19783</v>
      </c>
    </row>
    <row r="35" spans="2:14" x14ac:dyDescent="0.25">
      <c r="B35" s="1" t="s">
        <v>31</v>
      </c>
      <c r="M35" s="2">
        <v>4813</v>
      </c>
      <c r="N35" s="2">
        <v>5205</v>
      </c>
    </row>
    <row r="36" spans="2:14" x14ac:dyDescent="0.25">
      <c r="B36" s="1" t="s">
        <v>32</v>
      </c>
      <c r="M36" s="2">
        <f>2583+2931</f>
        <v>5514</v>
      </c>
      <c r="N36" s="2">
        <f>2677+2854</f>
        <v>5531</v>
      </c>
    </row>
    <row r="37" spans="2:14" x14ac:dyDescent="0.25">
      <c r="B37" s="1" t="s">
        <v>33</v>
      </c>
      <c r="M37" s="2">
        <v>7432</v>
      </c>
      <c r="N37" s="2">
        <v>6589</v>
      </c>
    </row>
    <row r="38" spans="2:14" x14ac:dyDescent="0.25">
      <c r="B38" s="1" t="s">
        <v>4</v>
      </c>
      <c r="M38" s="2">
        <v>5717</v>
      </c>
      <c r="N38" s="2">
        <v>5713</v>
      </c>
    </row>
    <row r="39" spans="2:14" x14ac:dyDescent="0.25">
      <c r="B39" s="1" t="s">
        <v>34</v>
      </c>
      <c r="M39" s="2">
        <v>2463</v>
      </c>
      <c r="N39" s="2">
        <v>2460</v>
      </c>
    </row>
    <row r="40" spans="2:14" x14ac:dyDescent="0.25">
      <c r="B40" s="1" t="s">
        <v>35</v>
      </c>
      <c r="M40" s="2">
        <v>2598</v>
      </c>
      <c r="N40" s="2">
        <v>2654</v>
      </c>
    </row>
    <row r="41" spans="2:14" x14ac:dyDescent="0.25">
      <c r="B41" s="1" t="s">
        <v>36</v>
      </c>
      <c r="M41" s="2">
        <v>27125</v>
      </c>
      <c r="N41" s="2">
        <v>29164</v>
      </c>
    </row>
    <row r="42" spans="2:14" x14ac:dyDescent="0.25">
      <c r="B42" s="1" t="s">
        <v>37</v>
      </c>
      <c r="M42" s="2">
        <f>SUM(M34:M41)</f>
        <v>75482</v>
      </c>
      <c r="N42" s="2">
        <f>SUM(N34:N41)</f>
        <v>77099</v>
      </c>
    </row>
  </sheetData>
  <hyperlinks>
    <hyperlink ref="A1" location="Main!A1" display="Main" xr:uid="{8700012B-1663-4F72-A9B4-B92390B41D1E}"/>
  </hyperlink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Shkreli</dc:creator>
  <cp:lastModifiedBy>Martin Shkreli</cp:lastModifiedBy>
  <dcterms:created xsi:type="dcterms:W3CDTF">2025-03-06T21:45:17Z</dcterms:created>
  <dcterms:modified xsi:type="dcterms:W3CDTF">2025-11-02T00:07:57Z</dcterms:modified>
</cp:coreProperties>
</file>