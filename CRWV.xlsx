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C1A1122B-9CDD-46D5-BFAE-27D1A515E9E7}" xr6:coauthVersionLast="47" xr6:coauthVersionMax="47" xr10:uidLastSave="{00000000-0000-0000-0000-000000000000}"/>
  <bookViews>
    <workbookView xWindow="50840" yWindow="3210" windowWidth="23470" windowHeight="16810" activeTab="1" xr2:uid="{C836A3F2-7733-4E72-A982-21DBE906CFC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2" l="1"/>
  <c r="Q6" i="2"/>
  <c r="P6" i="2"/>
  <c r="O6" i="2"/>
  <c r="O10" i="2"/>
  <c r="O20" i="2"/>
  <c r="P20" i="2" s="1"/>
  <c r="Q20" i="2" s="1"/>
  <c r="R20" i="2" s="1"/>
  <c r="P12" i="2"/>
  <c r="Q12" i="2" s="1"/>
  <c r="R12" i="2" s="1"/>
  <c r="O12" i="2"/>
  <c r="O11" i="2"/>
  <c r="O13" i="2" s="1"/>
  <c r="N20" i="2"/>
  <c r="N13" i="2"/>
  <c r="N14" i="2" s="1"/>
  <c r="N16" i="2" s="1"/>
  <c r="N18" i="2" s="1"/>
  <c r="N19" i="2" s="1"/>
  <c r="N12" i="2"/>
  <c r="N11" i="2"/>
  <c r="N10" i="2"/>
  <c r="N24" i="2"/>
  <c r="N23" i="2"/>
  <c r="M24" i="2"/>
  <c r="M49" i="2"/>
  <c r="M31" i="2"/>
  <c r="M39" i="2"/>
  <c r="M38" i="2"/>
  <c r="M37" i="2"/>
  <c r="M26" i="2"/>
  <c r="M33" i="2" s="1"/>
  <c r="J13" i="2"/>
  <c r="I13" i="2"/>
  <c r="I10" i="2"/>
  <c r="I23" i="2" s="1"/>
  <c r="M13" i="2"/>
  <c r="K7" i="2"/>
  <c r="K10" i="2" s="1"/>
  <c r="L7" i="2"/>
  <c r="L10" i="2" s="1"/>
  <c r="L23" i="2" s="1"/>
  <c r="M10" i="2"/>
  <c r="H47" i="2"/>
  <c r="H48" i="2"/>
  <c r="L49" i="2"/>
  <c r="L10" i="1"/>
  <c r="L13" i="2"/>
  <c r="M22" i="2"/>
  <c r="L22" i="2"/>
  <c r="H23" i="2"/>
  <c r="G22" i="2"/>
  <c r="I22" i="2"/>
  <c r="H22" i="2"/>
  <c r="F6" i="2"/>
  <c r="K22" i="2"/>
  <c r="X6" i="2"/>
  <c r="X2" i="2"/>
  <c r="V10" i="2"/>
  <c r="U10" i="2"/>
  <c r="V13" i="2"/>
  <c r="U13" i="2"/>
  <c r="W13" i="2"/>
  <c r="W7" i="2"/>
  <c r="W10" i="2" s="1"/>
  <c r="O14" i="2" l="1"/>
  <c r="O16" i="2" s="1"/>
  <c r="O18" i="2" s="1"/>
  <c r="O19" i="2" s="1"/>
  <c r="P11" i="2"/>
  <c r="M45" i="2" a="1"/>
  <c r="M45" i="2" s="1"/>
  <c r="M14" i="2"/>
  <c r="M16" i="2" s="1"/>
  <c r="M18" i="2" s="1"/>
  <c r="M19" i="2" s="1"/>
  <c r="M23" i="2"/>
  <c r="I14" i="2"/>
  <c r="I16" i="2" s="1"/>
  <c r="I18" i="2" s="1"/>
  <c r="I19" i="2" s="1"/>
  <c r="H49" i="2"/>
  <c r="L14" i="2"/>
  <c r="U14" i="2"/>
  <c r="U16" i="2" s="1"/>
  <c r="U18" i="2" s="1"/>
  <c r="V14" i="2"/>
  <c r="V16" i="2" s="1"/>
  <c r="V18" i="2" s="1"/>
  <c r="W14" i="2"/>
  <c r="W16" i="2" s="1"/>
  <c r="W18" i="2" s="1"/>
  <c r="K49" i="2"/>
  <c r="G49" i="2"/>
  <c r="K13" i="2"/>
  <c r="G13" i="2"/>
  <c r="G7" i="2"/>
  <c r="G10" i="2" s="1"/>
  <c r="G23" i="2" s="1"/>
  <c r="K23" i="2"/>
  <c r="L4" i="1"/>
  <c r="L7" i="1" s="1"/>
  <c r="P10" i="2" l="1"/>
  <c r="Q11" i="2"/>
  <c r="P13" i="2"/>
  <c r="P14" i="2" s="1"/>
  <c r="P16" i="2" s="1"/>
  <c r="P18" i="2" s="1"/>
  <c r="P19" i="2" s="1"/>
  <c r="L16" i="2"/>
  <c r="L18" i="2" s="1"/>
  <c r="L19" i="2" s="1"/>
  <c r="G14" i="2"/>
  <c r="G16" i="2" s="1"/>
  <c r="G18" i="2" s="1"/>
  <c r="G19" i="2" s="1"/>
  <c r="K14" i="2"/>
  <c r="K16" i="2" s="1"/>
  <c r="K18" i="2" s="1"/>
  <c r="K19" i="2" s="1"/>
  <c r="Q10" i="2" l="1"/>
  <c r="R10" i="2"/>
  <c r="R11" i="2"/>
  <c r="R13" i="2" s="1"/>
  <c r="R14" i="2" s="1"/>
  <c r="R16" i="2" s="1"/>
  <c r="R18" i="2" s="1"/>
  <c r="R19" i="2" s="1"/>
  <c r="Q13" i="2"/>
  <c r="Q14" i="2" s="1"/>
  <c r="Q16" i="2" s="1"/>
  <c r="Q18" i="2" s="1"/>
  <c r="Q19" i="2" s="1"/>
  <c r="J6" i="2"/>
  <c r="J10" i="2" s="1"/>
  <c r="J14" i="2" s="1"/>
  <c r="J16" i="2" s="1"/>
  <c r="J18" i="2" s="1"/>
  <c r="J19" i="2" s="1"/>
  <c r="N22" i="2" l="1"/>
  <c r="J23" i="2"/>
  <c r="J22" i="2"/>
</calcChain>
</file>

<file path=xl/sharedStrings.xml><?xml version="1.0" encoding="utf-8"?>
<sst xmlns="http://schemas.openxmlformats.org/spreadsheetml/2006/main" count="69" uniqueCount="60">
  <si>
    <t>Price</t>
  </si>
  <si>
    <t>Shares</t>
  </si>
  <si>
    <t>MC</t>
  </si>
  <si>
    <t>Cash</t>
  </si>
  <si>
    <t>Debt</t>
  </si>
  <si>
    <t>EV</t>
  </si>
  <si>
    <t>Q125</t>
  </si>
  <si>
    <t>PP&amp;E</t>
  </si>
  <si>
    <t>Main</t>
  </si>
  <si>
    <t>Revenue</t>
  </si>
  <si>
    <t>Q124</t>
  </si>
  <si>
    <t>Q224</t>
  </si>
  <si>
    <t>Q324</t>
  </si>
  <si>
    <t>Q424</t>
  </si>
  <si>
    <t>Q225</t>
  </si>
  <si>
    <t>Q325</t>
  </si>
  <si>
    <t>Q425</t>
  </si>
  <si>
    <t>Gross Profit</t>
  </si>
  <si>
    <t>COGS</t>
  </si>
  <si>
    <t>S&amp;M</t>
  </si>
  <si>
    <t>G&amp;A</t>
  </si>
  <si>
    <t>Operating Expenses</t>
  </si>
  <si>
    <t>Operating Income</t>
  </si>
  <si>
    <t>Pretax Income</t>
  </si>
  <si>
    <t>Interest Expense</t>
  </si>
  <si>
    <t>Taxes</t>
  </si>
  <si>
    <t>Net Income</t>
  </si>
  <si>
    <t>EPS</t>
  </si>
  <si>
    <t>CFFO</t>
  </si>
  <si>
    <t>CX</t>
  </si>
  <si>
    <t>FCF</t>
  </si>
  <si>
    <t>Revenue y/y</t>
  </si>
  <si>
    <t>Q123</t>
  </si>
  <si>
    <t>Q223</t>
  </si>
  <si>
    <t>Q323</t>
  </si>
  <si>
    <t>Q423</t>
  </si>
  <si>
    <t>Gross Margin</t>
  </si>
  <si>
    <t>Revenue Backlog</t>
  </si>
  <si>
    <t>Technology &amp; Infrastructure</t>
  </si>
  <si>
    <t>Q126</t>
  </si>
  <si>
    <t>Q226</t>
  </si>
  <si>
    <t>Q326</t>
  </si>
  <si>
    <t>Q426</t>
  </si>
  <si>
    <t>Prepaids</t>
  </si>
  <si>
    <t>AR</t>
  </si>
  <si>
    <t>Lease</t>
  </si>
  <si>
    <t>Goodwill</t>
  </si>
  <si>
    <t>ONCA</t>
  </si>
  <si>
    <t>AP</t>
  </si>
  <si>
    <t>Accrued</t>
  </si>
  <si>
    <t>DR</t>
  </si>
  <si>
    <t>Assets</t>
  </si>
  <si>
    <t>SE</t>
  </si>
  <si>
    <t>L+SE</t>
  </si>
  <si>
    <t>ONCL</t>
  </si>
  <si>
    <t>DT</t>
  </si>
  <si>
    <t>Derivatives</t>
  </si>
  <si>
    <t>OCL</t>
  </si>
  <si>
    <t>D&amp;A</t>
  </si>
  <si>
    <t>Gross Margin W/ D&amp;A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</si>
</sst>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0" fontId="2" fillId="0" borderId="0" xfId="0" applyFont="1"/>
    <xf numFmtId="9" fontId="1" fillId="0" borderId="0" xfId="0" applyNumberFormat="1" applyFont="1"/>
    <xf numFmtId="3" fontId="3" fillId="0" borderId="0" xfId="0" applyNumberFormat="1" applyFont="1"/>
    <xf numFmtId="3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48172</xdr:colOff>
      <xdr:row>0</xdr:row>
      <xdr:rowOff>13138</xdr:rowOff>
    </xdr:from>
    <xdr:to>
      <xdr:col>13</xdr:col>
      <xdr:colOff>48172</xdr:colOff>
      <xdr:row>63</xdr:row>
      <xdr:rowOff>96345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0A0BF18-5BB7-7C8D-F2C3-AB096978AE3B}"/>
            </a:ext>
          </a:extLst>
        </xdr:cNvPr>
        <xdr:cNvCxnSpPr/>
      </xdr:nvCxnSpPr>
      <xdr:spPr>
        <a:xfrm>
          <a:off x="8276896" y="13138"/>
          <a:ext cx="0" cy="750175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FD432-C28D-479E-86E5-1BBBA11DDDBD}">
  <dimension ref="K2:M10"/>
  <sheetViews>
    <sheetView zoomScale="175" zoomScaleNormal="175" workbookViewId="0">
      <selection activeCell="L3" sqref="L3"/>
    </sheetView>
  </sheetViews>
  <sheetFormatPr defaultRowHeight="12.5" x14ac:dyDescent="0.25"/>
  <cols>
    <col min="1" max="16384" width="8.7265625" style="1"/>
  </cols>
  <sheetData>
    <row r="2" spans="11:13" x14ac:dyDescent="0.25">
      <c r="K2" s="1" t="s">
        <v>0</v>
      </c>
      <c r="L2" s="2">
        <v>105</v>
      </c>
    </row>
    <row r="3" spans="11:13" x14ac:dyDescent="0.25">
      <c r="K3" s="1" t="s">
        <v>1</v>
      </c>
      <c r="L3" s="3">
        <v>498</v>
      </c>
      <c r="M3" s="4" t="s">
        <v>15</v>
      </c>
    </row>
    <row r="4" spans="11:13" x14ac:dyDescent="0.25">
      <c r="K4" s="1" t="s">
        <v>2</v>
      </c>
      <c r="L4" s="3">
        <f>+L2*L3</f>
        <v>52290</v>
      </c>
    </row>
    <row r="5" spans="11:13" x14ac:dyDescent="0.25">
      <c r="K5" s="1" t="s">
        <v>3</v>
      </c>
      <c r="L5" s="3">
        <v>3016</v>
      </c>
      <c r="M5" s="4" t="s">
        <v>15</v>
      </c>
    </row>
    <row r="6" spans="11:13" x14ac:dyDescent="0.25">
      <c r="K6" s="1" t="s">
        <v>4</v>
      </c>
      <c r="L6" s="3">
        <v>14035</v>
      </c>
      <c r="M6" s="4" t="s">
        <v>15</v>
      </c>
    </row>
    <row r="7" spans="11:13" x14ac:dyDescent="0.25">
      <c r="K7" s="1" t="s">
        <v>5</v>
      </c>
      <c r="L7" s="3">
        <f>+L4-L5+L6</f>
        <v>63309</v>
      </c>
    </row>
    <row r="9" spans="11:13" ht="13" x14ac:dyDescent="0.3">
      <c r="K9" s="10" t="s">
        <v>7</v>
      </c>
      <c r="L9" s="7">
        <v>16631.509999999998</v>
      </c>
      <c r="M9" s="4" t="s">
        <v>14</v>
      </c>
    </row>
    <row r="10" spans="11:13" x14ac:dyDescent="0.25">
      <c r="L10" s="3">
        <f>+L9+20000</f>
        <v>36631.509999999995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FAF7-107F-48D3-9D44-FF347A70DD91}">
  <dimension ref="A1:X49"/>
  <sheetViews>
    <sheetView tabSelected="1" zoomScale="145" zoomScaleNormal="145" workbookViewId="0">
      <pane xSplit="2" ySplit="2" topLeftCell="J6" activePane="bottomRight" state="frozen"/>
      <selection pane="topRight" activeCell="C1" sqref="C1"/>
      <selection pane="bottomLeft" activeCell="A3" sqref="A3"/>
      <selection pane="bottomRight" activeCell="O18" sqref="O18:R18"/>
    </sheetView>
  </sheetViews>
  <sheetFormatPr defaultRowHeight="12.5" x14ac:dyDescent="0.25"/>
  <cols>
    <col min="1" max="1" width="4.6328125" style="1" bestFit="1" customWidth="1"/>
    <col min="2" max="2" width="17.26953125" style="1" bestFit="1" customWidth="1"/>
    <col min="3" max="12" width="8.7265625" style="4"/>
    <col min="13" max="13" width="8.90625" style="4" bestFit="1" customWidth="1"/>
    <col min="14" max="18" width="8.7265625" style="4"/>
    <col min="19" max="16384" width="8.7265625" style="1"/>
  </cols>
  <sheetData>
    <row r="1" spans="1:24" x14ac:dyDescent="0.25">
      <c r="A1" s="1" t="s">
        <v>8</v>
      </c>
    </row>
    <row r="2" spans="1:24" x14ac:dyDescent="0.25">
      <c r="C2" s="4" t="s">
        <v>32</v>
      </c>
      <c r="D2" s="4" t="s">
        <v>33</v>
      </c>
      <c r="E2" s="4" t="s">
        <v>34</v>
      </c>
      <c r="F2" s="4" t="s">
        <v>35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6</v>
      </c>
      <c r="L2" s="4" t="s">
        <v>14</v>
      </c>
      <c r="M2" s="4" t="s">
        <v>15</v>
      </c>
      <c r="N2" s="4" t="s">
        <v>16</v>
      </c>
      <c r="O2" s="4" t="s">
        <v>39</v>
      </c>
      <c r="P2" s="4" t="s">
        <v>40</v>
      </c>
      <c r="Q2" s="4" t="s">
        <v>41</v>
      </c>
      <c r="R2" s="4" t="s">
        <v>42</v>
      </c>
      <c r="U2" s="1">
        <v>2022</v>
      </c>
      <c r="V2" s="1">
        <v>2023</v>
      </c>
      <c r="W2" s="1">
        <v>2024</v>
      </c>
      <c r="X2" s="1">
        <f>+W2+1</f>
        <v>2025</v>
      </c>
    </row>
    <row r="3" spans="1:24" x14ac:dyDescent="0.25">
      <c r="B3" s="1" t="s">
        <v>37</v>
      </c>
      <c r="M3" s="6">
        <v>55600</v>
      </c>
    </row>
    <row r="6" spans="1:24" s="7" customFormat="1" ht="13" x14ac:dyDescent="0.3">
      <c r="B6" s="7" t="s">
        <v>9</v>
      </c>
      <c r="C6" s="8">
        <v>38</v>
      </c>
      <c r="D6" s="8">
        <v>38</v>
      </c>
      <c r="E6" s="8">
        <v>38</v>
      </c>
      <c r="F6" s="8">
        <f>229*0.5</f>
        <v>114.5</v>
      </c>
      <c r="G6" s="8">
        <v>188.684</v>
      </c>
      <c r="H6" s="8">
        <v>345</v>
      </c>
      <c r="I6" s="8">
        <v>583.94100000000003</v>
      </c>
      <c r="J6" s="8">
        <f>1151-H6</f>
        <v>806</v>
      </c>
      <c r="K6" s="8">
        <v>981.63199999999995</v>
      </c>
      <c r="L6" s="8">
        <v>1212.788</v>
      </c>
      <c r="M6" s="8">
        <v>1364.6759999999999</v>
      </c>
      <c r="N6" s="8">
        <v>1500</v>
      </c>
      <c r="O6" s="8">
        <f>+N6+600</f>
        <v>2100</v>
      </c>
      <c r="P6" s="8">
        <f>+O6+600</f>
        <v>2700</v>
      </c>
      <c r="Q6" s="8">
        <f>+P6+600</f>
        <v>3300</v>
      </c>
      <c r="R6" s="8">
        <f>+Q6+600</f>
        <v>3900</v>
      </c>
      <c r="U6" s="7">
        <v>15.83</v>
      </c>
      <c r="V6" s="7">
        <v>228.94300000000001</v>
      </c>
      <c r="W6" s="7">
        <v>1915.4259999999999</v>
      </c>
      <c r="X6" s="7">
        <f>SUM(K6:N6)</f>
        <v>5059.0959999999995</v>
      </c>
    </row>
    <row r="7" spans="1:24" s="3" customFormat="1" x14ac:dyDescent="0.25">
      <c r="B7" s="3" t="s">
        <v>18</v>
      </c>
      <c r="C7" s="6"/>
      <c r="D7" s="6"/>
      <c r="E7" s="6"/>
      <c r="F7" s="6"/>
      <c r="G7" s="6">
        <f>59.22+92.881</f>
        <v>152.101</v>
      </c>
      <c r="H7" s="6"/>
      <c r="I7" s="6">
        <v>143.13399999999999</v>
      </c>
      <c r="J7" s="6"/>
      <c r="K7" s="6">
        <f>262.394</f>
        <v>262.39400000000001</v>
      </c>
      <c r="L7" s="6">
        <f>312.667</f>
        <v>312.66699999999997</v>
      </c>
      <c r="M7" s="6">
        <v>368.82400000000001</v>
      </c>
      <c r="N7" s="6"/>
      <c r="O7" s="6"/>
      <c r="P7" s="6"/>
      <c r="Q7" s="6"/>
      <c r="R7" s="6"/>
      <c r="W7" s="3">
        <f>493.35+960.685</f>
        <v>1454.0349999999999</v>
      </c>
    </row>
    <row r="8" spans="1:24" s="3" customFormat="1" x14ac:dyDescent="0.25">
      <c r="B8" s="3" t="s">
        <v>38</v>
      </c>
      <c r="C8" s="6"/>
      <c r="D8" s="6"/>
      <c r="E8" s="6"/>
      <c r="F8" s="6"/>
      <c r="G8" s="6"/>
      <c r="H8" s="6"/>
      <c r="I8" s="6">
        <v>285.50900000000001</v>
      </c>
      <c r="J8" s="6"/>
      <c r="K8" s="6">
        <v>561.40200000000004</v>
      </c>
      <c r="L8" s="6">
        <v>669.91300000000001</v>
      </c>
      <c r="M8" s="6">
        <v>747.47900000000004</v>
      </c>
      <c r="N8" s="6"/>
      <c r="O8" s="6"/>
      <c r="P8" s="6"/>
      <c r="Q8" s="6"/>
      <c r="R8" s="6"/>
    </row>
    <row r="9" spans="1:24" s="12" customFormat="1" ht="13" x14ac:dyDescent="0.3">
      <c r="B9" s="12" t="s">
        <v>58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>
        <v>630.47900000000004</v>
      </c>
      <c r="N9" s="13"/>
      <c r="O9" s="13"/>
      <c r="P9" s="13"/>
      <c r="Q9" s="13"/>
      <c r="R9" s="13"/>
    </row>
    <row r="10" spans="1:24" s="3" customFormat="1" x14ac:dyDescent="0.25">
      <c r="B10" s="3" t="s">
        <v>17</v>
      </c>
      <c r="C10" s="6"/>
      <c r="D10" s="6"/>
      <c r="E10" s="6"/>
      <c r="F10" s="6"/>
      <c r="G10" s="6">
        <f>+G6-G7</f>
        <v>36.582999999999998</v>
      </c>
      <c r="H10" s="6"/>
      <c r="I10" s="6">
        <f>+I6-I7-I8</f>
        <v>155.298</v>
      </c>
      <c r="J10" s="6">
        <f>+J6-J7-J8</f>
        <v>806</v>
      </c>
      <c r="K10" s="6">
        <f>+K6-K7-K8</f>
        <v>157.8359999999999</v>
      </c>
      <c r="L10" s="6">
        <f>+L6-L7-L8</f>
        <v>230.20800000000008</v>
      </c>
      <c r="M10" s="6">
        <f>+M6-M7-M8</f>
        <v>248.37299999999982</v>
      </c>
      <c r="N10" s="6">
        <f>+N6*0.64</f>
        <v>960</v>
      </c>
      <c r="O10" s="6">
        <f t="shared" ref="O10:R10" si="0">+O6*0.64</f>
        <v>1344</v>
      </c>
      <c r="P10" s="6">
        <f t="shared" si="0"/>
        <v>1728</v>
      </c>
      <c r="Q10" s="6">
        <f t="shared" si="0"/>
        <v>2112</v>
      </c>
      <c r="R10" s="6">
        <f t="shared" si="0"/>
        <v>2496</v>
      </c>
      <c r="U10" s="3">
        <f>+U6-U7</f>
        <v>15.83</v>
      </c>
      <c r="V10" s="3">
        <f>+V6-V7</f>
        <v>228.94300000000001</v>
      </c>
      <c r="W10" s="3">
        <f>+W6-W7</f>
        <v>461.39100000000008</v>
      </c>
    </row>
    <row r="11" spans="1:24" s="3" customFormat="1" x14ac:dyDescent="0.25">
      <c r="B11" s="3" t="s">
        <v>19</v>
      </c>
      <c r="C11" s="6"/>
      <c r="D11" s="6"/>
      <c r="E11" s="6"/>
      <c r="F11" s="6"/>
      <c r="G11" s="6">
        <v>4.05</v>
      </c>
      <c r="H11" s="6"/>
      <c r="I11" s="6">
        <v>4.5540000000000003</v>
      </c>
      <c r="J11" s="6"/>
      <c r="K11" s="6">
        <v>10.548999999999999</v>
      </c>
      <c r="L11" s="6">
        <v>36.798999999999999</v>
      </c>
      <c r="M11" s="6">
        <v>44.645000000000003</v>
      </c>
      <c r="N11" s="6">
        <f>+M11</f>
        <v>44.645000000000003</v>
      </c>
      <c r="O11" s="6">
        <f t="shared" ref="O11:R11" si="1">+N11</f>
        <v>44.645000000000003</v>
      </c>
      <c r="P11" s="6">
        <f t="shared" si="1"/>
        <v>44.645000000000003</v>
      </c>
      <c r="Q11" s="6">
        <f t="shared" si="1"/>
        <v>44.645000000000003</v>
      </c>
      <c r="R11" s="6">
        <f t="shared" si="1"/>
        <v>44.645000000000003</v>
      </c>
      <c r="W11" s="3">
        <v>18.388999999999999</v>
      </c>
    </row>
    <row r="12" spans="1:24" s="3" customFormat="1" x14ac:dyDescent="0.25">
      <c r="B12" s="3" t="s">
        <v>20</v>
      </c>
      <c r="C12" s="6"/>
      <c r="D12" s="6"/>
      <c r="E12" s="6"/>
      <c r="F12" s="6"/>
      <c r="G12" s="6">
        <v>15.686</v>
      </c>
      <c r="H12" s="6"/>
      <c r="I12" s="6">
        <v>33.628</v>
      </c>
      <c r="J12" s="6"/>
      <c r="K12" s="6">
        <v>174.75700000000001</v>
      </c>
      <c r="L12" s="6">
        <v>174.2</v>
      </c>
      <c r="M12" s="6">
        <v>151.87799999999999</v>
      </c>
      <c r="N12" s="6">
        <f>+M12</f>
        <v>151.87799999999999</v>
      </c>
      <c r="O12" s="6">
        <f t="shared" ref="O12:R12" si="2">+N12</f>
        <v>151.87799999999999</v>
      </c>
      <c r="P12" s="6">
        <f t="shared" si="2"/>
        <v>151.87799999999999</v>
      </c>
      <c r="Q12" s="6">
        <f t="shared" si="2"/>
        <v>151.87799999999999</v>
      </c>
      <c r="R12" s="6">
        <f t="shared" si="2"/>
        <v>151.87799999999999</v>
      </c>
      <c r="W12" s="3">
        <v>118.64400000000001</v>
      </c>
    </row>
    <row r="13" spans="1:24" s="3" customFormat="1" x14ac:dyDescent="0.25">
      <c r="B13" s="3" t="s">
        <v>21</v>
      </c>
      <c r="C13" s="6"/>
      <c r="D13" s="6"/>
      <c r="E13" s="6"/>
      <c r="F13" s="6"/>
      <c r="G13" s="6">
        <f>+G11+G12</f>
        <v>19.736000000000001</v>
      </c>
      <c r="H13" s="6"/>
      <c r="I13" s="6">
        <f t="shared" ref="I13:J13" si="3">+I11+I12</f>
        <v>38.182000000000002</v>
      </c>
      <c r="J13" s="6">
        <f t="shared" si="3"/>
        <v>0</v>
      </c>
      <c r="K13" s="6">
        <f>+K11+K12</f>
        <v>185.30600000000001</v>
      </c>
      <c r="L13" s="6">
        <f>+L11+L12</f>
        <v>210.999</v>
      </c>
      <c r="M13" s="6">
        <f>+M11+M12</f>
        <v>196.523</v>
      </c>
      <c r="N13" s="6">
        <f>+N11+N12</f>
        <v>196.523</v>
      </c>
      <c r="O13" s="6">
        <f t="shared" ref="O13:R13" si="4">+O11+O12</f>
        <v>196.523</v>
      </c>
      <c r="P13" s="6">
        <f t="shared" si="4"/>
        <v>196.523</v>
      </c>
      <c r="Q13" s="6">
        <f t="shared" si="4"/>
        <v>196.523</v>
      </c>
      <c r="R13" s="6">
        <f t="shared" si="4"/>
        <v>196.523</v>
      </c>
      <c r="U13" s="6">
        <f t="shared" ref="U13:V13" si="5">+U11+U12</f>
        <v>0</v>
      </c>
      <c r="V13" s="6">
        <f t="shared" si="5"/>
        <v>0</v>
      </c>
      <c r="W13" s="6">
        <f>+W11+W12</f>
        <v>137.03300000000002</v>
      </c>
    </row>
    <row r="14" spans="1:24" s="3" customFormat="1" x14ac:dyDescent="0.25">
      <c r="B14" s="3" t="s">
        <v>22</v>
      </c>
      <c r="C14" s="6"/>
      <c r="D14" s="6"/>
      <c r="E14" s="6"/>
      <c r="F14" s="6"/>
      <c r="G14" s="6">
        <f>+G10-G13</f>
        <v>16.846999999999998</v>
      </c>
      <c r="H14" s="6"/>
      <c r="I14" s="6">
        <f t="shared" ref="I14:J14" si="6">+I10-I13</f>
        <v>117.116</v>
      </c>
      <c r="J14" s="6">
        <f t="shared" si="6"/>
        <v>806</v>
      </c>
      <c r="K14" s="6">
        <f>+K10-K13</f>
        <v>-27.470000000000113</v>
      </c>
      <c r="L14" s="6">
        <f>+L10-L13</f>
        <v>19.209000000000088</v>
      </c>
      <c r="M14" s="6">
        <f>+M10-M13</f>
        <v>51.849999999999824</v>
      </c>
      <c r="N14" s="6">
        <f>+N10-N13</f>
        <v>763.47699999999998</v>
      </c>
      <c r="O14" s="6">
        <f t="shared" ref="O14:R14" si="7">+O10-O13</f>
        <v>1147.4770000000001</v>
      </c>
      <c r="P14" s="6">
        <f t="shared" si="7"/>
        <v>1531.4770000000001</v>
      </c>
      <c r="Q14" s="6">
        <f t="shared" si="7"/>
        <v>1915.4770000000001</v>
      </c>
      <c r="R14" s="6">
        <f t="shared" si="7"/>
        <v>2299.4769999999999</v>
      </c>
      <c r="U14" s="6">
        <f t="shared" ref="U14:V14" si="8">+U10-U13</f>
        <v>15.83</v>
      </c>
      <c r="V14" s="6">
        <f t="shared" si="8"/>
        <v>228.94300000000001</v>
      </c>
      <c r="W14" s="6">
        <f>+W10-W13</f>
        <v>324.35800000000006</v>
      </c>
      <c r="X14" s="11"/>
    </row>
    <row r="15" spans="1:24" s="3" customFormat="1" x14ac:dyDescent="0.25">
      <c r="B15" s="3" t="s">
        <v>24</v>
      </c>
      <c r="C15" s="6"/>
      <c r="D15" s="6"/>
      <c r="E15" s="6"/>
      <c r="F15" s="6"/>
      <c r="G15" s="6">
        <v>-40.655999999999999</v>
      </c>
      <c r="H15" s="6"/>
      <c r="I15" s="6">
        <v>-104.375</v>
      </c>
      <c r="J15" s="6"/>
      <c r="K15" s="6">
        <v>-263.83499999999998</v>
      </c>
      <c r="L15" s="6">
        <v>-266.96600000000001</v>
      </c>
      <c r="M15" s="6">
        <v>-310.55500000000001</v>
      </c>
      <c r="N15" s="6">
        <v>-310.55500000000001</v>
      </c>
      <c r="O15" s="6">
        <v>-310.55500000000001</v>
      </c>
      <c r="P15" s="6">
        <v>-310.55500000000001</v>
      </c>
      <c r="Q15" s="6">
        <v>-310.55500000000001</v>
      </c>
      <c r="R15" s="6">
        <v>-310.55500000000001</v>
      </c>
      <c r="W15" s="3">
        <v>-360.82400000000001</v>
      </c>
    </row>
    <row r="16" spans="1:24" s="3" customFormat="1" x14ac:dyDescent="0.25">
      <c r="B16" s="3" t="s">
        <v>23</v>
      </c>
      <c r="C16" s="6"/>
      <c r="D16" s="6"/>
      <c r="E16" s="6"/>
      <c r="F16" s="6"/>
      <c r="G16" s="6">
        <f>+G14+G15</f>
        <v>-23.809000000000001</v>
      </c>
      <c r="H16" s="6"/>
      <c r="I16" s="6">
        <f t="shared" ref="I16:J16" si="9">+I14+I15</f>
        <v>12.741</v>
      </c>
      <c r="J16" s="6">
        <f t="shared" si="9"/>
        <v>806</v>
      </c>
      <c r="K16" s="6">
        <f>+K14+K15</f>
        <v>-291.30500000000006</v>
      </c>
      <c r="L16" s="6">
        <f>+L14+L15</f>
        <v>-247.75699999999992</v>
      </c>
      <c r="M16" s="6">
        <f>+M14+M15</f>
        <v>-258.70500000000015</v>
      </c>
      <c r="N16" s="6">
        <f>+N14+N15</f>
        <v>452.92199999999997</v>
      </c>
      <c r="O16" s="6">
        <f t="shared" ref="O16:R16" si="10">+O14+O15</f>
        <v>836.92200000000003</v>
      </c>
      <c r="P16" s="6">
        <f t="shared" si="10"/>
        <v>1220.922</v>
      </c>
      <c r="Q16" s="6">
        <f t="shared" si="10"/>
        <v>1604.922</v>
      </c>
      <c r="R16" s="6">
        <f t="shared" si="10"/>
        <v>1988.9219999999998</v>
      </c>
      <c r="U16" s="6">
        <f t="shared" ref="U16:V16" si="11">+U14+U15</f>
        <v>15.83</v>
      </c>
      <c r="V16" s="6">
        <f t="shared" si="11"/>
        <v>228.94300000000001</v>
      </c>
      <c r="W16" s="6">
        <f>+W14+W15</f>
        <v>-36.465999999999951</v>
      </c>
    </row>
    <row r="17" spans="2:23" x14ac:dyDescent="0.25">
      <c r="B17" s="1" t="s">
        <v>25</v>
      </c>
      <c r="G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</row>
    <row r="18" spans="2:23" x14ac:dyDescent="0.25">
      <c r="B18" s="1" t="s">
        <v>26</v>
      </c>
      <c r="C18" s="6"/>
      <c r="D18" s="6"/>
      <c r="E18" s="6"/>
      <c r="F18" s="6"/>
      <c r="G18" s="6">
        <f t="shared" ref="G18" si="12">+G16-G17</f>
        <v>-23.809000000000001</v>
      </c>
      <c r="H18" s="6"/>
      <c r="I18" s="6">
        <f>+I16-I17</f>
        <v>12.741</v>
      </c>
      <c r="J18" s="6">
        <f>+J16-J17</f>
        <v>806</v>
      </c>
      <c r="K18" s="6">
        <f>+K16-K17</f>
        <v>-291.30500000000006</v>
      </c>
      <c r="L18" s="6">
        <f>+L16-L17</f>
        <v>-247.75699999999992</v>
      </c>
      <c r="M18" s="6">
        <f>+M16-M17</f>
        <v>-258.70500000000015</v>
      </c>
      <c r="N18" s="6">
        <f>+N16-N17</f>
        <v>452.92199999999997</v>
      </c>
      <c r="O18" s="6">
        <f t="shared" ref="O18:R18" si="13">+O16-O17</f>
        <v>836.92200000000003</v>
      </c>
      <c r="P18" s="6">
        <f t="shared" si="13"/>
        <v>1220.922</v>
      </c>
      <c r="Q18" s="6">
        <f t="shared" si="13"/>
        <v>1604.922</v>
      </c>
      <c r="R18" s="6">
        <f t="shared" si="13"/>
        <v>1988.9219999999998</v>
      </c>
      <c r="U18" s="6">
        <f t="shared" ref="U18:V18" si="14">+U16-U17</f>
        <v>15.83</v>
      </c>
      <c r="V18" s="6">
        <f t="shared" si="14"/>
        <v>228.94300000000001</v>
      </c>
      <c r="W18" s="6">
        <f>+W16-W17</f>
        <v>-36.465999999999951</v>
      </c>
    </row>
    <row r="19" spans="2:23" x14ac:dyDescent="0.25">
      <c r="B19" s="1" t="s">
        <v>27</v>
      </c>
      <c r="C19" s="9"/>
      <c r="G19" s="9">
        <f>+G18/G20</f>
        <v>-0.11379452080983425</v>
      </c>
      <c r="I19" s="9">
        <f>+I18/I20</f>
        <v>5.9591405292648468E-2</v>
      </c>
      <c r="J19" s="9" t="e">
        <f>+J18/J20</f>
        <v>#DIV/0!</v>
      </c>
      <c r="K19" s="9">
        <f>+K18/K20</f>
        <v>-1.168524587533545</v>
      </c>
      <c r="L19" s="9">
        <f>+L18/L20</f>
        <v>-0.50916889132762411</v>
      </c>
      <c r="M19" s="9">
        <f>+M18/M20</f>
        <v>-0.51960689796459458</v>
      </c>
      <c r="N19" s="9">
        <f>+N18/N20</f>
        <v>0.90969017003892449</v>
      </c>
      <c r="O19" s="9">
        <f t="shared" ref="O19:R19" si="15">+O18/O20</f>
        <v>1.6809510610862728</v>
      </c>
      <c r="P19" s="9">
        <f t="shared" si="15"/>
        <v>2.452211952133621</v>
      </c>
      <c r="Q19" s="9">
        <f t="shared" si="15"/>
        <v>3.2234728431809692</v>
      </c>
      <c r="R19" s="9">
        <f t="shared" si="15"/>
        <v>3.9947337342283169</v>
      </c>
    </row>
    <row r="20" spans="2:23" s="3" customFormat="1" x14ac:dyDescent="0.25">
      <c r="B20" s="3" t="s">
        <v>1</v>
      </c>
      <c r="C20" s="6"/>
      <c r="D20" s="6"/>
      <c r="E20" s="6"/>
      <c r="F20" s="6"/>
      <c r="G20" s="6">
        <v>209.22800000000001</v>
      </c>
      <c r="H20" s="6"/>
      <c r="I20" s="6">
        <v>213.80600000000001</v>
      </c>
      <c r="J20" s="6"/>
      <c r="K20" s="6">
        <v>249.29300000000001</v>
      </c>
      <c r="L20" s="6">
        <v>486.59100000000001</v>
      </c>
      <c r="M20" s="6">
        <v>497.88600000000002</v>
      </c>
      <c r="N20" s="6">
        <f>+M20</f>
        <v>497.88600000000002</v>
      </c>
      <c r="O20" s="6">
        <f t="shared" ref="O20:R20" si="16">+N20</f>
        <v>497.88600000000002</v>
      </c>
      <c r="P20" s="6">
        <f t="shared" si="16"/>
        <v>497.88600000000002</v>
      </c>
      <c r="Q20" s="6">
        <f t="shared" si="16"/>
        <v>497.88600000000002</v>
      </c>
      <c r="R20" s="6">
        <f t="shared" si="16"/>
        <v>497.88600000000002</v>
      </c>
      <c r="U20" s="3">
        <v>180.63200000000001</v>
      </c>
      <c r="V20" s="3">
        <v>192.16399999999999</v>
      </c>
      <c r="W20" s="3">
        <v>217.85400000000001</v>
      </c>
    </row>
    <row r="22" spans="2:23" x14ac:dyDescent="0.25">
      <c r="B22" s="1" t="s">
        <v>31</v>
      </c>
      <c r="G22" s="5">
        <f>+G6/C6-1</f>
        <v>3.9653684210526317</v>
      </c>
      <c r="H22" s="5">
        <f>+H6/D6-1</f>
        <v>8.0789473684210531</v>
      </c>
      <c r="I22" s="5">
        <f>+I6/E6-1</f>
        <v>14.366868421052633</v>
      </c>
      <c r="J22" s="5">
        <f>+J6/F6-1</f>
        <v>6.0393013100436681</v>
      </c>
      <c r="K22" s="5">
        <f>+K6/G6-1</f>
        <v>4.2025184965338873</v>
      </c>
      <c r="L22" s="5">
        <f>+L6/H6-1</f>
        <v>2.5153275362318839</v>
      </c>
      <c r="M22" s="5">
        <f>+M6/I6-1</f>
        <v>1.3370100746479521</v>
      </c>
      <c r="N22" s="5">
        <f>+N6/J6-1</f>
        <v>0.86104218362282881</v>
      </c>
      <c r="O22" s="5"/>
      <c r="P22" s="5"/>
      <c r="Q22" s="5"/>
      <c r="R22" s="5"/>
    </row>
    <row r="23" spans="2:23" x14ac:dyDescent="0.25">
      <c r="B23" s="1" t="s">
        <v>36</v>
      </c>
      <c r="G23" s="5">
        <f>+G10/G6</f>
        <v>0.19388501409764472</v>
      </c>
      <c r="H23" s="5">
        <f>+H10/H6</f>
        <v>0</v>
      </c>
      <c r="I23" s="5">
        <f>+I10/I6</f>
        <v>0.26594810092115467</v>
      </c>
      <c r="J23" s="5">
        <f>+J10/J6</f>
        <v>1</v>
      </c>
      <c r="K23" s="5">
        <f>+K10/K6</f>
        <v>0.16078937931933751</v>
      </c>
      <c r="L23" s="5">
        <f>+L10/L6</f>
        <v>0.18981718156841929</v>
      </c>
      <c r="M23" s="5">
        <f>+M10/M6</f>
        <v>0.18200144210054242</v>
      </c>
      <c r="N23" s="5">
        <f t="shared" ref="N23" si="17">+N10/N6</f>
        <v>0.64</v>
      </c>
    </row>
    <row r="24" spans="2:23" x14ac:dyDescent="0.25">
      <c r="B24" s="1" t="s">
        <v>59</v>
      </c>
      <c r="M24" s="5">
        <f>(M9+M10)/M6</f>
        <v>0.64400048070018079</v>
      </c>
      <c r="N24" s="5">
        <f t="shared" ref="N24" si="18">(N9+N10)/N6</f>
        <v>0.64</v>
      </c>
    </row>
    <row r="26" spans="2:23" x14ac:dyDescent="0.25">
      <c r="B26" s="1" t="s">
        <v>3</v>
      </c>
      <c r="M26" s="6">
        <f>1894.399+596.777+47.449+477.515</f>
        <v>3016.14</v>
      </c>
    </row>
    <row r="27" spans="2:23" x14ac:dyDescent="0.25">
      <c r="B27" s="1" t="s">
        <v>44</v>
      </c>
      <c r="M27" s="6">
        <v>1659.229</v>
      </c>
    </row>
    <row r="28" spans="2:23" x14ac:dyDescent="0.25">
      <c r="B28" s="1" t="s">
        <v>43</v>
      </c>
      <c r="M28" s="6">
        <v>533.42899999999997</v>
      </c>
    </row>
    <row r="29" spans="2:23" x14ac:dyDescent="0.25">
      <c r="B29" s="1" t="s">
        <v>7</v>
      </c>
      <c r="M29" s="6">
        <v>20659.181</v>
      </c>
    </row>
    <row r="30" spans="2:23" x14ac:dyDescent="0.25">
      <c r="B30" s="1" t="s">
        <v>45</v>
      </c>
      <c r="M30" s="6">
        <v>4677.0569999999998</v>
      </c>
    </row>
    <row r="31" spans="2:23" x14ac:dyDescent="0.25">
      <c r="B31" s="1" t="s">
        <v>46</v>
      </c>
      <c r="M31" s="6">
        <f>829.979+200.001</f>
        <v>1029.98</v>
      </c>
    </row>
    <row r="32" spans="2:23" x14ac:dyDescent="0.25">
      <c r="B32" s="1" t="s">
        <v>47</v>
      </c>
      <c r="M32" s="6">
        <v>1335.482</v>
      </c>
    </row>
    <row r="33" spans="2:18" x14ac:dyDescent="0.25">
      <c r="B33" s="1" t="s">
        <v>51</v>
      </c>
      <c r="M33" s="6">
        <f>SUM(M26:M32)</f>
        <v>32910.498</v>
      </c>
    </row>
    <row r="34" spans="2:18" x14ac:dyDescent="0.25">
      <c r="M34" s="6"/>
    </row>
    <row r="35" spans="2:18" x14ac:dyDescent="0.25">
      <c r="B35" s="1" t="s">
        <v>48</v>
      </c>
      <c r="M35" s="6">
        <v>1156.9780000000001</v>
      </c>
    </row>
    <row r="36" spans="2:18" x14ac:dyDescent="0.25">
      <c r="B36" s="1" t="s">
        <v>49</v>
      </c>
      <c r="M36" s="6">
        <v>3172.2739999999999</v>
      </c>
    </row>
    <row r="37" spans="2:18" x14ac:dyDescent="0.25">
      <c r="B37" s="1" t="s">
        <v>4</v>
      </c>
      <c r="M37" s="6">
        <f>3712.177+10322.757</f>
        <v>14034.933999999999</v>
      </c>
    </row>
    <row r="38" spans="2:18" x14ac:dyDescent="0.25">
      <c r="B38" s="1" t="s">
        <v>50</v>
      </c>
      <c r="M38" s="6">
        <f>1107.58+4228.222</f>
        <v>5335.8019999999997</v>
      </c>
    </row>
    <row r="39" spans="2:18" x14ac:dyDescent="0.25">
      <c r="B39" s="1" t="s">
        <v>45</v>
      </c>
      <c r="M39" s="6">
        <f>345.472+48.99+4378.869+0.012</f>
        <v>4773.3429999999998</v>
      </c>
    </row>
    <row r="40" spans="2:18" x14ac:dyDescent="0.25">
      <c r="B40" s="1" t="s">
        <v>57</v>
      </c>
      <c r="M40" s="6">
        <v>171.40100000000001</v>
      </c>
    </row>
    <row r="41" spans="2:18" x14ac:dyDescent="0.25">
      <c r="B41" s="1" t="s">
        <v>56</v>
      </c>
      <c r="M41" s="6">
        <v>1.71</v>
      </c>
    </row>
    <row r="42" spans="2:18" x14ac:dyDescent="0.25">
      <c r="B42" s="1" t="s">
        <v>55</v>
      </c>
      <c r="M42" s="6">
        <v>117.633</v>
      </c>
    </row>
    <row r="43" spans="2:18" x14ac:dyDescent="0.25">
      <c r="B43" s="1" t="s">
        <v>54</v>
      </c>
      <c r="M43" s="6">
        <v>268.40899999999999</v>
      </c>
    </row>
    <row r="44" spans="2:18" x14ac:dyDescent="0.25">
      <c r="B44" s="1" t="s">
        <v>52</v>
      </c>
      <c r="M44" s="6">
        <v>3878.0140000000001</v>
      </c>
    </row>
    <row r="45" spans="2:18" x14ac:dyDescent="0.25">
      <c r="B45" s="1" t="s">
        <v>53</v>
      </c>
      <c r="M45" s="6">
        <f t="array" ref="M45">SUM(M35:M44)</f>
        <v>32910.498000000007</v>
      </c>
    </row>
    <row r="47" spans="2:18" x14ac:dyDescent="0.25">
      <c r="B47" s="1" t="s">
        <v>28</v>
      </c>
      <c r="C47" s="6"/>
      <c r="D47" s="6"/>
      <c r="E47" s="6"/>
      <c r="F47" s="6"/>
      <c r="G47" s="6">
        <v>2039.038</v>
      </c>
      <c r="H47" s="6">
        <f>191.214-G47</f>
        <v>-1847.8240000000001</v>
      </c>
      <c r="I47" s="6"/>
      <c r="J47" s="6"/>
      <c r="K47" s="6">
        <v>61.167999999999999</v>
      </c>
      <c r="L47" s="6">
        <v>-251.251</v>
      </c>
      <c r="M47" s="6">
        <v>1689.134</v>
      </c>
    </row>
    <row r="48" spans="2:18" s="3" customFormat="1" x14ac:dyDescent="0.25">
      <c r="B48" s="3" t="s">
        <v>29</v>
      </c>
      <c r="C48" s="6"/>
      <c r="D48" s="6"/>
      <c r="E48" s="6"/>
      <c r="F48" s="6"/>
      <c r="G48" s="6">
        <v>-1741.9349999999999</v>
      </c>
      <c r="H48" s="6">
        <f>-3989.096-G48</f>
        <v>-2247.1610000000001</v>
      </c>
      <c r="I48" s="6"/>
      <c r="J48" s="6"/>
      <c r="K48" s="6">
        <v>-1407.3589999999999</v>
      </c>
      <c r="L48" s="6">
        <v>-2452.9920000000002</v>
      </c>
      <c r="M48" s="6">
        <v>-3278.7860000000001</v>
      </c>
      <c r="N48" s="6"/>
      <c r="O48" s="6"/>
      <c r="P48" s="6"/>
      <c r="Q48" s="6"/>
      <c r="R48" s="6"/>
    </row>
    <row r="49" spans="2:13" x14ac:dyDescent="0.25">
      <c r="B49" s="1" t="s">
        <v>30</v>
      </c>
      <c r="C49" s="6"/>
      <c r="G49" s="6">
        <f>+G47+G48</f>
        <v>297.10300000000007</v>
      </c>
      <c r="H49" s="6">
        <f>+H47+H48</f>
        <v>-4094.9850000000001</v>
      </c>
      <c r="K49" s="6">
        <f>+K47+K48</f>
        <v>-1346.191</v>
      </c>
      <c r="L49" s="6">
        <f>+L47+L48</f>
        <v>-2704.2430000000004</v>
      </c>
      <c r="M49" s="6">
        <f>+M47+M48</f>
        <v>-1589.652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2025-06-04T13:51:10Z</dcterms:created>
  <dcterms:modified xsi:type="dcterms:W3CDTF">2025-11-10T23:38:13Z</dcterms:modified>
</cp:coreProperties>
</file>