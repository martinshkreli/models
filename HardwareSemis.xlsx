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8D94FD3-78A0-4BE5-A0C9-E76710B22B90}" xr6:coauthVersionLast="47" xr6:coauthVersionMax="47" xr10:uidLastSave="{00000000-0000-0000-0000-000000000000}"/>
  <bookViews>
    <workbookView xWindow="42210" yWindow="2550" windowWidth="23430" windowHeight="16240" xr2:uid="{98D8347A-DFA4-427C-8784-96E5573B433C}"/>
  </bookViews>
  <sheets>
    <sheet name="Semiconductors" sheetId="1" r:id="rId1"/>
    <sheet name="Quantum" sheetId="5" r:id="rId2"/>
    <sheet name="Networking" sheetId="3" r:id="rId3"/>
    <sheet name="Electronics-Computers" sheetId="2" r:id="rId4"/>
    <sheet name="FX" sheetId="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CNY">FX!$B$4</definedName>
    <definedName name="KRW">FX!$C$3</definedName>
    <definedName name="None">FX!$B$4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9" i="1" l="1"/>
  <c r="R9" i="1"/>
  <c r="S2" i="1"/>
  <c r="T2" i="1" s="1"/>
  <c r="U2" i="1" s="1"/>
  <c r="P2" i="1"/>
  <c r="O2" i="1"/>
  <c r="N2" i="1"/>
  <c r="F34" i="2" l="1"/>
  <c r="H34" i="2"/>
  <c r="E34" i="2" s="1"/>
  <c r="G34" i="2" s="1"/>
  <c r="F47" i="1"/>
  <c r="H47" i="1"/>
  <c r="E47" i="1" s="1"/>
  <c r="E5" i="2"/>
  <c r="G5" i="2" s="1"/>
  <c r="F4" i="2"/>
  <c r="H4" i="2"/>
  <c r="E4" i="2" s="1" a="1"/>
  <c r="E4" i="2" s="1"/>
  <c r="G4" i="2" l="1"/>
  <c r="G47" i="1"/>
  <c r="F4" i="5"/>
  <c r="H4" i="5"/>
  <c r="E4" i="5" s="1"/>
  <c r="G4" i="5" l="1"/>
  <c r="H5" i="5" l="1"/>
  <c r="E5" i="5" s="1"/>
  <c r="F5" i="5"/>
  <c r="G5" i="5" l="1"/>
  <c r="F7" i="5"/>
  <c r="H7" i="5"/>
  <c r="E7" i="5" s="1"/>
  <c r="J6" i="1"/>
  <c r="I6" i="1"/>
  <c r="G7" i="5" l="1"/>
  <c r="F8" i="1"/>
  <c r="H8" i="1"/>
  <c r="E8" i="1" s="1"/>
  <c r="G8" i="1" l="1"/>
  <c r="F10" i="1"/>
  <c r="H10" i="1"/>
  <c r="E10" i="1" s="1"/>
  <c r="G10" i="1" l="1"/>
  <c r="F46" i="1" l="1"/>
  <c r="H46" i="1"/>
  <c r="E46" i="1" s="1"/>
  <c r="G46" i="1" l="1"/>
  <c r="F45" i="1"/>
  <c r="H45" i="1"/>
  <c r="E45" i="1" s="1"/>
  <c r="G45" i="1" l="1"/>
  <c r="F18" i="1"/>
  <c r="H18" i="1"/>
  <c r="E18" i="1" s="1"/>
  <c r="G18" i="1" l="1"/>
  <c r="F17" i="1" l="1"/>
  <c r="H17" i="1"/>
  <c r="E17" i="1" s="1"/>
  <c r="F30" i="2"/>
  <c r="H30" i="2"/>
  <c r="E30" i="2" s="1"/>
  <c r="F29" i="2"/>
  <c r="H29" i="2"/>
  <c r="E29" i="2" s="1"/>
  <c r="F4" i="1"/>
  <c r="H4" i="1"/>
  <c r="E4" i="1" s="1"/>
  <c r="G17" i="1" l="1"/>
  <c r="G30" i="2"/>
  <c r="G29" i="2"/>
  <c r="G4" i="1"/>
  <c r="F6" i="1"/>
  <c r="H6" i="1"/>
  <c r="E6" i="1" s="1"/>
  <c r="F5" i="1"/>
  <c r="H5" i="1"/>
  <c r="E5" i="1" s="1"/>
  <c r="G5" i="1" l="1"/>
  <c r="G6" i="1"/>
  <c r="F9" i="1" l="1"/>
  <c r="H9" i="1"/>
  <c r="E9" i="1" s="1"/>
  <c r="H12" i="1"/>
  <c r="E12" i="1" s="1"/>
  <c r="G9" i="1" l="1"/>
  <c r="F11" i="1" l="1"/>
  <c r="H11" i="1"/>
  <c r="E11" i="1" s="1"/>
  <c r="F12" i="1" l="1"/>
  <c r="G12" i="1" s="1"/>
  <c r="G11" i="1"/>
  <c r="F3" i="1"/>
  <c r="H3" i="1"/>
  <c r="E3" i="1" s="1"/>
  <c r="G3" i="1" l="1"/>
  <c r="N3" i="2"/>
  <c r="M3" i="2"/>
  <c r="F3" i="2"/>
  <c r="H3" i="2"/>
  <c r="E3" i="2" s="1"/>
  <c r="G3" i="2" l="1"/>
  <c r="K3" i="2" l="1"/>
  <c r="L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<sst xmlns="http://schemas.openxmlformats.org/spreadsheetml/2006/main" count="387" uniqueCount="255">
  <si>
    <t>Name</t>
  </si>
  <si>
    <t>Ticker</t>
  </si>
  <si>
    <t>Nvidia</t>
  </si>
  <si>
    <t>NVDA</t>
  </si>
  <si>
    <t>Price</t>
  </si>
  <si>
    <t>MC</t>
  </si>
  <si>
    <t>Intel</t>
  </si>
  <si>
    <t>INTC</t>
  </si>
  <si>
    <t>AMD</t>
  </si>
  <si>
    <t>Texas Instruments</t>
  </si>
  <si>
    <t>TXN</t>
  </si>
  <si>
    <t>Taiwan Semi</t>
  </si>
  <si>
    <t>TSM</t>
  </si>
  <si>
    <t>Apple</t>
  </si>
  <si>
    <t>Samsung</t>
  </si>
  <si>
    <t>Micron</t>
  </si>
  <si>
    <t>MU</t>
  </si>
  <si>
    <t>AAPL</t>
  </si>
  <si>
    <t>Xiaomi</t>
  </si>
  <si>
    <t>Dell</t>
  </si>
  <si>
    <t>HP</t>
  </si>
  <si>
    <t>Lenovo</t>
  </si>
  <si>
    <t>2330 TT</t>
  </si>
  <si>
    <t>005930 KS</t>
  </si>
  <si>
    <t>Broadcom</t>
  </si>
  <si>
    <t>ASML</t>
  </si>
  <si>
    <t>AVGO</t>
  </si>
  <si>
    <t>CSCO</t>
  </si>
  <si>
    <t>Cisco</t>
  </si>
  <si>
    <t>Qualcomm</t>
  </si>
  <si>
    <t>QCOM</t>
  </si>
  <si>
    <t>Applied Materials</t>
  </si>
  <si>
    <t>AMAT</t>
  </si>
  <si>
    <t>Analog Devices</t>
  </si>
  <si>
    <t>ADI</t>
  </si>
  <si>
    <t>Diligent Robotics</t>
  </si>
  <si>
    <t>NC</t>
  </si>
  <si>
    <t>EV</t>
  </si>
  <si>
    <t>S/O</t>
  </si>
  <si>
    <t>Update</t>
  </si>
  <si>
    <t>Last</t>
  </si>
  <si>
    <t>NPV</t>
  </si>
  <si>
    <t>Upside</t>
  </si>
  <si>
    <t>Discount</t>
  </si>
  <si>
    <t>Terminal</t>
  </si>
  <si>
    <t>ROIC</t>
  </si>
  <si>
    <t>x</t>
  </si>
  <si>
    <t>Longi Green</t>
  </si>
  <si>
    <t>601012 CH</t>
  </si>
  <si>
    <t>Lam Research</t>
  </si>
  <si>
    <t>LRCX</t>
  </si>
  <si>
    <t>Midea Group</t>
  </si>
  <si>
    <t>000333 CH</t>
  </si>
  <si>
    <t>SK Hynix</t>
  </si>
  <si>
    <t>000660 KS</t>
  </si>
  <si>
    <t>Tokyo Electron</t>
  </si>
  <si>
    <t>8035 JP</t>
  </si>
  <si>
    <t>KLA Corp</t>
  </si>
  <si>
    <t>KLAC</t>
  </si>
  <si>
    <t>Hon Hai</t>
  </si>
  <si>
    <t>2317 TT</t>
  </si>
  <si>
    <t>Shin-Etsu Chemical</t>
  </si>
  <si>
    <t>4063 JP</t>
  </si>
  <si>
    <t>Private</t>
  </si>
  <si>
    <t>Nothing</t>
  </si>
  <si>
    <t>Razer</t>
  </si>
  <si>
    <t>Hitachi</t>
  </si>
  <si>
    <t>6501 JP</t>
  </si>
  <si>
    <t>Hangzhou Hikvision</t>
  </si>
  <si>
    <t>002415 CH</t>
  </si>
  <si>
    <t>NXP Semiconductor</t>
  </si>
  <si>
    <t>NXPI</t>
  </si>
  <si>
    <t>Juniper</t>
  </si>
  <si>
    <t>JNPR</t>
  </si>
  <si>
    <t>1810 HK</t>
  </si>
  <si>
    <t>Motorola</t>
  </si>
  <si>
    <t>MSI</t>
  </si>
  <si>
    <t>Marvel</t>
  </si>
  <si>
    <t>MRVL</t>
  </si>
  <si>
    <t>MediaTek</t>
  </si>
  <si>
    <t>2454 TT</t>
  </si>
  <si>
    <t>Microchip</t>
  </si>
  <si>
    <t>MCHP</t>
  </si>
  <si>
    <t>Hoya</t>
  </si>
  <si>
    <t>7741 JP</t>
  </si>
  <si>
    <t>HPQ</t>
  </si>
  <si>
    <t>DELL</t>
  </si>
  <si>
    <t>Arista</t>
  </si>
  <si>
    <t>ANET</t>
  </si>
  <si>
    <t>Infineon</t>
  </si>
  <si>
    <t>IFX GR</t>
  </si>
  <si>
    <t>Canon</t>
  </si>
  <si>
    <t>7751 JP</t>
  </si>
  <si>
    <t>STMicro</t>
  </si>
  <si>
    <t>STM</t>
  </si>
  <si>
    <t>Foxconn</t>
  </si>
  <si>
    <t>601138 CH</t>
  </si>
  <si>
    <t>FujiFilm</t>
  </si>
  <si>
    <t>4901 JP</t>
  </si>
  <si>
    <t>TCL Zhonghuan</t>
  </si>
  <si>
    <t>002129 CH</t>
  </si>
  <si>
    <t>Fujitsu</t>
  </si>
  <si>
    <t>6702 JP</t>
  </si>
  <si>
    <t>Nokia</t>
  </si>
  <si>
    <t>NOKIA FH</t>
  </si>
  <si>
    <t>GlobalFoundries</t>
  </si>
  <si>
    <t>GFS</t>
  </si>
  <si>
    <t>Pasqal</t>
  </si>
  <si>
    <t>Cerebras</t>
  </si>
  <si>
    <t>On Semiconductor</t>
  </si>
  <si>
    <t>ON</t>
  </si>
  <si>
    <t>SMIC</t>
  </si>
  <si>
    <t>981 HK</t>
  </si>
  <si>
    <t>Ericsson</t>
  </si>
  <si>
    <t>ERICB SS</t>
  </si>
  <si>
    <t>SO</t>
  </si>
  <si>
    <t>Q322</t>
  </si>
  <si>
    <t>Founded</t>
  </si>
  <si>
    <t>ARM Holdings</t>
  </si>
  <si>
    <t>ARM</t>
  </si>
  <si>
    <t>Q224</t>
  </si>
  <si>
    <t>IonQ</t>
  </si>
  <si>
    <t>Rigetti</t>
  </si>
  <si>
    <t>IONQ</t>
  </si>
  <si>
    <t>QBTS</t>
  </si>
  <si>
    <t>D-Wave</t>
  </si>
  <si>
    <t>RGTI</t>
  </si>
  <si>
    <t>IBM</t>
  </si>
  <si>
    <t>Q423</t>
  </si>
  <si>
    <t>Main</t>
  </si>
  <si>
    <t>Jabil</t>
  </si>
  <si>
    <t>JBL</t>
  </si>
  <si>
    <t>Super Micro</t>
  </si>
  <si>
    <t>SMCI</t>
  </si>
  <si>
    <t>Enphase Energy</t>
  </si>
  <si>
    <t>ENPH</t>
  </si>
  <si>
    <t>Mobileye</t>
  </si>
  <si>
    <t>MBLY</t>
  </si>
  <si>
    <t>Quantinuum</t>
  </si>
  <si>
    <t>Quantum Computing Inc</t>
  </si>
  <si>
    <t>QUBT</t>
  </si>
  <si>
    <t>Multiverse Computing</t>
  </si>
  <si>
    <t>IQM Quantum Computers</t>
  </si>
  <si>
    <t>Infleqtion</t>
  </si>
  <si>
    <t>Quantum Brilliance</t>
  </si>
  <si>
    <t>Nu Quantum</t>
  </si>
  <si>
    <t>BlueQubit</t>
  </si>
  <si>
    <t>Alice &amp; Bob</t>
  </si>
  <si>
    <t>Quanscient</t>
  </si>
  <si>
    <t>Quantum Circuits</t>
  </si>
  <si>
    <t>Qblox</t>
  </si>
  <si>
    <t>Quantum Motion</t>
  </si>
  <si>
    <t>Quobly</t>
  </si>
  <si>
    <t>Quantum Machines</t>
  </si>
  <si>
    <t>BTQ</t>
  </si>
  <si>
    <t>Classiq Technologies</t>
  </si>
  <si>
    <t>Diraq</t>
  </si>
  <si>
    <t>PQShield</t>
  </si>
  <si>
    <t>Q-CTRL</t>
  </si>
  <si>
    <t>QuSecure</t>
  </si>
  <si>
    <t>GTN</t>
  </si>
  <si>
    <t>Quintessence Labs</t>
  </si>
  <si>
    <t>Xanadu</t>
  </si>
  <si>
    <t>Quibtekk</t>
  </si>
  <si>
    <t>Zapata Computing</t>
  </si>
  <si>
    <t>ZPTA</t>
  </si>
  <si>
    <t>UbiQD</t>
  </si>
  <si>
    <t>T-Rize Group</t>
  </si>
  <si>
    <t>Algorithmiq</t>
  </si>
  <si>
    <t>Fabric Cryptography</t>
  </si>
  <si>
    <t>Oxford Quantum Circuits</t>
  </si>
  <si>
    <t>planqc</t>
  </si>
  <si>
    <t>Terra Quantum</t>
  </si>
  <si>
    <t>SemiQon</t>
  </si>
  <si>
    <t>PsiQuantum</t>
  </si>
  <si>
    <t>BosonQ Psi</t>
  </si>
  <si>
    <t>Quantum Source</t>
  </si>
  <si>
    <t>Quandela</t>
  </si>
  <si>
    <t>Arctic Instruments</t>
  </si>
  <si>
    <t>QC Ware</t>
  </si>
  <si>
    <t>SeeQC</t>
  </si>
  <si>
    <t>Photonic</t>
  </si>
  <si>
    <t>QunaSys</t>
  </si>
  <si>
    <t>Oxford Ionics</t>
  </si>
  <si>
    <t>Agnostiq</t>
  </si>
  <si>
    <t>Phasecraft</t>
  </si>
  <si>
    <t>Origin Quantum</t>
  </si>
  <si>
    <t>PASQAL</t>
  </si>
  <si>
    <t>Silicon Quantum Computing</t>
  </si>
  <si>
    <t>Riverlane</t>
  </si>
  <si>
    <t>InVisage Technologies</t>
  </si>
  <si>
    <t>Cambridge Quantum Computing</t>
  </si>
  <si>
    <t>Q324</t>
  </si>
  <si>
    <t>NTD</t>
  </si>
  <si>
    <t>SealSQ</t>
  </si>
  <si>
    <t>LAES</t>
  </si>
  <si>
    <t>Q424</t>
  </si>
  <si>
    <t>Semis</t>
  </si>
  <si>
    <t>Motorola Solutions</t>
  </si>
  <si>
    <t>Advantest</t>
  </si>
  <si>
    <t>6857 JP</t>
  </si>
  <si>
    <t>Hygon Information Technology</t>
  </si>
  <si>
    <t>688041 CH</t>
  </si>
  <si>
    <t>Delta Electronics Thai</t>
  </si>
  <si>
    <t>DELTA TB</t>
  </si>
  <si>
    <t>Garmin</t>
  </si>
  <si>
    <t>GRMN</t>
  </si>
  <si>
    <t>Cambricon</t>
  </si>
  <si>
    <t>688256 CH</t>
  </si>
  <si>
    <t>Monolithic</t>
  </si>
  <si>
    <t>MPWR</t>
  </si>
  <si>
    <t>Disco</t>
  </si>
  <si>
    <t>6146 JP</t>
  </si>
  <si>
    <t>Delta Electronics</t>
  </si>
  <si>
    <t>2308 TT</t>
  </si>
  <si>
    <t>Quanta</t>
  </si>
  <si>
    <t>2382 TT</t>
  </si>
  <si>
    <t>KRW</t>
  </si>
  <si>
    <t>CNY</t>
  </si>
  <si>
    <t>Renesas</t>
  </si>
  <si>
    <t>6723 JP</t>
  </si>
  <si>
    <t>Naura</t>
  </si>
  <si>
    <t>002371 CH</t>
  </si>
  <si>
    <t>ASM International</t>
  </si>
  <si>
    <t>ASM NA</t>
  </si>
  <si>
    <t>Panasonic</t>
  </si>
  <si>
    <t>6752 JP</t>
  </si>
  <si>
    <t>HPE</t>
  </si>
  <si>
    <t>HP Enterprise</t>
  </si>
  <si>
    <t>NEC</t>
  </si>
  <si>
    <t>6701 JP</t>
  </si>
  <si>
    <t>ZTE</t>
  </si>
  <si>
    <t>000063 CH</t>
  </si>
  <si>
    <t>NetApp</t>
  </si>
  <si>
    <t>NTAP</t>
  </si>
  <si>
    <t>Western Digital</t>
  </si>
  <si>
    <t>WDC</t>
  </si>
  <si>
    <t>BOE Technology</t>
  </si>
  <si>
    <t>200725 CH</t>
  </si>
  <si>
    <t>ASE Technology</t>
  </si>
  <si>
    <t>3711 TT</t>
  </si>
  <si>
    <t>Will Semiconductor</t>
  </si>
  <si>
    <t>603501 CH</t>
  </si>
  <si>
    <t>ACM Research</t>
  </si>
  <si>
    <t>ACMR</t>
  </si>
  <si>
    <t>Q125</t>
  </si>
  <si>
    <t>TDK</t>
  </si>
  <si>
    <t>6762 JP</t>
  </si>
  <si>
    <t>Astera</t>
  </si>
  <si>
    <t>ALAB</t>
  </si>
  <si>
    <t>Celestica</t>
  </si>
  <si>
    <t>CLS</t>
  </si>
  <si>
    <t>Q225</t>
  </si>
  <si>
    <t>EPS</t>
  </si>
  <si>
    <t>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</si>
</sst>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[$₩-412]#,##0"/>
    <numFmt numFmtId="166" formatCode="[$¥-804]#,##0.00"/>
    <numFmt numFmtId="168" formatCode="0\x"/>
  </numFmts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4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14" fontId="0" fillId="0" borderId="0" xfId="0" applyNumberFormat="1"/>
    <xf numFmtId="3" fontId="0" fillId="0" borderId="0" xfId="0" applyNumberFormat="1" applyAlignment="1">
      <alignment horizontal="right"/>
    </xf>
    <xf numFmtId="9" fontId="0" fillId="0" borderId="0" xfId="0" applyNumberFormat="1"/>
    <xf numFmtId="164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2" borderId="0" xfId="0" applyFill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DCA3146-CED7-46CE-A0BC-0D6A48096D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sheetMetadata" Target="metadata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NVDA.xlsx" TargetMode="External"/><Relationship Id="rId1" Type="http://schemas.openxmlformats.org/officeDocument/2006/relationships/externalLinkPath" Target="NVD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VGO.xlsx" TargetMode="External"/><Relationship Id="rId1" Type="http://schemas.openxmlformats.org/officeDocument/2006/relationships/externalLinkPath" Target="AVG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TSM.xlsx" TargetMode="External"/><Relationship Id="rId1" Type="http://schemas.openxmlformats.org/officeDocument/2006/relationships/externalLinkPath" Target="TSM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SML.xlsx" TargetMode="External"/><Relationship Id="rId1" Type="http://schemas.openxmlformats.org/officeDocument/2006/relationships/externalLinkPath" Target="ASM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D.xlsx" TargetMode="External"/><Relationship Id="rId1" Type="http://schemas.openxmlformats.org/officeDocument/2006/relationships/externalLinkPath" Target="AM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QCOM.xlsx" TargetMode="External"/><Relationship Id="rId1" Type="http://schemas.openxmlformats.org/officeDocument/2006/relationships/externalLinkPath" Target="QCOM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XN.xlsx" TargetMode="External"/><Relationship Id="rId1" Type="http://schemas.openxmlformats.org/officeDocument/2006/relationships/externalLinkPath" Target="TXN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NTC.xlsx" TargetMode="External"/><Relationship Id="rId1" Type="http://schemas.openxmlformats.org/officeDocument/2006/relationships/externalLinkPath" Target="INTC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U.xlsx" TargetMode="External"/><Relationship Id="rId1" Type="http://schemas.openxmlformats.org/officeDocument/2006/relationships/externalLinkPath" Target="M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MCI.xlsx" TargetMode="External"/><Relationship Id="rId1" Type="http://schemas.openxmlformats.org/officeDocument/2006/relationships/externalLinkPath" Target="SMCI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NPH.xlsx" TargetMode="External"/><Relationship Id="rId1" Type="http://schemas.openxmlformats.org/officeDocument/2006/relationships/externalLinkPath" Target="ENPH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BLY.xlsx" TargetMode="External"/><Relationship Id="rId1" Type="http://schemas.openxmlformats.org/officeDocument/2006/relationships/externalLinkPath" Target="MBL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CMR.xlsx" TargetMode="External"/><Relationship Id="rId1" Type="http://schemas.openxmlformats.org/officeDocument/2006/relationships/externalLinkPath" Target="ACM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ONQ.xlsx" TargetMode="External"/><Relationship Id="rId1" Type="http://schemas.openxmlformats.org/officeDocument/2006/relationships/externalLinkPath" Target="IONQ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GTI.xlsx" TargetMode="External"/><Relationship Id="rId1" Type="http://schemas.openxmlformats.org/officeDocument/2006/relationships/externalLinkPath" Target="RGTI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QBTS.xlsx" TargetMode="External"/><Relationship Id="rId1" Type="http://schemas.openxmlformats.org/officeDocument/2006/relationships/externalLinkPath" Target="QBT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APL.xlsx" TargetMode="External"/><Relationship Id="rId1" Type="http://schemas.openxmlformats.org/officeDocument/2006/relationships/externalLinkPath" Target="AAPL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005930%20Samsung.xlsx" TargetMode="External"/><Relationship Id="rId1" Type="http://schemas.openxmlformats.org/officeDocument/2006/relationships/externalLinkPath" Target="005930%20Samsung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LS.xlsx" TargetMode="External"/><Relationship Id="rId1" Type="http://schemas.openxmlformats.org/officeDocument/2006/relationships/externalLinkPath" Target="C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Q424 Quarterly Earnings Preview"/>
      <sheetName val="Q1 Quarterly Earnings Preview"/>
    </sheetNames>
    <sheetDataSet>
      <sheetData sheetId="0">
        <row r="3">
          <cell r="K3">
            <v>24611</v>
          </cell>
        </row>
        <row r="5">
          <cell r="K5">
            <v>53691</v>
          </cell>
        </row>
        <row r="6">
          <cell r="K6">
            <v>8464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4836</v>
          </cell>
        </row>
        <row r="5">
          <cell r="J5">
            <v>9307</v>
          </cell>
        </row>
        <row r="6">
          <cell r="J6">
            <v>66579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J4">
            <v>25931</v>
          </cell>
        </row>
        <row r="7">
          <cell r="J7">
            <v>67370</v>
          </cell>
        </row>
        <row r="8">
          <cell r="J8">
            <v>30421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393.5</v>
          </cell>
        </row>
        <row r="5">
          <cell r="L5">
            <v>6021.2000000000007</v>
          </cell>
        </row>
        <row r="6">
          <cell r="L6">
            <v>4608.2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1630</v>
          </cell>
        </row>
        <row r="5">
          <cell r="M5">
            <v>5867</v>
          </cell>
        </row>
        <row r="6">
          <cell r="M6">
            <v>3218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1114</v>
          </cell>
        </row>
        <row r="5">
          <cell r="L5">
            <v>13032</v>
          </cell>
        </row>
        <row r="6">
          <cell r="L6">
            <v>14554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907.57171200000005</v>
          </cell>
        </row>
        <row r="5">
          <cell r="K5">
            <v>9090</v>
          </cell>
        </row>
        <row r="6">
          <cell r="K6">
            <v>7937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14th"/>
      <sheetName val="IP"/>
      <sheetName val="Semiconductors"/>
    </sheetNames>
    <sheetDataSet>
      <sheetData sheetId="0">
        <row r="3">
          <cell r="L3">
            <v>4267</v>
          </cell>
        </row>
        <row r="5">
          <cell r="L5">
            <v>35097</v>
          </cell>
        </row>
        <row r="6">
          <cell r="L6">
            <v>53029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1108.841326</v>
          </cell>
        </row>
        <row r="5">
          <cell r="J5">
            <v>9154</v>
          </cell>
        </row>
        <row r="6">
          <cell r="J6">
            <v>13258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640</v>
          </cell>
        </row>
        <row r="5">
          <cell r="M5">
            <v>1670</v>
          </cell>
        </row>
        <row r="6">
          <cell r="M6">
            <v>2174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135.42215899999999</v>
          </cell>
        </row>
        <row r="5">
          <cell r="J5">
            <v>1646.404</v>
          </cell>
        </row>
        <row r="6">
          <cell r="J6">
            <v>1199.432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811.04812700000002</v>
          </cell>
        </row>
        <row r="5">
          <cell r="K5">
            <v>1203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63.864503999999997</v>
          </cell>
        </row>
        <row r="5">
          <cell r="J5">
            <v>522.64</v>
          </cell>
        </row>
        <row r="6">
          <cell r="J6">
            <v>227.42599999999999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Presentation"/>
      <sheetName val="Papers"/>
      <sheetName val="Glossary"/>
    </sheetNames>
    <sheetDataSet>
      <sheetData sheetId="0">
        <row r="3">
          <cell r="J3">
            <v>296.83779600000003</v>
          </cell>
        </row>
        <row r="5">
          <cell r="J5">
            <v>1657</v>
          </cell>
        </row>
        <row r="6">
          <cell r="J6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Gates"/>
      <sheetName val="Bubbles"/>
      <sheetName val="TOPS"/>
      <sheetName val="DNA"/>
    </sheetNames>
    <sheetDataSet>
      <sheetData sheetId="0">
        <row r="3">
          <cell r="L3">
            <v>283.54687100000001</v>
          </cell>
        </row>
        <row r="5">
          <cell r="L5">
            <v>217</v>
          </cell>
        </row>
        <row r="6">
          <cell r="L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QUBO"/>
    </sheetNames>
    <sheetDataSet>
      <sheetData sheetId="0">
        <row r="3">
          <cell r="L3">
            <v>286</v>
          </cell>
        </row>
        <row r="5">
          <cell r="L5">
            <v>304.32100000000003</v>
          </cell>
        </row>
        <row r="6">
          <cell r="L6">
            <v>30.367000000000001</v>
          </cell>
        </row>
      </sheetData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hone"/>
    </sheetNames>
    <sheetDataSet>
      <sheetData sheetId="0">
        <row r="3">
          <cell r="O3">
            <v>15056</v>
          </cell>
        </row>
        <row r="5">
          <cell r="O5">
            <v>132922</v>
          </cell>
        </row>
        <row r="6">
          <cell r="O6">
            <v>98186</v>
          </cell>
        </row>
      </sheetData>
      <sheetData sheetId="1">
        <row r="36">
          <cell r="CE36">
            <v>7.4999999999999997E-2</v>
          </cell>
        </row>
        <row r="37">
          <cell r="CE37">
            <v>-0.01</v>
          </cell>
        </row>
        <row r="39">
          <cell r="CE39">
            <v>158.7822866043505</v>
          </cell>
        </row>
      </sheetData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6758.9192499999999</v>
          </cell>
        </row>
        <row r="5">
          <cell r="K5">
            <v>112651.8</v>
          </cell>
        </row>
        <row r="6">
          <cell r="K6">
            <v>19330.2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I3">
            <v>115.959118</v>
          </cell>
        </row>
        <row r="5">
          <cell r="I5">
            <v>423.3</v>
          </cell>
        </row>
        <row r="6">
          <cell r="I6">
            <v>796.7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U.xlsx" TargetMode="External"/><Relationship Id="rId13" Type="http://schemas.openxmlformats.org/officeDocument/2006/relationships/hyperlink" Target="ASML.xlsx" TargetMode="External"/><Relationship Id="rId3" Type="http://schemas.openxmlformats.org/officeDocument/2006/relationships/hyperlink" Target="INTC.xlsx" TargetMode="External"/><Relationship Id="rId7" Type="http://schemas.openxmlformats.org/officeDocument/2006/relationships/hyperlink" Target="AVGO.xlsx" TargetMode="External"/><Relationship Id="rId12" Type="http://schemas.openxmlformats.org/officeDocument/2006/relationships/hyperlink" Target="QCOM.xlsx" TargetMode="External"/><Relationship Id="rId2" Type="http://schemas.openxmlformats.org/officeDocument/2006/relationships/hyperlink" Target="TXN.xlsx" TargetMode="External"/><Relationship Id="rId1" Type="http://schemas.openxmlformats.org/officeDocument/2006/relationships/hyperlink" Target="NVDA.xlsx" TargetMode="External"/><Relationship Id="rId6" Type="http://schemas.openxmlformats.org/officeDocument/2006/relationships/hyperlink" Target="TSM.xlsx" TargetMode="External"/><Relationship Id="rId11" Type="http://schemas.openxmlformats.org/officeDocument/2006/relationships/hyperlink" Target="MBLY.xlsx" TargetMode="External"/><Relationship Id="rId5" Type="http://schemas.openxmlformats.org/officeDocument/2006/relationships/hyperlink" Target="TSM.xlsx" TargetMode="External"/><Relationship Id="rId10" Type="http://schemas.openxmlformats.org/officeDocument/2006/relationships/hyperlink" Target="ENPH.xlsx" TargetMode="External"/><Relationship Id="rId4" Type="http://schemas.openxmlformats.org/officeDocument/2006/relationships/hyperlink" Target="AMD.xlsx" TargetMode="External"/><Relationship Id="rId9" Type="http://schemas.openxmlformats.org/officeDocument/2006/relationships/hyperlink" Target="SMCI.xlsx" TargetMode="External"/><Relationship Id="rId14" Type="http://schemas.openxmlformats.org/officeDocument/2006/relationships/hyperlink" Target="ACMR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QUBT.xlsx" TargetMode="External"/><Relationship Id="rId2" Type="http://schemas.openxmlformats.org/officeDocument/2006/relationships/hyperlink" Target="RGTI.xlsx" TargetMode="External"/><Relationship Id="rId1" Type="http://schemas.openxmlformats.org/officeDocument/2006/relationships/hyperlink" Target="IONQ.xlsx" TargetMode="External"/><Relationship Id="rId4" Type="http://schemas.openxmlformats.org/officeDocument/2006/relationships/hyperlink" Target="QBTS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CSCO.xls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CLS.xlsx" TargetMode="External"/><Relationship Id="rId3" Type="http://schemas.openxmlformats.org/officeDocument/2006/relationships/hyperlink" Target="JBL.xlsx" TargetMode="External"/><Relationship Id="rId7" Type="http://schemas.openxmlformats.org/officeDocument/2006/relationships/hyperlink" Target="005930%20Samsung.xlsx" TargetMode="External"/><Relationship Id="rId2" Type="http://schemas.openxmlformats.org/officeDocument/2006/relationships/hyperlink" Target="IONQ.xlsx" TargetMode="External"/><Relationship Id="rId1" Type="http://schemas.openxmlformats.org/officeDocument/2006/relationships/hyperlink" Target="AAPL.xlsx" TargetMode="External"/><Relationship Id="rId6" Type="http://schemas.openxmlformats.org/officeDocument/2006/relationships/hyperlink" Target="IBM.xlsx" TargetMode="External"/><Relationship Id="rId5" Type="http://schemas.openxmlformats.org/officeDocument/2006/relationships/hyperlink" Target="QBTS.xlsx" TargetMode="External"/><Relationship Id="rId4" Type="http://schemas.openxmlformats.org/officeDocument/2006/relationships/hyperlink" Target="RGTI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9E42-3F4A-4F5B-8F7C-4C05A85AC67E}">
  <dimension ref="A1:U51"/>
  <sheetViews>
    <sheetView tabSelected="1" zoomScale="145" zoomScaleNormal="145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T9" sqref="T9"/>
    </sheetView>
  </sheetViews>
  <sheetFormatPr defaultColWidth="8.81640625" defaultRowHeight="12.5" x14ac:dyDescent="0.25"/>
  <cols>
    <col min="1" max="1" width="2.453125" customWidth="1"/>
    <col min="2" max="2" width="17.7265625" bestFit="1" customWidth="1"/>
    <col min="3" max="3" width="11" customWidth="1"/>
    <col min="4" max="4" width="9.1796875" style="3"/>
    <col min="5" max="5" width="9.54296875" style="3" bestFit="1" customWidth="1"/>
    <col min="6" max="6" width="9.1796875" style="3"/>
    <col min="7" max="7" width="9.54296875" style="3" bestFit="1" customWidth="1"/>
    <col min="8" max="9" width="9.1796875" style="3"/>
    <col min="10" max="10" width="11.81640625" style="3" customWidth="1"/>
  </cols>
  <sheetData>
    <row r="1" spans="1:21" x14ac:dyDescent="0.25">
      <c r="L1" s="17" t="s">
        <v>253</v>
      </c>
      <c r="M1" s="17"/>
      <c r="N1" s="17"/>
      <c r="O1" s="17"/>
      <c r="P1" s="17"/>
      <c r="Q1" s="17" t="s">
        <v>254</v>
      </c>
      <c r="R1" s="17"/>
      <c r="S1" s="17"/>
      <c r="T1" s="17"/>
      <c r="U1" s="17"/>
    </row>
    <row r="2" spans="1:21" x14ac:dyDescent="0.25">
      <c r="B2" t="s">
        <v>0</v>
      </c>
      <c r="C2" t="s">
        <v>1</v>
      </c>
      <c r="D2" s="3" t="s">
        <v>4</v>
      </c>
      <c r="E2" s="3" t="s">
        <v>5</v>
      </c>
      <c r="F2" s="3" t="s">
        <v>36</v>
      </c>
      <c r="G2" s="3" t="s">
        <v>37</v>
      </c>
      <c r="H2" s="3" t="s">
        <v>115</v>
      </c>
      <c r="I2" s="3" t="s">
        <v>39</v>
      </c>
      <c r="J2" s="3" t="s">
        <v>40</v>
      </c>
      <c r="K2" s="3" t="s">
        <v>117</v>
      </c>
      <c r="L2">
        <v>2025</v>
      </c>
      <c r="M2">
        <v>2026</v>
      </c>
      <c r="N2">
        <f>+M2+1</f>
        <v>2027</v>
      </c>
      <c r="O2">
        <f>+N2+1</f>
        <v>2028</v>
      </c>
      <c r="P2">
        <f>+O2+1</f>
        <v>2029</v>
      </c>
      <c r="Q2">
        <v>2025</v>
      </c>
      <c r="R2">
        <v>2026</v>
      </c>
      <c r="S2">
        <f>+R2+1</f>
        <v>2027</v>
      </c>
      <c r="T2">
        <f>+S2+1</f>
        <v>2028</v>
      </c>
      <c r="U2">
        <f>+T2+1</f>
        <v>2029</v>
      </c>
    </row>
    <row r="3" spans="1:21" x14ac:dyDescent="0.25">
      <c r="A3" s="14" t="s">
        <v>46</v>
      </c>
      <c r="B3" s="1" t="s">
        <v>2</v>
      </c>
      <c r="C3" t="s">
        <v>3</v>
      </c>
      <c r="D3" s="4">
        <v>194</v>
      </c>
      <c r="E3" s="6">
        <f>+D3*H3</f>
        <v>4774534</v>
      </c>
      <c r="F3" s="6">
        <f>+[1]Main!$K$5-[1]Main!$K$6</f>
        <v>45227</v>
      </c>
      <c r="G3" s="6">
        <f>+E3-F3</f>
        <v>4729307</v>
      </c>
      <c r="H3" s="6">
        <f>+[1]Main!$K$3</f>
        <v>24611</v>
      </c>
      <c r="I3" s="3" t="s">
        <v>196</v>
      </c>
      <c r="J3" s="10">
        <v>45805</v>
      </c>
      <c r="K3">
        <v>1993</v>
      </c>
    </row>
    <row r="4" spans="1:21" x14ac:dyDescent="0.25">
      <c r="A4" s="14" t="s">
        <v>46</v>
      </c>
      <c r="B4" s="1" t="s">
        <v>24</v>
      </c>
      <c r="C4" t="s">
        <v>26</v>
      </c>
      <c r="D4" s="4">
        <v>344</v>
      </c>
      <c r="E4" s="6">
        <f>+D4*H4</f>
        <v>1663584</v>
      </c>
      <c r="F4" s="6">
        <f>+[2]Main!$J$5-[2]Main!$J$6</f>
        <v>-57272</v>
      </c>
      <c r="G4" s="6">
        <f>+E4-F4</f>
        <v>1720856</v>
      </c>
      <c r="H4" s="6">
        <f>+[2]Main!$J$3</f>
        <v>4836</v>
      </c>
      <c r="I4" s="3" t="s">
        <v>120</v>
      </c>
      <c r="J4" s="10">
        <v>45722</v>
      </c>
    </row>
    <row r="5" spans="1:21" x14ac:dyDescent="0.25">
      <c r="A5" s="14" t="s">
        <v>46</v>
      </c>
      <c r="B5" s="1" t="s">
        <v>11</v>
      </c>
      <c r="C5" t="s">
        <v>12</v>
      </c>
      <c r="D5" s="4">
        <v>300.29000000000002</v>
      </c>
      <c r="E5" s="6">
        <f>+D5*H5/5</f>
        <v>1557363.9980000001</v>
      </c>
      <c r="F5" s="6">
        <f>+[3]Main!$J$7-[3]Main!$J$8</f>
        <v>36949</v>
      </c>
      <c r="G5" s="6">
        <f>+E5-F5</f>
        <v>1520414.9980000001</v>
      </c>
      <c r="H5" s="6">
        <f>+[3]Main!$J$4</f>
        <v>25931</v>
      </c>
      <c r="I5" s="3" t="s">
        <v>192</v>
      </c>
      <c r="J5" s="10">
        <v>45652</v>
      </c>
    </row>
    <row r="6" spans="1:21" x14ac:dyDescent="0.25">
      <c r="A6" s="14" t="s">
        <v>46</v>
      </c>
      <c r="B6" s="1" t="s">
        <v>11</v>
      </c>
      <c r="C6" t="s">
        <v>22</v>
      </c>
      <c r="D6" s="4">
        <v>1440</v>
      </c>
      <c r="E6" s="6">
        <f>+D6*H6/FX!C2</f>
        <v>1142614.4430844553</v>
      </c>
      <c r="F6" s="6">
        <f>+[3]Main!$J$7-[3]Main!$J$8</f>
        <v>36949</v>
      </c>
      <c r="G6" s="6">
        <f>+E6-F6</f>
        <v>1105665.4430844553</v>
      </c>
      <c r="H6" s="6">
        <f>+[3]Main!$J$4</f>
        <v>25931</v>
      </c>
      <c r="I6" s="3" t="str">
        <f>+I5</f>
        <v>Q324</v>
      </c>
      <c r="J6" s="10">
        <f>+J5</f>
        <v>45652</v>
      </c>
    </row>
    <row r="7" spans="1:21" x14ac:dyDescent="0.25">
      <c r="A7" s="14" t="s">
        <v>46</v>
      </c>
      <c r="B7" t="s">
        <v>14</v>
      </c>
      <c r="C7" t="s">
        <v>23</v>
      </c>
      <c r="D7" s="6">
        <v>89000</v>
      </c>
    </row>
    <row r="8" spans="1:21" x14ac:dyDescent="0.25">
      <c r="A8" s="14" t="s">
        <v>46</v>
      </c>
      <c r="B8" s="1" t="s">
        <v>25</v>
      </c>
      <c r="C8" t="s">
        <v>25</v>
      </c>
      <c r="D8" s="4">
        <v>983</v>
      </c>
      <c r="E8" s="6">
        <f>+D8*H8</f>
        <v>386810.5</v>
      </c>
      <c r="F8" s="6">
        <f>+[4]Main!$L$5-[4]Main!$L$6</f>
        <v>1413.0000000000009</v>
      </c>
      <c r="G8" s="6">
        <f>+E8-F8</f>
        <v>385397.5</v>
      </c>
      <c r="H8" s="6">
        <f>+[4]Main!$L$3</f>
        <v>393.5</v>
      </c>
      <c r="I8" s="3" t="s">
        <v>120</v>
      </c>
      <c r="J8" s="10">
        <v>45581</v>
      </c>
    </row>
    <row r="9" spans="1:21" x14ac:dyDescent="0.25">
      <c r="A9" s="14" t="s">
        <v>46</v>
      </c>
      <c r="B9" s="1" t="s">
        <v>8</v>
      </c>
      <c r="C9" t="s">
        <v>8</v>
      </c>
      <c r="D9" s="4">
        <v>238</v>
      </c>
      <c r="E9" s="6">
        <f>+D9*H9</f>
        <v>387940</v>
      </c>
      <c r="F9" s="6">
        <f>+[5]Main!$M$5-[5]Main!$M$6</f>
        <v>2649</v>
      </c>
      <c r="G9" s="6">
        <f>+E9-F9</f>
        <v>385291</v>
      </c>
      <c r="H9" s="6">
        <f>+[5]Main!$M$3</f>
        <v>1630</v>
      </c>
      <c r="I9" s="3" t="s">
        <v>252</v>
      </c>
      <c r="J9" s="10">
        <v>45939</v>
      </c>
      <c r="K9">
        <v>1969</v>
      </c>
      <c r="L9">
        <v>3.84</v>
      </c>
      <c r="M9">
        <v>6.14</v>
      </c>
      <c r="Q9" s="18">
        <f>+$D9/L9</f>
        <v>61.979166666666671</v>
      </c>
      <c r="R9" s="18">
        <f>+$D9/M9</f>
        <v>38.762214983713356</v>
      </c>
      <c r="S9" s="18"/>
      <c r="T9" s="18"/>
    </row>
    <row r="10" spans="1:21" x14ac:dyDescent="0.25">
      <c r="A10" s="14" t="s">
        <v>46</v>
      </c>
      <c r="B10" s="1" t="s">
        <v>29</v>
      </c>
      <c r="C10" t="s">
        <v>30</v>
      </c>
      <c r="D10" s="3">
        <v>171.54</v>
      </c>
      <c r="E10" s="6">
        <f>+D10*H10</f>
        <v>191095.56</v>
      </c>
      <c r="F10" s="6">
        <f>+[6]Main!$L$5-[6]Main!$L$6</f>
        <v>-1522</v>
      </c>
      <c r="G10" s="6">
        <f>+E10-F10</f>
        <v>192617.56</v>
      </c>
      <c r="H10" s="6">
        <f>+[6]Main!$L$3</f>
        <v>1114</v>
      </c>
      <c r="I10" s="3" t="s">
        <v>120</v>
      </c>
      <c r="J10" s="10">
        <v>45581</v>
      </c>
    </row>
    <row r="11" spans="1:21" x14ac:dyDescent="0.25">
      <c r="A11" s="14" t="s">
        <v>46</v>
      </c>
      <c r="B11" s="1" t="s">
        <v>9</v>
      </c>
      <c r="C11" t="s">
        <v>10</v>
      </c>
      <c r="D11" s="3">
        <v>170.34</v>
      </c>
      <c r="E11" s="6">
        <f>+D11*H11</f>
        <v>154595.76542208</v>
      </c>
      <c r="F11" s="6">
        <f>+[7]Main!$K$5-[7]Main!$K$6</f>
        <v>1153</v>
      </c>
      <c r="G11" s="6">
        <f>+E11-F11</f>
        <v>153442.76542208</v>
      </c>
      <c r="H11" s="6">
        <f>+[7]Main!$K$3</f>
        <v>907.57171200000005</v>
      </c>
      <c r="I11" s="3" t="s">
        <v>116</v>
      </c>
      <c r="J11" s="10">
        <v>44946</v>
      </c>
    </row>
    <row r="12" spans="1:21" x14ac:dyDescent="0.25">
      <c r="A12" s="14" t="s">
        <v>46</v>
      </c>
      <c r="B12" s="1" t="s">
        <v>6</v>
      </c>
      <c r="C12" t="s">
        <v>7</v>
      </c>
      <c r="D12" s="4">
        <v>19.91</v>
      </c>
      <c r="E12" s="6">
        <f>+D12*H12</f>
        <v>84955.97</v>
      </c>
      <c r="F12" s="6">
        <f>+[8]Main!$L$5-[8]Main!$L$6</f>
        <v>-17932</v>
      </c>
      <c r="G12" s="6">
        <f>+E12-F12</f>
        <v>102887.97</v>
      </c>
      <c r="H12" s="6">
        <f>+[8]Main!$L$3</f>
        <v>4267</v>
      </c>
      <c r="I12" s="3" t="s">
        <v>120</v>
      </c>
      <c r="J12" s="10">
        <v>45507</v>
      </c>
    </row>
    <row r="13" spans="1:21" x14ac:dyDescent="0.25">
      <c r="A13" s="14" t="s">
        <v>46</v>
      </c>
      <c r="B13" t="s">
        <v>31</v>
      </c>
      <c r="C13" t="s">
        <v>32</v>
      </c>
    </row>
    <row r="14" spans="1:21" x14ac:dyDescent="0.25">
      <c r="A14" s="14" t="s">
        <v>46</v>
      </c>
      <c r="B14" t="s">
        <v>118</v>
      </c>
      <c r="C14" t="s">
        <v>119</v>
      </c>
    </row>
    <row r="15" spans="1:21" x14ac:dyDescent="0.25">
      <c r="A15" s="14" t="s">
        <v>46</v>
      </c>
      <c r="B15" t="s">
        <v>33</v>
      </c>
      <c r="C15" t="s">
        <v>34</v>
      </c>
    </row>
    <row r="16" spans="1:21" x14ac:dyDescent="0.25">
      <c r="A16" s="14" t="s">
        <v>46</v>
      </c>
      <c r="B16" t="s">
        <v>47</v>
      </c>
      <c r="C16" t="s">
        <v>48</v>
      </c>
    </row>
    <row r="17" spans="1:10" x14ac:dyDescent="0.25">
      <c r="A17" s="14" t="s">
        <v>46</v>
      </c>
      <c r="B17" s="1" t="s">
        <v>15</v>
      </c>
      <c r="C17" t="s">
        <v>16</v>
      </c>
      <c r="D17" s="3">
        <v>89.54</v>
      </c>
      <c r="E17" s="6">
        <f>+D17*H17</f>
        <v>99285.65233004</v>
      </c>
      <c r="F17" s="6">
        <f>+[9]Main!$J$5-[9]Main!$J$6</f>
        <v>-4104</v>
      </c>
      <c r="G17" s="6">
        <f>+E17-F17</f>
        <v>103389.65233004</v>
      </c>
      <c r="H17" s="6">
        <f>+[9]Main!$J$3</f>
        <v>1108.841326</v>
      </c>
      <c r="I17" s="3" t="s">
        <v>120</v>
      </c>
      <c r="J17" s="10">
        <v>45554</v>
      </c>
    </row>
    <row r="18" spans="1:10" x14ac:dyDescent="0.25">
      <c r="A18" s="14" t="s">
        <v>46</v>
      </c>
      <c r="B18" s="1" t="s">
        <v>132</v>
      </c>
      <c r="C18" t="s">
        <v>133</v>
      </c>
      <c r="D18" s="4">
        <v>20.65</v>
      </c>
      <c r="E18" s="6">
        <f>+D18*H18</f>
        <v>13216</v>
      </c>
      <c r="F18" s="6">
        <f>+[10]Main!$M$5-[10]Main!$M$6</f>
        <v>-504</v>
      </c>
      <c r="G18" s="6">
        <f>+E18-F18</f>
        <v>13720</v>
      </c>
      <c r="H18" s="6">
        <f>+[10]Main!$M$3</f>
        <v>640</v>
      </c>
      <c r="I18" s="3" t="s">
        <v>120</v>
      </c>
      <c r="J18" s="10">
        <v>45560</v>
      </c>
    </row>
    <row r="19" spans="1:10" x14ac:dyDescent="0.25">
      <c r="A19" s="14" t="s">
        <v>46</v>
      </c>
      <c r="B19" t="s">
        <v>49</v>
      </c>
      <c r="C19" t="s">
        <v>50</v>
      </c>
    </row>
    <row r="20" spans="1:10" x14ac:dyDescent="0.25">
      <c r="A20" s="14" t="s">
        <v>46</v>
      </c>
      <c r="B20" t="s">
        <v>53</v>
      </c>
      <c r="C20" t="s">
        <v>54</v>
      </c>
    </row>
    <row r="21" spans="1:10" x14ac:dyDescent="0.25">
      <c r="A21" s="14" t="s">
        <v>46</v>
      </c>
      <c r="B21" t="s">
        <v>55</v>
      </c>
      <c r="C21" t="s">
        <v>56</v>
      </c>
    </row>
    <row r="22" spans="1:10" x14ac:dyDescent="0.25">
      <c r="A22" s="14" t="s">
        <v>46</v>
      </c>
      <c r="B22" t="s">
        <v>57</v>
      </c>
      <c r="C22" t="s">
        <v>58</v>
      </c>
    </row>
    <row r="23" spans="1:10" x14ac:dyDescent="0.25">
      <c r="A23" s="14" t="s">
        <v>46</v>
      </c>
      <c r="B23" t="s">
        <v>61</v>
      </c>
      <c r="C23" t="s">
        <v>62</v>
      </c>
    </row>
    <row r="24" spans="1:10" x14ac:dyDescent="0.25">
      <c r="A24" s="14" t="s">
        <v>46</v>
      </c>
      <c r="B24" t="s">
        <v>70</v>
      </c>
      <c r="C24" t="s">
        <v>71</v>
      </c>
    </row>
    <row r="25" spans="1:10" x14ac:dyDescent="0.25">
      <c r="A25" s="14" t="s">
        <v>46</v>
      </c>
      <c r="B25" t="s">
        <v>79</v>
      </c>
      <c r="C25" t="s">
        <v>80</v>
      </c>
    </row>
    <row r="26" spans="1:10" x14ac:dyDescent="0.25">
      <c r="A26" s="14" t="s">
        <v>46</v>
      </c>
      <c r="B26" t="s">
        <v>199</v>
      </c>
      <c r="C26" t="s">
        <v>200</v>
      </c>
    </row>
    <row r="27" spans="1:10" x14ac:dyDescent="0.25">
      <c r="A27" s="14" t="s">
        <v>46</v>
      </c>
      <c r="B27" t="s">
        <v>201</v>
      </c>
      <c r="C27" t="s">
        <v>202</v>
      </c>
    </row>
    <row r="28" spans="1:10" x14ac:dyDescent="0.25">
      <c r="A28" s="14" t="s">
        <v>46</v>
      </c>
      <c r="B28" t="s">
        <v>207</v>
      </c>
      <c r="C28" t="s">
        <v>208</v>
      </c>
    </row>
    <row r="29" spans="1:10" x14ac:dyDescent="0.25">
      <c r="A29" s="14" t="s">
        <v>46</v>
      </c>
      <c r="B29" t="s">
        <v>81</v>
      </c>
      <c r="C29" t="s">
        <v>82</v>
      </c>
    </row>
    <row r="30" spans="1:10" x14ac:dyDescent="0.25">
      <c r="A30" s="14" t="s">
        <v>46</v>
      </c>
      <c r="B30" t="s">
        <v>83</v>
      </c>
      <c r="C30" t="s">
        <v>84</v>
      </c>
    </row>
    <row r="31" spans="1:10" x14ac:dyDescent="0.25">
      <c r="A31" s="14" t="s">
        <v>46</v>
      </c>
      <c r="B31" t="s">
        <v>89</v>
      </c>
      <c r="C31" t="s">
        <v>90</v>
      </c>
    </row>
    <row r="32" spans="1:10" x14ac:dyDescent="0.25">
      <c r="A32" s="14" t="s">
        <v>46</v>
      </c>
      <c r="B32" t="s">
        <v>209</v>
      </c>
      <c r="C32" t="s">
        <v>210</v>
      </c>
    </row>
    <row r="33" spans="1:10" x14ac:dyDescent="0.25">
      <c r="A33" s="14" t="s">
        <v>46</v>
      </c>
      <c r="B33" t="s">
        <v>93</v>
      </c>
      <c r="C33" t="s">
        <v>94</v>
      </c>
    </row>
    <row r="34" spans="1:10" x14ac:dyDescent="0.25">
      <c r="A34" s="14" t="s">
        <v>46</v>
      </c>
      <c r="B34" t="s">
        <v>211</v>
      </c>
      <c r="C34" t="s">
        <v>212</v>
      </c>
    </row>
    <row r="35" spans="1:10" x14ac:dyDescent="0.25">
      <c r="A35" s="14" t="s">
        <v>46</v>
      </c>
      <c r="B35" t="s">
        <v>219</v>
      </c>
      <c r="C35" t="s">
        <v>220</v>
      </c>
    </row>
    <row r="36" spans="1:10" x14ac:dyDescent="0.25">
      <c r="A36" s="14" t="s">
        <v>46</v>
      </c>
      <c r="B36" t="s">
        <v>221</v>
      </c>
      <c r="C36" t="s">
        <v>222</v>
      </c>
    </row>
    <row r="37" spans="1:10" x14ac:dyDescent="0.25">
      <c r="A37" s="14" t="s">
        <v>46</v>
      </c>
      <c r="B37" t="s">
        <v>223</v>
      </c>
      <c r="C37" t="s">
        <v>224</v>
      </c>
    </row>
    <row r="38" spans="1:10" x14ac:dyDescent="0.25">
      <c r="A38" s="14" t="s">
        <v>46</v>
      </c>
      <c r="B38" t="s">
        <v>239</v>
      </c>
      <c r="C38" t="s">
        <v>240</v>
      </c>
    </row>
    <row r="39" spans="1:10" x14ac:dyDescent="0.25">
      <c r="A39" s="14" t="s">
        <v>46</v>
      </c>
      <c r="B39" t="s">
        <v>241</v>
      </c>
      <c r="C39" t="s">
        <v>242</v>
      </c>
    </row>
    <row r="40" spans="1:10" x14ac:dyDescent="0.25">
      <c r="A40" t="s">
        <v>46</v>
      </c>
      <c r="B40" t="s">
        <v>99</v>
      </c>
      <c r="C40" t="s">
        <v>100</v>
      </c>
    </row>
    <row r="41" spans="1:10" x14ac:dyDescent="0.25">
      <c r="A41" s="14" t="s">
        <v>46</v>
      </c>
      <c r="B41" t="s">
        <v>105</v>
      </c>
      <c r="C41" t="s">
        <v>106</v>
      </c>
    </row>
    <row r="42" spans="1:10" x14ac:dyDescent="0.25">
      <c r="A42" t="s">
        <v>46</v>
      </c>
      <c r="B42" t="s">
        <v>109</v>
      </c>
      <c r="C42" t="s">
        <v>110</v>
      </c>
    </row>
    <row r="43" spans="1:10" x14ac:dyDescent="0.25">
      <c r="A43" t="s">
        <v>46</v>
      </c>
      <c r="B43" t="s">
        <v>248</v>
      </c>
      <c r="C43" t="s">
        <v>249</v>
      </c>
    </row>
    <row r="44" spans="1:10" x14ac:dyDescent="0.25">
      <c r="A44" s="14" t="s">
        <v>46</v>
      </c>
      <c r="B44" t="s">
        <v>111</v>
      </c>
      <c r="C44" t="s">
        <v>112</v>
      </c>
    </row>
    <row r="45" spans="1:10" x14ac:dyDescent="0.25">
      <c r="B45" s="1" t="s">
        <v>134</v>
      </c>
      <c r="C45" t="s">
        <v>135</v>
      </c>
      <c r="D45" s="4">
        <v>112</v>
      </c>
      <c r="E45" s="6">
        <f>+D45*H45</f>
        <v>15167.281808</v>
      </c>
      <c r="F45" s="6">
        <f>+[11]Main!$J$5-[11]Main!$J$6</f>
        <v>446.97199999999998</v>
      </c>
      <c r="G45" s="6">
        <f>+E45-F45</f>
        <v>14720.309808</v>
      </c>
      <c r="H45" s="6">
        <f>+[11]Main!$J$3</f>
        <v>135.42215899999999</v>
      </c>
      <c r="I45" s="3" t="s">
        <v>120</v>
      </c>
      <c r="J45" s="10">
        <v>45561</v>
      </c>
    </row>
    <row r="46" spans="1:10" x14ac:dyDescent="0.25">
      <c r="B46" s="1" t="s">
        <v>136</v>
      </c>
      <c r="C46" t="s">
        <v>137</v>
      </c>
      <c r="D46" s="4">
        <v>13</v>
      </c>
      <c r="E46" s="6">
        <f>+D46*H46</f>
        <v>10543.625651</v>
      </c>
      <c r="F46" s="6">
        <f>+[12]Main!$K$5-[12]Main!$K$6</f>
        <v>1203</v>
      </c>
      <c r="G46" s="6">
        <f>+E46-F46</f>
        <v>9340.6256510000003</v>
      </c>
      <c r="H46" s="6">
        <f>+[12]Main!$K$3</f>
        <v>811.04812700000002</v>
      </c>
      <c r="I46" s="3" t="s">
        <v>120</v>
      </c>
      <c r="J46" s="10">
        <v>45561</v>
      </c>
    </row>
    <row r="47" spans="1:10" x14ac:dyDescent="0.25">
      <c r="B47" s="1" t="s">
        <v>243</v>
      </c>
      <c r="C47" t="s">
        <v>244</v>
      </c>
      <c r="D47" s="4">
        <v>23.19</v>
      </c>
      <c r="E47" s="6">
        <f>+D47*H47</f>
        <v>1481.01784776</v>
      </c>
      <c r="F47" s="6">
        <f>+[13]Main!$J$5-[13]Main!$J$6</f>
        <v>295.214</v>
      </c>
      <c r="G47" s="6">
        <f>+E47-F47</f>
        <v>1185.8038477600001</v>
      </c>
      <c r="H47" s="6">
        <f>+[13]Main!$J$3</f>
        <v>63.864503999999997</v>
      </c>
      <c r="I47" s="3" t="s">
        <v>245</v>
      </c>
      <c r="J47" s="10">
        <v>45796</v>
      </c>
    </row>
    <row r="49" spans="2:2" x14ac:dyDescent="0.25">
      <c r="B49" t="s">
        <v>63</v>
      </c>
    </row>
    <row r="50" spans="2:2" x14ac:dyDescent="0.25">
      <c r="B50" t="s">
        <v>107</v>
      </c>
    </row>
    <row r="51" spans="2:2" x14ac:dyDescent="0.25">
      <c r="B51" t="s">
        <v>108</v>
      </c>
    </row>
  </sheetData>
  <mergeCells count="2">
    <mergeCell ref="L1:P1"/>
    <mergeCell ref="Q1:U1"/>
  </mergeCells>
  <hyperlinks>
    <hyperlink ref="B3" r:id="rId1" xr:uid="{82B60337-F6F7-4A89-BE21-94E4E4FAE923}"/>
    <hyperlink ref="B11" r:id="rId2" xr:uid="{89BFBE39-15FE-4D88-BD35-419556A195F8}"/>
    <hyperlink ref="B12" r:id="rId3" xr:uid="{ACBF0F19-D83E-41D4-B3AD-01439A0CCE2D}"/>
    <hyperlink ref="B9" r:id="rId4" xr:uid="{0B4AADBB-7802-4155-9477-7B8867856D77}"/>
    <hyperlink ref="B5" r:id="rId5" xr:uid="{D5C26AF1-ADC4-4E03-9D8B-12F3C24C324B}"/>
    <hyperlink ref="B6" r:id="rId6" xr:uid="{DD4F0CC9-D485-4053-9B41-DE6F39511946}"/>
    <hyperlink ref="B4" r:id="rId7" xr:uid="{05815C98-BE17-4CF3-942D-C5BFAB80DA80}"/>
    <hyperlink ref="B17" r:id="rId8" xr:uid="{37FE970B-81E9-4AF7-98E1-474982CC16D7}"/>
    <hyperlink ref="B18" r:id="rId9" xr:uid="{CF0C3BE9-553F-4E6A-8F72-3B6D86F868FC}"/>
    <hyperlink ref="B45" r:id="rId10" xr:uid="{35D78F35-BD1B-401F-9830-193EF147D21A}"/>
    <hyperlink ref="B46" r:id="rId11" xr:uid="{8FC74BE2-2095-4EFE-8F49-C1E00A6EF2C6}"/>
    <hyperlink ref="B10" r:id="rId12" xr:uid="{E7CBB7C3-B2DF-42D5-A84A-8A1B7E26DDB6}"/>
    <hyperlink ref="B8" r:id="rId13" xr:uid="{3EEE25FB-8581-4AA9-ADEF-37DC0B2F3F4D}"/>
    <hyperlink ref="B47" r:id="rId14" xr:uid="{3A48277A-E40F-4BB9-B4C3-9290548C0B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B36B-DEE6-4982-80A3-7EB4D6794539}">
  <dimension ref="A1:K60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5" x14ac:dyDescent="0.25"/>
  <cols>
    <col min="1" max="1" width="5" bestFit="1" customWidth="1"/>
    <col min="2" max="2" width="23.26953125" customWidth="1"/>
  </cols>
  <sheetData>
    <row r="1" spans="1:11" x14ac:dyDescent="0.25">
      <c r="A1" t="s">
        <v>129</v>
      </c>
    </row>
    <row r="2" spans="1:11" x14ac:dyDescent="0.25">
      <c r="B2" t="s">
        <v>0</v>
      </c>
      <c r="C2" t="s">
        <v>1</v>
      </c>
      <c r="D2" s="3" t="s">
        <v>4</v>
      </c>
      <c r="E2" s="3" t="s">
        <v>5</v>
      </c>
      <c r="F2" s="3" t="s">
        <v>36</v>
      </c>
      <c r="G2" s="3" t="s">
        <v>37</v>
      </c>
      <c r="H2" s="3" t="s">
        <v>115</v>
      </c>
      <c r="I2" s="3" t="s">
        <v>39</v>
      </c>
      <c r="J2" s="3" t="s">
        <v>40</v>
      </c>
      <c r="K2" s="3" t="s">
        <v>117</v>
      </c>
    </row>
    <row r="3" spans="1:11" x14ac:dyDescent="0.25">
      <c r="B3" t="s">
        <v>138</v>
      </c>
      <c r="C3" t="s">
        <v>63</v>
      </c>
      <c r="D3" s="3"/>
      <c r="E3" s="6">
        <v>20000</v>
      </c>
      <c r="F3" s="3"/>
      <c r="G3" s="3"/>
      <c r="H3" s="3"/>
      <c r="I3" s="3"/>
      <c r="J3" s="3"/>
      <c r="K3" s="3"/>
    </row>
    <row r="4" spans="1:11" x14ac:dyDescent="0.25">
      <c r="B4" s="1" t="s">
        <v>121</v>
      </c>
      <c r="C4" t="s">
        <v>123</v>
      </c>
      <c r="D4" s="2">
        <v>51</v>
      </c>
      <c r="E4" s="13">
        <f>+D4*H4</f>
        <v>15138.727596000001</v>
      </c>
      <c r="F4" s="13">
        <f>+[14]Main!$J$5-[14]Main!$J$6</f>
        <v>1657</v>
      </c>
      <c r="G4" s="13">
        <f>+E4-F4</f>
        <v>13481.727596000001</v>
      </c>
      <c r="H4" s="13">
        <f>+[14]Main!$J$3</f>
        <v>296.83779600000003</v>
      </c>
      <c r="I4" s="3" t="s">
        <v>192</v>
      </c>
      <c r="J4" s="5">
        <v>45664</v>
      </c>
    </row>
    <row r="5" spans="1:11" x14ac:dyDescent="0.25">
      <c r="B5" s="1" t="s">
        <v>122</v>
      </c>
      <c r="C5" t="s">
        <v>126</v>
      </c>
      <c r="D5">
        <v>7.95</v>
      </c>
      <c r="E5" s="13">
        <f>+D5*H5</f>
        <v>2254.1976244500001</v>
      </c>
      <c r="F5" s="13">
        <f>+[15]Main!$L$5-[15]Main!$L$6</f>
        <v>217</v>
      </c>
      <c r="G5" s="13">
        <f>E5-F5</f>
        <v>2037.1976244500001</v>
      </c>
      <c r="H5" s="13">
        <f>+[15]Main!$L$3</f>
        <v>283.54687100000001</v>
      </c>
      <c r="I5" s="3" t="s">
        <v>192</v>
      </c>
      <c r="J5" s="5">
        <v>45664</v>
      </c>
    </row>
    <row r="6" spans="1:11" x14ac:dyDescent="0.25">
      <c r="B6" s="1" t="s">
        <v>139</v>
      </c>
      <c r="C6" t="s">
        <v>140</v>
      </c>
      <c r="D6" s="2">
        <v>18</v>
      </c>
      <c r="E6" s="13">
        <v>2000</v>
      </c>
    </row>
    <row r="7" spans="1:11" x14ac:dyDescent="0.25">
      <c r="B7" s="1" t="s">
        <v>125</v>
      </c>
      <c r="C7" t="s">
        <v>124</v>
      </c>
      <c r="D7" s="2">
        <v>6.45</v>
      </c>
      <c r="E7" s="13">
        <f>+D7*H7</f>
        <v>1844.7</v>
      </c>
      <c r="F7" s="13">
        <f>+[16]Main!$L$5-[16]Main!$L$6</f>
        <v>273.95400000000001</v>
      </c>
      <c r="G7" s="13">
        <f>+E7-F7</f>
        <v>1570.7460000000001</v>
      </c>
      <c r="H7" s="13">
        <f>+[16]Main!$L$3</f>
        <v>286</v>
      </c>
      <c r="I7" s="3" t="s">
        <v>192</v>
      </c>
      <c r="J7" s="5">
        <v>45663</v>
      </c>
    </row>
    <row r="8" spans="1:11" x14ac:dyDescent="0.25">
      <c r="B8" t="s">
        <v>194</v>
      </c>
      <c r="C8" t="s">
        <v>195</v>
      </c>
      <c r="D8" s="2">
        <v>5</v>
      </c>
    </row>
    <row r="11" spans="1:11" x14ac:dyDescent="0.25">
      <c r="B11" t="s">
        <v>162</v>
      </c>
    </row>
    <row r="12" spans="1:11" x14ac:dyDescent="0.25">
      <c r="B12" t="s">
        <v>142</v>
      </c>
    </row>
    <row r="13" spans="1:11" x14ac:dyDescent="0.25">
      <c r="B13" t="s">
        <v>141</v>
      </c>
    </row>
    <row r="14" spans="1:11" x14ac:dyDescent="0.25">
      <c r="B14" t="s">
        <v>143</v>
      </c>
    </row>
    <row r="15" spans="1:11" x14ac:dyDescent="0.25">
      <c r="B15" t="s">
        <v>144</v>
      </c>
    </row>
    <row r="16" spans="1:11" x14ac:dyDescent="0.25">
      <c r="B16" t="s">
        <v>145</v>
      </c>
    </row>
    <row r="17" spans="2:2" x14ac:dyDescent="0.25">
      <c r="B17" t="s">
        <v>146</v>
      </c>
    </row>
    <row r="18" spans="2:2" x14ac:dyDescent="0.25">
      <c r="B18" t="s">
        <v>147</v>
      </c>
    </row>
    <row r="19" spans="2:2" x14ac:dyDescent="0.25">
      <c r="B19" t="s">
        <v>148</v>
      </c>
    </row>
    <row r="20" spans="2:2" x14ac:dyDescent="0.25">
      <c r="B20" t="s">
        <v>149</v>
      </c>
    </row>
    <row r="21" spans="2:2" x14ac:dyDescent="0.25">
      <c r="B21" t="s">
        <v>150</v>
      </c>
    </row>
    <row r="22" spans="2:2" x14ac:dyDescent="0.25">
      <c r="B22" t="s">
        <v>151</v>
      </c>
    </row>
    <row r="23" spans="2:2" x14ac:dyDescent="0.25">
      <c r="B23" t="s">
        <v>152</v>
      </c>
    </row>
    <row r="24" spans="2:2" x14ac:dyDescent="0.25">
      <c r="B24" t="s">
        <v>153</v>
      </c>
    </row>
    <row r="25" spans="2:2" x14ac:dyDescent="0.25">
      <c r="B25" t="s">
        <v>154</v>
      </c>
    </row>
    <row r="26" spans="2:2" x14ac:dyDescent="0.25">
      <c r="B26" t="s">
        <v>155</v>
      </c>
    </row>
    <row r="27" spans="2:2" x14ac:dyDescent="0.25">
      <c r="B27" t="s">
        <v>156</v>
      </c>
    </row>
    <row r="28" spans="2:2" x14ac:dyDescent="0.25">
      <c r="B28" t="s">
        <v>157</v>
      </c>
    </row>
    <row r="29" spans="2:2" x14ac:dyDescent="0.25">
      <c r="B29" t="s">
        <v>158</v>
      </c>
    </row>
    <row r="30" spans="2:2" x14ac:dyDescent="0.25">
      <c r="B30" t="s">
        <v>159</v>
      </c>
    </row>
    <row r="31" spans="2:2" x14ac:dyDescent="0.25">
      <c r="B31" t="s">
        <v>160</v>
      </c>
    </row>
    <row r="32" spans="2:2" x14ac:dyDescent="0.25">
      <c r="B32" t="s">
        <v>161</v>
      </c>
    </row>
    <row r="33" spans="2:3" x14ac:dyDescent="0.25">
      <c r="B33" t="s">
        <v>163</v>
      </c>
    </row>
    <row r="34" spans="2:3" x14ac:dyDescent="0.25">
      <c r="B34" t="s">
        <v>164</v>
      </c>
      <c r="C34" t="s">
        <v>165</v>
      </c>
    </row>
    <row r="35" spans="2:3" x14ac:dyDescent="0.25">
      <c r="B35" t="s">
        <v>166</v>
      </c>
    </row>
    <row r="36" spans="2:3" x14ac:dyDescent="0.25">
      <c r="B36" t="s">
        <v>167</v>
      </c>
    </row>
    <row r="37" spans="2:3" x14ac:dyDescent="0.25">
      <c r="B37" t="s">
        <v>168</v>
      </c>
    </row>
    <row r="38" spans="2:3" x14ac:dyDescent="0.25">
      <c r="B38" t="s">
        <v>169</v>
      </c>
    </row>
    <row r="39" spans="2:3" x14ac:dyDescent="0.25">
      <c r="B39" t="s">
        <v>170</v>
      </c>
    </row>
    <row r="40" spans="2:3" x14ac:dyDescent="0.25">
      <c r="B40" t="s">
        <v>171</v>
      </c>
    </row>
    <row r="41" spans="2:3" x14ac:dyDescent="0.25">
      <c r="B41" t="s">
        <v>172</v>
      </c>
    </row>
    <row r="42" spans="2:3" x14ac:dyDescent="0.25">
      <c r="B42" t="s">
        <v>173</v>
      </c>
    </row>
    <row r="43" spans="2:3" x14ac:dyDescent="0.25">
      <c r="B43" t="s">
        <v>174</v>
      </c>
    </row>
    <row r="44" spans="2:3" x14ac:dyDescent="0.25">
      <c r="B44" t="s">
        <v>175</v>
      </c>
    </row>
    <row r="45" spans="2:3" x14ac:dyDescent="0.25">
      <c r="B45" t="s">
        <v>176</v>
      </c>
    </row>
    <row r="46" spans="2:3" x14ac:dyDescent="0.25">
      <c r="B46" t="s">
        <v>177</v>
      </c>
    </row>
    <row r="47" spans="2:3" x14ac:dyDescent="0.25">
      <c r="B47" t="s">
        <v>178</v>
      </c>
    </row>
    <row r="48" spans="2:3" x14ac:dyDescent="0.25">
      <c r="B48" t="s">
        <v>179</v>
      </c>
    </row>
    <row r="49" spans="2:2" x14ac:dyDescent="0.25">
      <c r="B49" t="s">
        <v>180</v>
      </c>
    </row>
    <row r="50" spans="2:2" x14ac:dyDescent="0.25">
      <c r="B50" t="s">
        <v>181</v>
      </c>
    </row>
    <row r="51" spans="2:2" x14ac:dyDescent="0.25">
      <c r="B51" t="s">
        <v>182</v>
      </c>
    </row>
    <row r="52" spans="2:2" x14ac:dyDescent="0.25">
      <c r="B52" t="s">
        <v>183</v>
      </c>
    </row>
    <row r="53" spans="2:2" x14ac:dyDescent="0.25">
      <c r="B53" t="s">
        <v>184</v>
      </c>
    </row>
    <row r="54" spans="2:2" x14ac:dyDescent="0.25">
      <c r="B54" t="s">
        <v>185</v>
      </c>
    </row>
    <row r="55" spans="2:2" x14ac:dyDescent="0.25">
      <c r="B55" t="s">
        <v>186</v>
      </c>
    </row>
    <row r="56" spans="2:2" x14ac:dyDescent="0.25">
      <c r="B56" t="s">
        <v>187</v>
      </c>
    </row>
    <row r="57" spans="2:2" x14ac:dyDescent="0.25">
      <c r="B57" t="s">
        <v>188</v>
      </c>
    </row>
    <row r="58" spans="2:2" x14ac:dyDescent="0.25">
      <c r="B58" t="s">
        <v>189</v>
      </c>
    </row>
    <row r="59" spans="2:2" x14ac:dyDescent="0.25">
      <c r="B59" t="s">
        <v>190</v>
      </c>
    </row>
    <row r="60" spans="2:2" x14ac:dyDescent="0.25">
      <c r="B60" t="s">
        <v>191</v>
      </c>
    </row>
  </sheetData>
  <hyperlinks>
    <hyperlink ref="B4" r:id="rId1" xr:uid="{48212D98-F0E3-4509-96A5-6BB9683E0B25}"/>
    <hyperlink ref="B5" r:id="rId2" xr:uid="{F1FD0F3E-AA09-4EA5-ABFA-C8FDF989BBD7}"/>
    <hyperlink ref="B6" r:id="rId3" xr:uid="{31AE1ADD-F109-4DDC-933D-81406D33D7B1}"/>
    <hyperlink ref="B7" r:id="rId4" xr:uid="{222626AB-8AD1-4B96-B080-994B3561591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CD82-B069-4824-8BA4-1B2E25134518}">
  <dimension ref="A2:K10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1" sqref="C11"/>
    </sheetView>
  </sheetViews>
  <sheetFormatPr defaultColWidth="8.81640625" defaultRowHeight="12.5" x14ac:dyDescent="0.25"/>
  <cols>
    <col min="1" max="1" width="2" bestFit="1" customWidth="1"/>
    <col min="4" max="5" width="9.1796875" style="11"/>
  </cols>
  <sheetData>
    <row r="2" spans="1:11" x14ac:dyDescent="0.25">
      <c r="B2" t="s">
        <v>0</v>
      </c>
      <c r="C2" t="s">
        <v>1</v>
      </c>
      <c r="D2" s="11" t="s">
        <v>4</v>
      </c>
      <c r="E2" s="11" t="s">
        <v>5</v>
      </c>
      <c r="F2" t="s">
        <v>36</v>
      </c>
      <c r="G2" t="s">
        <v>37</v>
      </c>
      <c r="H2" t="s">
        <v>115</v>
      </c>
      <c r="I2" t="s">
        <v>39</v>
      </c>
      <c r="J2" t="s">
        <v>40</v>
      </c>
      <c r="K2" t="s">
        <v>117</v>
      </c>
    </row>
    <row r="3" spans="1:11" x14ac:dyDescent="0.25">
      <c r="A3" s="14" t="s">
        <v>46</v>
      </c>
      <c r="B3" s="1" t="s">
        <v>28</v>
      </c>
      <c r="C3" t="s">
        <v>27</v>
      </c>
      <c r="D3" s="11">
        <v>48.51</v>
      </c>
      <c r="E3" s="12">
        <v>199280</v>
      </c>
    </row>
    <row r="4" spans="1:11" x14ac:dyDescent="0.25">
      <c r="A4" s="14" t="s">
        <v>46</v>
      </c>
      <c r="B4" t="s">
        <v>87</v>
      </c>
      <c r="C4" t="s">
        <v>88</v>
      </c>
    </row>
    <row r="5" spans="1:11" x14ac:dyDescent="0.25">
      <c r="A5" s="14" t="s">
        <v>46</v>
      </c>
      <c r="B5" t="s">
        <v>77</v>
      </c>
      <c r="C5" t="s">
        <v>78</v>
      </c>
    </row>
    <row r="6" spans="1:11" x14ac:dyDescent="0.25">
      <c r="A6" t="s">
        <v>46</v>
      </c>
      <c r="B6" t="s">
        <v>75</v>
      </c>
      <c r="C6" t="s">
        <v>76</v>
      </c>
    </row>
    <row r="7" spans="1:11" x14ac:dyDescent="0.25">
      <c r="A7" t="s">
        <v>46</v>
      </c>
      <c r="B7" t="s">
        <v>72</v>
      </c>
      <c r="C7" t="s">
        <v>73</v>
      </c>
    </row>
    <row r="8" spans="1:11" x14ac:dyDescent="0.25">
      <c r="A8" s="14" t="s">
        <v>46</v>
      </c>
      <c r="B8" t="s">
        <v>103</v>
      </c>
      <c r="C8" t="s">
        <v>104</v>
      </c>
    </row>
    <row r="9" spans="1:11" x14ac:dyDescent="0.25">
      <c r="A9" s="14" t="s">
        <v>46</v>
      </c>
      <c r="B9" t="s">
        <v>113</v>
      </c>
      <c r="C9" t="s">
        <v>114</v>
      </c>
    </row>
    <row r="10" spans="1:11" x14ac:dyDescent="0.25">
      <c r="A10" s="14" t="s">
        <v>46</v>
      </c>
      <c r="B10" t="s">
        <v>231</v>
      </c>
      <c r="C10" t="s">
        <v>232</v>
      </c>
    </row>
  </sheetData>
  <hyperlinks>
    <hyperlink ref="B3" r:id="rId1" xr:uid="{EE41E817-AF60-42C7-BDB7-7DF881DC61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CA54-B59D-4EDC-8BE7-0C63EA165B15}">
  <dimension ref="A1:P41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ColWidth="8.81640625" defaultRowHeight="12.5" x14ac:dyDescent="0.25"/>
  <cols>
    <col min="1" max="1" width="6.1796875" customWidth="1"/>
    <col min="2" max="2" width="15.1796875" bestFit="1" customWidth="1"/>
    <col min="3" max="3" width="10.7265625" customWidth="1"/>
    <col min="4" max="4" width="9.1796875" style="3"/>
    <col min="5" max="5" width="10.453125" style="3" customWidth="1"/>
    <col min="6" max="6" width="9.26953125" style="3" customWidth="1"/>
    <col min="7" max="7" width="10" style="3" customWidth="1"/>
    <col min="8" max="8" width="9.1796875" style="3"/>
    <col min="9" max="9" width="9.7265625" style="3" customWidth="1"/>
    <col min="10" max="10" width="9.453125" bestFit="1" customWidth="1"/>
  </cols>
  <sheetData>
    <row r="1" spans="1:16" x14ac:dyDescent="0.25">
      <c r="A1" s="1" t="s">
        <v>197</v>
      </c>
    </row>
    <row r="2" spans="1:16" x14ac:dyDescent="0.25">
      <c r="B2" t="s">
        <v>0</v>
      </c>
      <c r="C2" t="s">
        <v>1</v>
      </c>
      <c r="D2" s="3" t="s">
        <v>4</v>
      </c>
      <c r="E2" s="3" t="s">
        <v>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117</v>
      </c>
    </row>
    <row r="3" spans="1:16" x14ac:dyDescent="0.25">
      <c r="A3" s="14" t="s">
        <v>46</v>
      </c>
      <c r="B3" s="1" t="s">
        <v>13</v>
      </c>
      <c r="C3" t="s">
        <v>17</v>
      </c>
      <c r="D3" s="4">
        <v>205.51</v>
      </c>
      <c r="E3" s="6">
        <f>+D3*H3</f>
        <v>3094158.56</v>
      </c>
      <c r="F3" s="6">
        <f>+[17]Main!$O$5-[17]Main!$O$6</f>
        <v>34736</v>
      </c>
      <c r="G3" s="6">
        <f>+E3-F3</f>
        <v>3059422.56</v>
      </c>
      <c r="H3" s="6">
        <f>+[17]Main!$O$3</f>
        <v>15056</v>
      </c>
      <c r="I3" s="3" t="s">
        <v>196</v>
      </c>
      <c r="J3" s="5">
        <v>45750</v>
      </c>
      <c r="K3" s="2">
        <f>[17]Model!$CE$39</f>
        <v>158.7822866043505</v>
      </c>
      <c r="L3" s="7">
        <f>+K3/D3-1</f>
        <v>-0.22737440219770078</v>
      </c>
      <c r="M3" s="8">
        <f>+[17]Model!$CE$36</f>
        <v>7.4999999999999997E-2</v>
      </c>
      <c r="N3" s="8">
        <f>+[17]Model!$CE$37</f>
        <v>-0.01</v>
      </c>
      <c r="O3" s="8">
        <v>0</v>
      </c>
      <c r="P3">
        <v>1977</v>
      </c>
    </row>
    <row r="4" spans="1:16" x14ac:dyDescent="0.25">
      <c r="A4" s="14" t="s">
        <v>46</v>
      </c>
      <c r="B4" s="1" t="s">
        <v>14</v>
      </c>
      <c r="C4" t="s">
        <v>23</v>
      </c>
      <c r="D4" s="15">
        <v>57600</v>
      </c>
      <c r="E4" s="6" cm="1">
        <f t="array" ref="E4">+D4*H4/KRW</f>
        <v>268168.58880661271</v>
      </c>
      <c r="F4" s="6">
        <f>([18]Main!$K$5-[18]Main!$K$6)/KRW</f>
        <v>64.28214224212158</v>
      </c>
      <c r="G4" s="6">
        <f>+E4-F4</f>
        <v>268104.30666437058</v>
      </c>
      <c r="H4" s="6">
        <f>+[18]Main!$K$3</f>
        <v>6758.9192499999999</v>
      </c>
      <c r="I4" s="3" t="s">
        <v>196</v>
      </c>
      <c r="J4" s="5">
        <v>45750</v>
      </c>
    </row>
    <row r="5" spans="1:16" x14ac:dyDescent="0.25">
      <c r="A5" s="14" t="s">
        <v>46</v>
      </c>
      <c r="B5" t="s">
        <v>51</v>
      </c>
      <c r="C5" t="s">
        <v>52</v>
      </c>
      <c r="D5" s="16">
        <v>73.36</v>
      </c>
      <c r="E5" s="6">
        <f>+D5*H5/CNY</f>
        <v>79962.400000000009</v>
      </c>
      <c r="G5" s="6">
        <f>+E5-F5</f>
        <v>79962.400000000009</v>
      </c>
      <c r="H5" s="6">
        <v>7630</v>
      </c>
    </row>
    <row r="6" spans="1:16" x14ac:dyDescent="0.25">
      <c r="A6" s="14" t="s">
        <v>46</v>
      </c>
      <c r="B6" t="s">
        <v>59</v>
      </c>
      <c r="C6" t="s">
        <v>60</v>
      </c>
    </row>
    <row r="7" spans="1:16" x14ac:dyDescent="0.25">
      <c r="A7" t="s">
        <v>46</v>
      </c>
      <c r="B7" t="s">
        <v>66</v>
      </c>
      <c r="C7" t="s">
        <v>67</v>
      </c>
    </row>
    <row r="8" spans="1:16" x14ac:dyDescent="0.25">
      <c r="A8" s="14" t="s">
        <v>46</v>
      </c>
      <c r="B8" t="s">
        <v>68</v>
      </c>
      <c r="C8" t="s">
        <v>69</v>
      </c>
    </row>
    <row r="9" spans="1:16" x14ac:dyDescent="0.25">
      <c r="A9" s="14" t="s">
        <v>46</v>
      </c>
      <c r="B9" t="s">
        <v>18</v>
      </c>
      <c r="C9" t="s">
        <v>74</v>
      </c>
    </row>
    <row r="10" spans="1:16" x14ac:dyDescent="0.25">
      <c r="A10" s="14" t="s">
        <v>46</v>
      </c>
      <c r="B10" t="s">
        <v>20</v>
      </c>
      <c r="C10" t="s">
        <v>85</v>
      </c>
    </row>
    <row r="11" spans="1:16" x14ac:dyDescent="0.25">
      <c r="A11" s="14" t="s">
        <v>46</v>
      </c>
      <c r="B11" t="s">
        <v>228</v>
      </c>
      <c r="C11" t="s">
        <v>227</v>
      </c>
    </row>
    <row r="12" spans="1:16" x14ac:dyDescent="0.25">
      <c r="A12" s="14" t="s">
        <v>46</v>
      </c>
      <c r="B12" t="s">
        <v>19</v>
      </c>
      <c r="C12" t="s">
        <v>86</v>
      </c>
    </row>
    <row r="13" spans="1:16" x14ac:dyDescent="0.25">
      <c r="A13" s="14" t="s">
        <v>46</v>
      </c>
      <c r="B13" t="s">
        <v>198</v>
      </c>
      <c r="C13" t="s">
        <v>76</v>
      </c>
    </row>
    <row r="14" spans="1:16" x14ac:dyDescent="0.25">
      <c r="A14" t="s">
        <v>46</v>
      </c>
      <c r="B14" t="s">
        <v>91</v>
      </c>
      <c r="C14" t="s">
        <v>92</v>
      </c>
    </row>
    <row r="15" spans="1:16" x14ac:dyDescent="0.25">
      <c r="A15" s="14" t="s">
        <v>46</v>
      </c>
      <c r="B15" t="s">
        <v>95</v>
      </c>
      <c r="C15" t="s">
        <v>96</v>
      </c>
    </row>
    <row r="16" spans="1:16" x14ac:dyDescent="0.25">
      <c r="A16" s="14" t="s">
        <v>46</v>
      </c>
      <c r="B16" t="s">
        <v>203</v>
      </c>
      <c r="C16" t="s">
        <v>204</v>
      </c>
    </row>
    <row r="17" spans="1:10" x14ac:dyDescent="0.25">
      <c r="A17" s="14" t="s">
        <v>46</v>
      </c>
      <c r="B17" t="s">
        <v>213</v>
      </c>
      <c r="C17" t="s">
        <v>214</v>
      </c>
    </row>
    <row r="18" spans="1:10" x14ac:dyDescent="0.25">
      <c r="A18" s="14" t="s">
        <v>46</v>
      </c>
      <c r="B18" t="s">
        <v>205</v>
      </c>
      <c r="C18" t="s">
        <v>206</v>
      </c>
    </row>
    <row r="19" spans="1:10" x14ac:dyDescent="0.25">
      <c r="A19" s="14" t="s">
        <v>46</v>
      </c>
      <c r="B19" t="s">
        <v>215</v>
      </c>
      <c r="C19" t="s">
        <v>216</v>
      </c>
    </row>
    <row r="20" spans="1:10" x14ac:dyDescent="0.25">
      <c r="A20" s="14" t="s">
        <v>46</v>
      </c>
      <c r="B20" t="s">
        <v>225</v>
      </c>
      <c r="C20" t="s">
        <v>226</v>
      </c>
    </row>
    <row r="21" spans="1:10" x14ac:dyDescent="0.25">
      <c r="A21" s="14" t="s">
        <v>46</v>
      </c>
      <c r="B21" t="s">
        <v>229</v>
      </c>
      <c r="C21" t="s">
        <v>230</v>
      </c>
    </row>
    <row r="22" spans="1:10" x14ac:dyDescent="0.25">
      <c r="A22" s="14" t="s">
        <v>46</v>
      </c>
      <c r="B22" t="s">
        <v>233</v>
      </c>
      <c r="C22" t="s">
        <v>234</v>
      </c>
    </row>
    <row r="23" spans="1:10" x14ac:dyDescent="0.25">
      <c r="A23" s="14" t="s">
        <v>46</v>
      </c>
      <c r="B23" t="s">
        <v>97</v>
      </c>
      <c r="C23" t="s">
        <v>98</v>
      </c>
    </row>
    <row r="24" spans="1:10" x14ac:dyDescent="0.25">
      <c r="A24" s="14" t="s">
        <v>46</v>
      </c>
      <c r="B24" t="s">
        <v>235</v>
      </c>
      <c r="C24" t="s">
        <v>236</v>
      </c>
    </row>
    <row r="25" spans="1:10" x14ac:dyDescent="0.25">
      <c r="A25" s="14" t="s">
        <v>46</v>
      </c>
      <c r="B25" t="s">
        <v>237</v>
      </c>
      <c r="C25" t="s">
        <v>238</v>
      </c>
    </row>
    <row r="26" spans="1:10" x14ac:dyDescent="0.25">
      <c r="A26" s="14" t="s">
        <v>46</v>
      </c>
      <c r="B26" t="s">
        <v>246</v>
      </c>
      <c r="C26" t="s">
        <v>247</v>
      </c>
    </row>
    <row r="27" spans="1:10" x14ac:dyDescent="0.25">
      <c r="A27" t="s">
        <v>46</v>
      </c>
      <c r="B27" t="s">
        <v>101</v>
      </c>
      <c r="C27" t="s">
        <v>102</v>
      </c>
    </row>
    <row r="28" spans="1:10" x14ac:dyDescent="0.25">
      <c r="B28" t="s">
        <v>21</v>
      </c>
    </row>
    <row r="29" spans="1:10" x14ac:dyDescent="0.25">
      <c r="B29" s="1" t="s">
        <v>121</v>
      </c>
      <c r="C29" t="s">
        <v>123</v>
      </c>
      <c r="D29" s="4">
        <v>39</v>
      </c>
      <c r="E29" s="6">
        <f>+D29*H29</f>
        <v>11576.674044000001</v>
      </c>
      <c r="F29" s="6">
        <f>+[14]Main!$J$5-[14]Main!$J$6</f>
        <v>1657</v>
      </c>
      <c r="G29" s="6">
        <f>+E29-F29</f>
        <v>9919.6740440000012</v>
      </c>
      <c r="H29" s="6">
        <f>+[14]Main!$J$3</f>
        <v>296.83779600000003</v>
      </c>
      <c r="I29" s="3" t="s">
        <v>128</v>
      </c>
      <c r="J29" s="5">
        <v>45534</v>
      </c>
    </row>
    <row r="30" spans="1:10" x14ac:dyDescent="0.25">
      <c r="B30" s="1" t="s">
        <v>122</v>
      </c>
      <c r="C30" t="s">
        <v>126</v>
      </c>
      <c r="D30" s="3">
        <v>8.51</v>
      </c>
      <c r="E30" s="6">
        <f>+D30*H30</f>
        <v>2412.9838722099998</v>
      </c>
      <c r="F30" s="6">
        <f>+[15]Main!$L$5-[15]Main!$L$6</f>
        <v>217</v>
      </c>
      <c r="G30" s="6">
        <f>+E30-F30</f>
        <v>2195.9838722099998</v>
      </c>
      <c r="H30" s="6">
        <f>+[15]Main!$L$3</f>
        <v>283.54687100000001</v>
      </c>
      <c r="I30" s="3" t="s">
        <v>120</v>
      </c>
      <c r="J30" s="5">
        <v>45534</v>
      </c>
    </row>
    <row r="31" spans="1:10" x14ac:dyDescent="0.25">
      <c r="B31" s="1" t="s">
        <v>125</v>
      </c>
      <c r="C31" t="s">
        <v>124</v>
      </c>
    </row>
    <row r="32" spans="1:10" x14ac:dyDescent="0.25">
      <c r="B32" s="1" t="s">
        <v>127</v>
      </c>
      <c r="C32" t="s">
        <v>127</v>
      </c>
    </row>
    <row r="33" spans="2:10" x14ac:dyDescent="0.25">
      <c r="B33" s="1" t="s">
        <v>130</v>
      </c>
      <c r="C33" t="s">
        <v>131</v>
      </c>
      <c r="D33" s="3">
        <v>101.64</v>
      </c>
    </row>
    <row r="34" spans="2:10" x14ac:dyDescent="0.25">
      <c r="B34" s="1" t="s">
        <v>250</v>
      </c>
      <c r="C34" t="s">
        <v>251</v>
      </c>
      <c r="D34" s="4">
        <v>247</v>
      </c>
      <c r="E34" s="6">
        <f>+D34*H34</f>
        <v>28641.902146</v>
      </c>
      <c r="F34" s="6">
        <f>+[19]Main!$I$5-[19]Main!$I$6</f>
        <v>-373.40000000000003</v>
      </c>
      <c r="G34" s="6">
        <f>+E34-F34</f>
        <v>29015.302146000002</v>
      </c>
      <c r="H34" s="6">
        <f>+[19]Main!$I$3</f>
        <v>115.959118</v>
      </c>
      <c r="I34" s="3" t="s">
        <v>245</v>
      </c>
      <c r="J34" s="5">
        <v>45915</v>
      </c>
    </row>
    <row r="38" spans="2:10" ht="13" x14ac:dyDescent="0.3">
      <c r="B38" s="9" t="s">
        <v>63</v>
      </c>
    </row>
    <row r="39" spans="2:10" x14ac:dyDescent="0.25">
      <c r="B39" t="s">
        <v>65</v>
      </c>
      <c r="E39" s="3">
        <v>200</v>
      </c>
    </row>
    <row r="40" spans="2:10" x14ac:dyDescent="0.25">
      <c r="B40" t="s">
        <v>64</v>
      </c>
      <c r="E40" s="3">
        <v>150</v>
      </c>
    </row>
    <row r="41" spans="2:10" x14ac:dyDescent="0.25">
      <c r="B41" t="s">
        <v>35</v>
      </c>
    </row>
  </sheetData>
  <hyperlinks>
    <hyperlink ref="B3" r:id="rId1" xr:uid="{CD056E5E-713C-45E7-82FC-EFD06739D880}"/>
    <hyperlink ref="B29" r:id="rId2" xr:uid="{E138C484-1EF3-497D-8DD8-4398C67AAB14}"/>
    <hyperlink ref="B33" r:id="rId3" xr:uid="{17EE0F28-0CA3-4454-8659-59421816F562}"/>
    <hyperlink ref="A1" location="Semiconductors!A1" display="Semis" xr:uid="{3EBFEA52-93DD-4F50-8A15-3931D4DD8A3B}"/>
    <hyperlink ref="B30" r:id="rId4" xr:uid="{B849A3EA-637F-401B-9004-B19AC4384C38}"/>
    <hyperlink ref="B31" r:id="rId5" xr:uid="{B3FD8109-CF06-4F67-80CA-74CB8FA3899F}"/>
    <hyperlink ref="B32" r:id="rId6" xr:uid="{41CB0E3A-9A33-4B05-90FA-F5D94D41DCCA}"/>
    <hyperlink ref="B4" r:id="rId7" xr:uid="{080EF83F-F30F-4A70-B656-61CF4AB15DF7}"/>
    <hyperlink ref="B34" r:id="rId8" xr:uid="{0A91E701-42A1-47EB-A9B9-A7A56A38658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FDEE-60E0-4B9B-AACF-AB184FD947A1}">
  <dimension ref="B2:C4"/>
  <sheetViews>
    <sheetView zoomScale="265" zoomScaleNormal="265" workbookViewId="0">
      <selection activeCell="B4" sqref="B4"/>
    </sheetView>
  </sheetViews>
  <sheetFormatPr defaultRowHeight="12.5" x14ac:dyDescent="0.25"/>
  <cols>
    <col min="2" max="2" width="10.1796875" customWidth="1"/>
  </cols>
  <sheetData>
    <row r="2" spans="2:3" x14ac:dyDescent="0.25">
      <c r="B2" t="s">
        <v>193</v>
      </c>
      <c r="C2">
        <v>32.68</v>
      </c>
    </row>
    <row r="3" spans="2:3" x14ac:dyDescent="0.25">
      <c r="B3" t="s">
        <v>217</v>
      </c>
      <c r="C3" s="2">
        <v>1451.75</v>
      </c>
    </row>
    <row r="4" spans="2:3" x14ac:dyDescent="0.25">
      <c r="B4" s="2">
        <v>7</v>
      </c>
      <c r="C4" s="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Semiconductors</vt:lpstr>
      <vt:lpstr>Quantum</vt:lpstr>
      <vt:lpstr>Networking</vt:lpstr>
      <vt:lpstr>Electronics-Computers</vt:lpstr>
      <vt:lpstr>FX</vt:lpstr>
      <vt:lpstr>CNY</vt:lpstr>
      <vt:lpstr>KRW</vt:lpstr>
      <vt:lpstr>None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2022-07-16T21:03:38Z</dcterms:created>
  <dcterms:modified xsi:type="dcterms:W3CDTF">2025-10-09T17:22:16Z</dcterms:modified>
</cp:coreProperties>
</file>