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Martin Shkreli\code\models\"/>
    </mc:Choice>
  </mc:AlternateContent>
  <xr:revisionPtr revIDLastSave="0" documentId="13_ncr:1_{F7DB7B46-734D-4272-ABE1-618C0B8A120A}" xr6:coauthVersionLast="47" xr6:coauthVersionMax="47" xr10:uidLastSave="{00000000-0000-0000-0000-000000000000}"/>
  <bookViews>
    <workbookView xWindow="220" yWindow="240" windowWidth="23430" windowHeight="20070" activeTab="1" xr2:uid="{00000000-000D-0000-FFFF-FFFF00000000}"/>
  </bookViews>
  <sheets>
    <sheet name="Main" sheetId="8" r:id="rId1"/>
    <sheet name="Model" sheetId="3" r:id="rId2"/>
    <sheet name="Balance Sheet" sheetId="1" r:id="rId3"/>
    <sheet name="Cashflow" sheetId="4" r:id="rId4"/>
    <sheet name="Regional Information" sheetId="7" r:id="rId5"/>
  </sheets>
  <externalReferences>
    <externalReference r:id="rId6"/>
    <externalReference r:id="rId7"/>
    <externalReference r:id="rId8"/>
    <externalReference r:id="rId9"/>
    <externalReference r:id="rId10"/>
    <externalReference r:id="rId11"/>
  </externalReferences>
  <definedNames>
    <definedName name="_Col1" localSheetId="3">#REF!</definedName>
    <definedName name="_Col1" localSheetId="1">#REF!</definedName>
    <definedName name="_Col1" localSheetId="4">#REF!</definedName>
    <definedName name="_Col2" localSheetId="3">#REF!</definedName>
    <definedName name="_Col2" localSheetId="1">#REF!</definedName>
    <definedName name="_Col2" localSheetId="4">#REF!</definedName>
    <definedName name="A" localSheetId="3">#REF!</definedName>
    <definedName name="A" localSheetId="1">#REF!</definedName>
    <definedName name="A" localSheetId="4">#REF!</definedName>
    <definedName name="Adj" localSheetId="3">'[1]Revsum - trend'!#REF!</definedName>
    <definedName name="Adj" localSheetId="1">'[1]Revsum - trend'!#REF!</definedName>
    <definedName name="Adj" localSheetId="4">'[1]Revsum - trend'!#REF!</definedName>
    <definedName name="Adjustments" localSheetId="3">'[1]Revsum - trend'!#REF!</definedName>
    <definedName name="Adjustments" localSheetId="1">'[1]Revsum - trend'!#REF!</definedName>
    <definedName name="Adjustments" localSheetId="4">'[1]Revsum - trend'!#REF!</definedName>
    <definedName name="AdjustmentsQ" localSheetId="3">#REF!</definedName>
    <definedName name="AdjustmentsQ" localSheetId="1">#REF!</definedName>
    <definedName name="AdjustmentsQ" localSheetId="4">#REF!</definedName>
    <definedName name="Area" localSheetId="3">'[1]Revsum - trend'!#REF!</definedName>
    <definedName name="Area" localSheetId="1">'[1]Revsum - trend'!#REF!</definedName>
    <definedName name="Area" localSheetId="4">'[1]Revsum - trend'!#REF!</definedName>
    <definedName name="AreaQ" localSheetId="3">#REF!</definedName>
    <definedName name="AreaQ" localSheetId="1">#REF!</definedName>
    <definedName name="AreaQ" localSheetId="4">#REF!</definedName>
    <definedName name="AS2DocOpenMode" hidden="1">"AS2DocumentEdit"</definedName>
    <definedName name="AuditLI" localSheetId="1">#REF!</definedName>
    <definedName name="AuditLI" localSheetId="4">#REF!</definedName>
    <definedName name="AuditSP" localSheetId="1">#REF!</definedName>
    <definedName name="AuditSP" localSheetId="4">#REF!</definedName>
    <definedName name="BAKER" localSheetId="3">'[2]May 96'!#REF!</definedName>
    <definedName name="BAKER" localSheetId="1">'[2]May 96'!#REF!</definedName>
    <definedName name="BAKER" localSheetId="4">'[2]May 96'!#REF!</definedName>
    <definedName name="BAL" localSheetId="3">'[2]May 96'!#REF!</definedName>
    <definedName name="BAL" localSheetId="1">'[2]May 96'!#REF!</definedName>
    <definedName name="BAL" localSheetId="4">'[2]May 96'!#REF!</definedName>
    <definedName name="BalSheet" localSheetId="3" hidden="1">{"closed",#N/A,FALSE,"Consolidated Products - Budget";"expanded",#N/A,FALSE,"Consolidated Products - Budget"}</definedName>
    <definedName name="BalSheet" localSheetId="1" hidden="1">{"closed",#N/A,FALSE,"Consolidated Products - Budget";"expanded",#N/A,FALSE,"Consolidated Products - Budget"}</definedName>
    <definedName name="BalSheet" localSheetId="4" hidden="1">{"closed",#N/A,FALSE,"Consolidated Products - Budget";"expanded",#N/A,FALSE,"Consolidated Products - Budget"}</definedName>
    <definedName name="BalSheet" hidden="1">{"closed",#N/A,FALSE,"Consolidated Products - Budget";"expanded",#N/A,FALSE,"Consolidated Products - Budget"}</definedName>
    <definedName name="BS" localSheetId="3" hidden="1">{"closed",#N/A,FALSE,"Consolidated Products - Budget";"expanded",#N/A,FALSE,"Consolidated Products - Budget"}</definedName>
    <definedName name="BS" localSheetId="1" hidden="1">{"closed",#N/A,FALSE,"Consolidated Products - Budget";"expanded",#N/A,FALSE,"Consolidated Products - Budget"}</definedName>
    <definedName name="BS" localSheetId="4" hidden="1">{"closed",#N/A,FALSE,"Consolidated Products - Budget";"expanded",#N/A,FALSE,"Consolidated Products - Budget"}</definedName>
    <definedName name="BS" hidden="1">{"closed",#N/A,FALSE,"Consolidated Products - Budget";"expanded",#N/A,FALSE,"Consolidated Products - Budget"}</definedName>
    <definedName name="BusinessName" localSheetId="3">'[1]Revsum - trend'!#REF!</definedName>
    <definedName name="BusinessName" localSheetId="1">'[1]Revsum - trend'!#REF!</definedName>
    <definedName name="BusinessName" localSheetId="4">'[1]Revsum - trend'!#REF!</definedName>
    <definedName name="BusinessNameQ" localSheetId="1">#REF!</definedName>
    <definedName name="BusinessNameQ" localSheetId="4">#REF!</definedName>
    <definedName name="BusinessSummaryName" localSheetId="3">'[1]Revsum - trend'!#REF!</definedName>
    <definedName name="BusinessSummaryName" localSheetId="1">'[1]Revsum - trend'!#REF!</definedName>
    <definedName name="BusinessSummaryName" localSheetId="4">'[1]Revsum - trend'!#REF!</definedName>
    <definedName name="BusinessSummaryNameQ" localSheetId="1">#REF!</definedName>
    <definedName name="BusinessSummaryNameQ" localSheetId="4">#REF!</definedName>
    <definedName name="BusSysEA" localSheetId="3">MATCH("Business Systems Enterprise Agreements", Cashflow!Categories,0)</definedName>
    <definedName name="BusSysEA" localSheetId="1">MATCH("Business Systems Enterprise Agreements", Model!Categories,0)</definedName>
    <definedName name="BusSysEA" localSheetId="4">MATCH("Business Systems Enterprise Agreements", 'Regional Information'!Categories,0)</definedName>
    <definedName name="BusSysEA">MATCH("Business Systems Enterprise Agreements", [0]!Categories,0)</definedName>
    <definedName name="BusSysEALookup" localSheetId="3">OFFSET('[1]Revsum - trend'!#REF!,Cashflow!BusSysEA,1,Cashflow!BusSysEATotal-Cashflow!BusSysEA,1)</definedName>
    <definedName name="BusSysEALookup" localSheetId="1">OFFSET('[1]Revsum - trend'!#REF!,Model!BusSysEA,1,Model!BusSysEATotal-Model!BusSysEA,1)</definedName>
    <definedName name="BusSysEALookup" localSheetId="4">OFFSET('[1]Revsum - trend'!#REF!,'Regional Information'!BusSysEA,1,'Regional Information'!BusSysEATotal-'Regional Information'!BusSysEA,1)</definedName>
    <definedName name="BusSysEATotal" localSheetId="3">MATCH("Business Systems Enterprise Agreements *", Cashflow!Categories,0)</definedName>
    <definedName name="BusSysEATotal" localSheetId="1">MATCH("Business Systems Enterprise Agreements *", Model!Categories,0)</definedName>
    <definedName name="BusSysEATotal" localSheetId="4">MATCH("Business Systems Enterprise Agreements *", 'Regional Information'!Categories,0)</definedName>
    <definedName name="carter" localSheetId="3">'[2]May 96'!#REF!</definedName>
    <definedName name="carter" localSheetId="1">'[2]May 96'!#REF!</definedName>
    <definedName name="carter" localSheetId="4">'[2]May 96'!#REF!</definedName>
    <definedName name="Cash" localSheetId="3" hidden="1">{"closed",#N/A,FALSE,"Consolidated Products - Budget";"expanded",#N/A,FALSE,"Consolidated Products - Budget"}</definedName>
    <definedName name="Cash" localSheetId="1" hidden="1">{"closed",#N/A,FALSE,"Consolidated Products - Budget";"expanded",#N/A,FALSE,"Consolidated Products - Budget"}</definedName>
    <definedName name="Cash" localSheetId="4" hidden="1">{"closed",#N/A,FALSE,"Consolidated Products - Budget";"expanded",#N/A,FALSE,"Consolidated Products - Budget"}</definedName>
    <definedName name="Cash" hidden="1">{"closed",#N/A,FALSE,"Consolidated Products - Budget";"expanded",#N/A,FALSE,"Consolidated Products - Budget"}</definedName>
    <definedName name="Categories" localSheetId="3">'[1]Revsum - trend'!#REF!</definedName>
    <definedName name="Categories" localSheetId="1">'[1]Revsum - trend'!#REF!</definedName>
    <definedName name="Categories" localSheetId="4">'[1]Revsum - trend'!#REF!</definedName>
    <definedName name="Categories">'[1]Revsum - trend'!#REF!</definedName>
    <definedName name="Channel" localSheetId="3">'[1]Revsum - trend'!#REF!</definedName>
    <definedName name="Channel" localSheetId="1">'[1]Revsum - trend'!#REF!</definedName>
    <definedName name="Channel" localSheetId="4">'[1]Revsum - trend'!#REF!</definedName>
    <definedName name="ChannelAggregate" localSheetId="3">'[1]Revsum - trend'!#REF!</definedName>
    <definedName name="ChannelAggregate" localSheetId="1">'[1]Revsum - trend'!#REF!</definedName>
    <definedName name="ChannelAggregate" localSheetId="4">'[1]Revsum - trend'!#REF!</definedName>
    <definedName name="ChannelAggregateQ" localSheetId="1">#REF!</definedName>
    <definedName name="ChannelAggregateQ" localSheetId="4">#REF!</definedName>
    <definedName name="ChannelQ" localSheetId="1">#REF!</definedName>
    <definedName name="ChannelQ" localSheetId="4">#REF!</definedName>
    <definedName name="Columns" localSheetId="3">'[3]Data Sheet'!$F$1:$F$65536,'[3]Data Sheet'!$H$1:$H$65536,'[3]Data Sheet'!$J$1:$J$65536,'[3]Data Sheet'!$L$1:$L$65536,'[3]Data Sheet'!#REF!,'[3]Data Sheet'!#REF!,'[3]Data Sheet'!#REF!,'[3]Data Sheet'!#REF!,'[3]Data Sheet'!#REF!,'[3]Data Sheet'!#REF!,'[3]Data Sheet'!#REF!,'[3]Data Sheet'!#REF!,'[3]Data Sheet'!#REF!,'[3]Data Sheet'!#REF!,'[3]Data Sheet'!#REF!,'[3]Data Sheet'!$N$1:$N$65536,'[3]Data Sheet'!$P$1:$P$65536,'[3]Data Sheet'!$R$1:$R$65536,'[3]Data Sheet'!$T$1:$T$65536,'[3]Data Sheet'!$V$1:$V$65536,'[3]Data Sheet'!$X$1:$X$65536,'[3]Data Sheet'!$Z$1:$Z$65536,'[3]Data Sheet'!$AB$1:$AB$65536,'[3]Data Sheet'!$AD$1:$AD$65536,'[3]Data Sheet'!$AF$1:$AF$65536,'[3]Data Sheet'!$AH$1:$AH$65536,'[3]Data Sheet'!$AJ$1:$AJ$65536,'[3]Data Sheet'!$AJ$1:$AJ$65536</definedName>
    <definedName name="Columns" localSheetId="1">'[3]Data Sheet'!$F$1:$F$65536,'[3]Data Sheet'!$H$1:$H$65536,'[3]Data Sheet'!$J$1:$J$65536,'[3]Data Sheet'!$L$1:$L$65536,'[3]Data Sheet'!#REF!,'[3]Data Sheet'!#REF!,'[3]Data Sheet'!#REF!,'[3]Data Sheet'!#REF!,'[3]Data Sheet'!#REF!,'[3]Data Sheet'!#REF!,'[3]Data Sheet'!#REF!,'[3]Data Sheet'!#REF!,'[3]Data Sheet'!#REF!,'[3]Data Sheet'!#REF!,'[3]Data Sheet'!#REF!,'[3]Data Sheet'!$N$1:$N$65536,'[3]Data Sheet'!$P$1:$P$65536,'[3]Data Sheet'!$R$1:$R$65536,'[3]Data Sheet'!$T$1:$T$65536,'[3]Data Sheet'!$V$1:$V$65536,'[3]Data Sheet'!$X$1:$X$65536,'[3]Data Sheet'!$Z$1:$Z$65536,'[3]Data Sheet'!$AB$1:$AB$65536,'[3]Data Sheet'!$AD$1:$AD$65536,'[3]Data Sheet'!$AF$1:$AF$65536,'[3]Data Sheet'!$AH$1:$AH$65536,'[3]Data Sheet'!$AJ$1:$AJ$65536,'[3]Data Sheet'!$AJ$1:$AJ$65536</definedName>
    <definedName name="Columns" localSheetId="4">'[3]Data Sheet'!$F:$F,'[3]Data Sheet'!$H:$H,'[3]Data Sheet'!$J:$J,'[3]Data Sheet'!$L:$L,'[3]Data Sheet'!#REF!,'[3]Data Sheet'!#REF!,'[3]Data Sheet'!#REF!,'[3]Data Sheet'!#REF!,'[3]Data Sheet'!#REF!,'[3]Data Sheet'!#REF!,'[3]Data Sheet'!#REF!,'[3]Data Sheet'!#REF!,'[3]Data Sheet'!#REF!,'[3]Data Sheet'!#REF!,'[3]Data Sheet'!#REF!,'[3]Data Sheet'!$N:$N,'[3]Data Sheet'!$P:$P,'[3]Data Sheet'!$R:$R,'[3]Data Sheet'!$T:$T,'[3]Data Sheet'!$V:$V,'[3]Data Sheet'!$X:$X,'[3]Data Sheet'!$Z:$Z,'[3]Data Sheet'!$AB:$AB,'[3]Data Sheet'!$AD:$AD,'[3]Data Sheet'!$AF:$AF,'[3]Data Sheet'!$AH:$AH,'[3]Data Sheet'!$AJ:$AJ,'[3]Data Sheet'!$AJ:$AJ</definedName>
    <definedName name="ConstantDollars" localSheetId="3">'[1]Revsum - trend'!#REF!</definedName>
    <definedName name="ConstantDollars" localSheetId="1">'[1]Revsum - trend'!#REF!</definedName>
    <definedName name="ConstantDollars" localSheetId="4">'[1]Revsum - trend'!#REF!</definedName>
    <definedName name="CurrencyType" localSheetId="3">'[1]Revsum - trend'!#REF!</definedName>
    <definedName name="CurrencyType" localSheetId="1">'[1]Revsum - trend'!#REF!</definedName>
    <definedName name="CurrencyType" localSheetId="4">'[1]Revsum - trend'!#REF!</definedName>
    <definedName name="Divisions" localSheetId="3">OFFSET([4]!Categories,0,-1)</definedName>
    <definedName name="Divisions" localSheetId="1">OFFSET([4]!Categories,0,-1)</definedName>
    <definedName name="Divisions" localSheetId="4">OFFSET([4]!Categories,0,-1)</definedName>
    <definedName name="FiscalPeriod" localSheetId="3">'[1]Revsum - trend'!#REF!</definedName>
    <definedName name="FiscalPeriod" localSheetId="1">'[1]Revsum - trend'!#REF!</definedName>
    <definedName name="FiscalPeriod" localSheetId="4">'[1]Revsum - trend'!#REF!</definedName>
    <definedName name="FY00OthAvg" localSheetId="3">#REF!</definedName>
    <definedName name="FY00OthAvg" localSheetId="1">#REF!</definedName>
    <definedName name="FY00OthAvg" localSheetId="4">#REF!</definedName>
    <definedName name="FY00RegAvg" localSheetId="3">#REF!</definedName>
    <definedName name="FY00RegAvg" localSheetId="1">#REF!</definedName>
    <definedName name="FY00RegAvg" localSheetId="4">#REF!</definedName>
    <definedName name="FY01OthAvg" localSheetId="1">#REF!</definedName>
    <definedName name="FY01OthAvg" localSheetId="4">#REF!</definedName>
    <definedName name="FY01RegAvg" localSheetId="1">#REF!</definedName>
    <definedName name="FY01RegAvg" localSheetId="4">#REF!</definedName>
    <definedName name="gaudette" localSheetId="3">'[2]May 96'!#REF!</definedName>
    <definedName name="gaudette" localSheetId="1">'[2]May 96'!#REF!</definedName>
    <definedName name="gaudette" localSheetId="4">'[2]May 96'!#REF!</definedName>
    <definedName name="Greetings" localSheetId="3">MATCH("Grtgs WS, PictureIt, Other DAD", Cashflow!Categories,0)</definedName>
    <definedName name="Greetings" localSheetId="1">MATCH("Grtgs WS, PictureIt, Other DAD", Model!Categories,0)</definedName>
    <definedName name="Greetings" localSheetId="4">MATCH("Grtgs WS, PictureIt, Other DAD", 'Regional Information'!Categories,0)</definedName>
    <definedName name="Greetings">MATCH("Grtgs WS, PictureIt, Other DAD", [0]!Categories,0)</definedName>
    <definedName name="GreetingsLookup" localSheetId="3">OFFSET('[1]Revsum - trend'!#REF!,Cashflow!Greetings,1,Cashflow!GreetingsTotal-Cashflow!Greetings,1)</definedName>
    <definedName name="GreetingsLookup" localSheetId="1">OFFSET('[1]Revsum - trend'!#REF!,Model!Greetings,1,Model!GreetingsTotal-Model!Greetings,1)</definedName>
    <definedName name="GreetingsLookup" localSheetId="4">OFFSET('[1]Revsum - trend'!#REF!,'Regional Information'!Greetings,1,'Regional Information'!GreetingsTotal-'Regional Information'!Greetings,1)</definedName>
    <definedName name="GreetingsTotal" localSheetId="3">MATCH("Grtgs WS, PictureIt, Other DAD *", Cashflow!Categories,0)</definedName>
    <definedName name="GreetingsTotal" localSheetId="1">MATCH("Grtgs WS, PictureIt, Other DAD *", Model!Categories,0)</definedName>
    <definedName name="GreetingsTotal" localSheetId="4">MATCH("Grtgs WS, PictureIt, Other DAD *", 'Regional Information'!Categories,0)</definedName>
    <definedName name="hansen" localSheetId="3">'[2]May 96'!#REF!</definedName>
    <definedName name="hansen" localSheetId="1">'[2]May 96'!#REF!</definedName>
    <definedName name="hansen" localSheetId="4">'[2]May 96'!#REF!</definedName>
    <definedName name="hanson" localSheetId="3">'[2]May 96'!#REF!</definedName>
    <definedName name="hanson" localSheetId="1">'[2]May 96'!#REF!</definedName>
    <definedName name="hanson" localSheetId="4">'[2]May 96'!#REF!</definedName>
    <definedName name="heading" localSheetId="3">#REF!</definedName>
    <definedName name="heading" localSheetId="1">#REF!</definedName>
    <definedName name="heading" localSheetId="4">#REF!</definedName>
    <definedName name="INTEREST" localSheetId="3">'[2]May 96'!#REF!</definedName>
    <definedName name="INTEREST" localSheetId="1">'[2]May 96'!#REF!</definedName>
    <definedName name="INTEREST" localSheetId="4">'[2]May 96'!#REF!</definedName>
    <definedName name="JAW" localSheetId="3">'[2]May 96'!#REF!</definedName>
    <definedName name="JAW" localSheetId="1">'[2]May 96'!#REF!</definedName>
    <definedName name="JAW" localSheetId="4">'[2]May 96'!#REF!</definedName>
    <definedName name="JAWORSKI" localSheetId="3">'[2]May 96'!#REF!</definedName>
    <definedName name="JAWORSKI" localSheetId="1">'[2]May 96'!#REF!</definedName>
    <definedName name="JAWORSKI" localSheetId="4">'[2]May 96'!#REF!</definedName>
    <definedName name="JustifyColumn" localSheetId="3">'[3]Data Sheet'!#REF!</definedName>
    <definedName name="JustifyColumn" localSheetId="1">'[3]Data Sheet'!#REF!</definedName>
    <definedName name="JustifyColumn" localSheetId="4">'[3]Data Sheet'!#REF!</definedName>
    <definedName name="LastPivotRow" localSheetId="3">COUNTA([4]!SalesLocations)+ROW([4]!PTtop)-1</definedName>
    <definedName name="LastPivotRow" localSheetId="1">COUNTA([4]!SalesLocations)+ROW([4]!PTtop)-1</definedName>
    <definedName name="LastPivotRow" localSheetId="4">COUNTA([4]!SalesLocations)+ROW([4]!PTtop)-1</definedName>
    <definedName name="LI" localSheetId="3">#REF!</definedName>
    <definedName name="LI" localSheetId="1">#REF!</definedName>
    <definedName name="LI" localSheetId="4">#REF!</definedName>
    <definedName name="LOAN" localSheetId="3">'[2]May 96'!#REF!</definedName>
    <definedName name="LOAN" localSheetId="1">'[2]May 96'!#REF!</definedName>
    <definedName name="LOAN" localSheetId="4">'[2]May 96'!#REF!</definedName>
    <definedName name="LOAN.DAN" localSheetId="3">'[2]May 96'!#REF!</definedName>
    <definedName name="LOAN.DAN" localSheetId="1">'[2]May 96'!#REF!</definedName>
    <definedName name="LOAN.DAN" localSheetId="4">'[2]May 96'!#REF!</definedName>
    <definedName name="LOAN.FRANK" localSheetId="3">'[2]May 96'!#REF!</definedName>
    <definedName name="LOAN.FRANK" localSheetId="1">'[2]May 96'!#REF!</definedName>
    <definedName name="LOAN.FRANK" localSheetId="4">'[2]May 96'!#REF!</definedName>
    <definedName name="LOAN.HANSEN" localSheetId="3">'[2]May 96'!#REF!</definedName>
    <definedName name="LOAN.HANSEN" localSheetId="1">'[2]May 96'!#REF!</definedName>
    <definedName name="LOAN.HANSEN" localSheetId="4">'[2]May 96'!#REF!</definedName>
    <definedName name="LOAN.HANSON" localSheetId="3">'[2]May 96'!#REF!</definedName>
    <definedName name="LOAN.HANSON" localSheetId="1">'[2]May 96'!#REF!</definedName>
    <definedName name="LOAN.HANSON" localSheetId="4">'[2]May 96'!#REF!</definedName>
    <definedName name="macintosh" localSheetId="3">'[2]May 96'!#REF!</definedName>
    <definedName name="macintosh" localSheetId="1">'[2]May 96'!#REF!</definedName>
    <definedName name="macintosh" localSheetId="4">'[2]May 96'!#REF!</definedName>
    <definedName name="MBV" localSheetId="3" hidden="1">{"closed",#N/A,FALSE,"Consolidated Products - Budget";"expanded",#N/A,FALSE,"Consolidated Products - Budget"}</definedName>
    <definedName name="MBV" localSheetId="1" hidden="1">{"closed",#N/A,FALSE,"Consolidated Products - Budget";"expanded",#N/A,FALSE,"Consolidated Products - Budget"}</definedName>
    <definedName name="MBV" localSheetId="4" hidden="1">{"closed",#N/A,FALSE,"Consolidated Products - Budget";"expanded",#N/A,FALSE,"Consolidated Products - Budget"}</definedName>
    <definedName name="MBV" hidden="1">{"closed",#N/A,FALSE,"Consolidated Products - Budget";"expanded",#N/A,FALSE,"Consolidated Products - Budget"}</definedName>
    <definedName name="MITCHELL" localSheetId="3">'[2]May 96'!#REF!</definedName>
    <definedName name="MITCHELL" localSheetId="1">'[2]May 96'!#REF!</definedName>
    <definedName name="MITCHELL" localSheetId="4">'[2]May 96'!#REF!</definedName>
    <definedName name="mntrange" localSheetId="3">'[1]Revsum - trend'!#REF!</definedName>
    <definedName name="mntrange" localSheetId="1">'[1]Revsum - trend'!#REF!</definedName>
    <definedName name="mntrange" localSheetId="4">'[1]Revsum - trend'!#REF!</definedName>
    <definedName name="Months" localSheetId="3">{"January","February","March","April","May","June","July","August","September","October","November","December"}</definedName>
    <definedName name="Months" localSheetId="1">{"January","February","March","April","May","June","July","August","September","October","November","December"}</definedName>
    <definedName name="Months" localSheetId="4">{"January","February","March","April","May","June","July","August","September","October","November","December"}</definedName>
    <definedName name="MYHRVOLD" localSheetId="3">'[2]May 96'!#REF!</definedName>
    <definedName name="MYHRVOLD" localSheetId="1">'[2]May 96'!#REF!</definedName>
    <definedName name="MYHRVOLD" localSheetId="4">'[2]May 96'!#REF!</definedName>
    <definedName name="oki" localSheetId="3">'[2]May 96'!#REF!</definedName>
    <definedName name="oki" localSheetId="1">'[2]May 96'!#REF!</definedName>
    <definedName name="oki" localSheetId="4">'[2]May 96'!#REF!</definedName>
    <definedName name="OLDBAL" localSheetId="3">'[2]May 96'!#REF!</definedName>
    <definedName name="OLDBAL" localSheetId="1">'[2]May 96'!#REF!</definedName>
    <definedName name="OLDBAL" localSheetId="4">'[2]May 96'!#REF!</definedName>
    <definedName name="PAID.INT" localSheetId="3">'[2]May 96'!#REF!</definedName>
    <definedName name="PAID.INT" localSheetId="1">'[2]May 96'!#REF!</definedName>
    <definedName name="PAID.INT" localSheetId="4">'[2]May 96'!#REF!</definedName>
    <definedName name="PAID.PRN" localSheetId="3">'[2]May 96'!#REF!</definedName>
    <definedName name="PAID.PRN" localSheetId="1">'[2]May 96'!#REF!</definedName>
    <definedName name="PAID.PRN" localSheetId="4">'[2]May 96'!#REF!</definedName>
    <definedName name="PFamily" localSheetId="3">'[1]Revsum - trend'!#REF!</definedName>
    <definedName name="PFamily" localSheetId="1">'[1]Revsum - trend'!#REF!</definedName>
    <definedName name="PFamily" localSheetId="4">'[1]Revsum - trend'!#REF!</definedName>
    <definedName name="Pivot2" localSheetId="3" hidden="1">{"closed",#N/A,FALSE,"Consolidated Products - Budget";"expanded",#N/A,FALSE,"Consolidated Products - Budget"}</definedName>
    <definedName name="Pivot2" localSheetId="1" hidden="1">{"closed",#N/A,FALSE,"Consolidated Products - Budget";"expanded",#N/A,FALSE,"Consolidated Products - Budget"}</definedName>
    <definedName name="Pivot2" localSheetId="4" hidden="1">{"closed",#N/A,FALSE,"Consolidated Products - Budget";"expanded",#N/A,FALSE,"Consolidated Products - Budget"}</definedName>
    <definedName name="Pivot2" hidden="1">{"closed",#N/A,FALSE,"Consolidated Products - Budget";"expanded",#N/A,FALSE,"Consolidated Products - Budget"}</definedName>
    <definedName name="PivotRows" localSheetId="3">COUNT(OFFSET(Cashflow!PivotTop,1,2,250))</definedName>
    <definedName name="PivotRows" localSheetId="1">COUNT(OFFSET(Model!PivotTop,1,2,250))</definedName>
    <definedName name="PivotRows" localSheetId="4">COUNT(OFFSET('Regional Information'!PivotTop,1,2,250))</definedName>
    <definedName name="PivotTable5.doc" localSheetId="3" hidden="1">#REF!</definedName>
    <definedName name="PivotTable5.doc" localSheetId="1" hidden="1">#REF!</definedName>
    <definedName name="PivotTable5.doc" localSheetId="4" hidden="1">#REF!</definedName>
    <definedName name="PivotTable5.doc" hidden="1">#REF!</definedName>
    <definedName name="PivotTable8.doc" localSheetId="3" hidden="1">#REF!</definedName>
    <definedName name="PivotTable8.doc" localSheetId="1" hidden="1">#REF!</definedName>
    <definedName name="PivotTable8.doc" localSheetId="4" hidden="1">#REF!</definedName>
    <definedName name="PivotTable8.doc" hidden="1">#REF!</definedName>
    <definedName name="PivotTop" localSheetId="3">'[1]Revsum - trend'!#REF!</definedName>
    <definedName name="PivotTop" localSheetId="1">'[1]Revsum - trend'!#REF!</definedName>
    <definedName name="PivotTop" localSheetId="4">'[1]Revsum - trend'!#REF!</definedName>
    <definedName name="_xlnm.Print_Area" localSheetId="2">'Balance Sheet'!$A$1:$O$36</definedName>
    <definedName name="_xlnm.Print_Area" localSheetId="3">Cashflow!$A$1:$M$49</definedName>
    <definedName name="_xlnm.Print_Area" localSheetId="1">Model!$A$1:$K$32</definedName>
    <definedName name="_xlnm.Print_Area" localSheetId="4">'Regional Information'!$A$1:$Q$49</definedName>
    <definedName name="_xlnm.Print_Titles" localSheetId="3">#REF!,#REF!</definedName>
    <definedName name="_xlnm.Print_Titles" localSheetId="1">#REF!,#REF!</definedName>
    <definedName name="_xlnm.Print_Titles" localSheetId="4">#REF!,#REF!</definedName>
    <definedName name="Product_Pricing" localSheetId="3">[5]Data!#REF!</definedName>
    <definedName name="Product_Pricing" localSheetId="1">[5]Data!#REF!</definedName>
    <definedName name="Product_Pricing" localSheetId="4">[5]Data!#REF!</definedName>
    <definedName name="RecordType" localSheetId="3">'[1]Revsum - trend'!#REF!</definedName>
    <definedName name="RecordType" localSheetId="1">'[1]Revsum - trend'!#REF!</definedName>
    <definedName name="RecordType" localSheetId="4">'[1]Revsum - trend'!#REF!</definedName>
    <definedName name="RecordTypeQ" localSheetId="1">#REF!</definedName>
    <definedName name="RecordTypeQ" localSheetId="4">#REF!</definedName>
    <definedName name="Region" localSheetId="3">'[1]Revsum - trend'!#REF!</definedName>
    <definedName name="Region" localSheetId="1">'[1]Revsum - trend'!#REF!</definedName>
    <definedName name="Region" localSheetId="4">'[1]Revsum - trend'!#REF!</definedName>
    <definedName name="RegionQ" localSheetId="1">#REF!</definedName>
    <definedName name="RegionQ" localSheetId="4">#REF!</definedName>
    <definedName name="REMALA" localSheetId="3">'[2]May 96'!#REF!</definedName>
    <definedName name="REMALA" localSheetId="1">'[2]May 96'!#REF!</definedName>
    <definedName name="REMALA" localSheetId="4">'[2]May 96'!#REF!</definedName>
    <definedName name="ROEMSel" localSheetId="1">#REF!</definedName>
    <definedName name="ROEMSel" localSheetId="4">#REF!</definedName>
    <definedName name="SalesLocation" localSheetId="3">'[1]Revsum - trend'!#REF!</definedName>
    <definedName name="SalesLocation" localSheetId="1">'[1]Revsum - trend'!#REF!</definedName>
    <definedName name="SalesLocation" localSheetId="4">'[1]Revsum - trend'!#REF!</definedName>
    <definedName name="SalesLocationQ" localSheetId="1">#REF!</definedName>
    <definedName name="SalesLocationQ" localSheetId="4">#REF!</definedName>
    <definedName name="SalesLocations" localSheetId="3">[4]!PTtop:'[6]BySub'!$A$97</definedName>
    <definedName name="SalesLocations" localSheetId="1">[4]!PTtop:'[6]BySub'!$A$97</definedName>
    <definedName name="SalesLocations" localSheetId="4">[4]!PTtop:'[6]BySub'!$A$97</definedName>
    <definedName name="SP" localSheetId="3">#REF!</definedName>
    <definedName name="SP" localSheetId="1">#REF!</definedName>
    <definedName name="SP" localSheetId="4">#REF!</definedName>
    <definedName name="SpaceBetweenColumns" localSheetId="3">'[3]Data Sheet'!$G$1:$G$65536,'[3]Data Sheet'!$I$1:$I$65536,'[3]Data Sheet'!$K$1:$K$65536,'[3]Data Sheet'!$M$1:$M$65536,'[3]Data Sheet'!#REF!,'[3]Data Sheet'!#REF!,'[3]Data Sheet'!#REF!,'[3]Data Sheet'!#REF!,'[3]Data Sheet'!#REF!,'[3]Data Sheet'!#REF!,'[3]Data Sheet'!#REF!,'[3]Data Sheet'!#REF!,'[3]Data Sheet'!#REF!,'[3]Data Sheet'!#REF!,'[3]Data Sheet'!#REF!,'[3]Data Sheet'!$O$1:$O$65536,'[3]Data Sheet'!$Q$1:$Q$65536,'[3]Data Sheet'!$S$1:$S$65536,'[3]Data Sheet'!$U$1:$U$65536,'[3]Data Sheet'!$W$1:$W$65536,'[3]Data Sheet'!$Y$1:$Y$65536,'[3]Data Sheet'!$AA$1:$AA$65536,'[3]Data Sheet'!$AC$1:$AC$65536,'[3]Data Sheet'!$AE$1:$AE$65536,'[3]Data Sheet'!$AE$1:$AE$65536,'[3]Data Sheet'!$AE$1:$AE$65536,'[3]Data Sheet'!$AG$1:$AG$65536,'[3]Data Sheet'!$AI$1:$AI$65536</definedName>
    <definedName name="SpaceBetweenColumns" localSheetId="1">'[3]Data Sheet'!$G$1:$G$65536,'[3]Data Sheet'!$I$1:$I$65536,'[3]Data Sheet'!$K$1:$K$65536,'[3]Data Sheet'!$M$1:$M$65536,'[3]Data Sheet'!#REF!,'[3]Data Sheet'!#REF!,'[3]Data Sheet'!#REF!,'[3]Data Sheet'!#REF!,'[3]Data Sheet'!#REF!,'[3]Data Sheet'!#REF!,'[3]Data Sheet'!#REF!,'[3]Data Sheet'!#REF!,'[3]Data Sheet'!#REF!,'[3]Data Sheet'!#REF!,'[3]Data Sheet'!#REF!,'[3]Data Sheet'!$O$1:$O$65536,'[3]Data Sheet'!$Q$1:$Q$65536,'[3]Data Sheet'!$S$1:$S$65536,'[3]Data Sheet'!$U$1:$U$65536,'[3]Data Sheet'!$W$1:$W$65536,'[3]Data Sheet'!$Y$1:$Y$65536,'[3]Data Sheet'!$AA$1:$AA$65536,'[3]Data Sheet'!$AC$1:$AC$65536,'[3]Data Sheet'!$AE$1:$AE$65536,'[3]Data Sheet'!$AE$1:$AE$65536,'[3]Data Sheet'!$AE$1:$AE$65536,'[3]Data Sheet'!$AG$1:$AG$65536,'[3]Data Sheet'!$AI$1:$AI$65536</definedName>
    <definedName name="SpaceBetweenColumns" localSheetId="4">'[3]Data Sheet'!$G:$G,'[3]Data Sheet'!$I:$I,'[3]Data Sheet'!$K:$K,'[3]Data Sheet'!$M:$M,'[3]Data Sheet'!#REF!,'[3]Data Sheet'!#REF!,'[3]Data Sheet'!#REF!,'[3]Data Sheet'!#REF!,'[3]Data Sheet'!#REF!,'[3]Data Sheet'!#REF!,'[3]Data Sheet'!#REF!,'[3]Data Sheet'!#REF!,'[3]Data Sheet'!#REF!,'[3]Data Sheet'!#REF!,'[3]Data Sheet'!#REF!,'[3]Data Sheet'!$O:$O,'[3]Data Sheet'!$Q:$Q,'[3]Data Sheet'!$S:$S,'[3]Data Sheet'!$U:$U,'[3]Data Sheet'!$W:$W,'[3]Data Sheet'!$Y:$Y,'[3]Data Sheet'!$AA:$AA,'[3]Data Sheet'!$AC:$AC,'[3]Data Sheet'!$AE:$AE,'[3]Data Sheet'!$AE:$AE,'[3]Data Sheet'!$AE:$AE,'[3]Data Sheet'!$AG:$AG,'[3]Data Sheet'!$AI:$AI</definedName>
    <definedName name="StandAloneStandard" localSheetId="3">MATCH("Standalone office apps - standard", Cashflow!Categories,0)</definedName>
    <definedName name="StandAloneStandard" localSheetId="1">MATCH("Standalone office apps - standard", Model!Categories,0)</definedName>
    <definedName name="StandAloneStandard" localSheetId="4">MATCH("Standalone office apps - standard", 'Regional Information'!Categories,0)</definedName>
    <definedName name="StandAloneStandard">MATCH("Standalone office apps - standard", [0]!Categories,0)</definedName>
    <definedName name="StandAloneStandardLookup" localSheetId="3">OFFSET('[1]Revsum - trend'!#REF!,Cashflow!StandAloneStandard,1,Cashflow!StandAloneStandardTotal-Cashflow!StandAloneStandard,1)</definedName>
    <definedName name="StandAloneStandardLookup" localSheetId="1">OFFSET('[1]Revsum - trend'!#REF!,Model!StandAloneStandard,1,Model!StandAloneStandardTotal-Model!StandAloneStandard,1)</definedName>
    <definedName name="StandAloneStandardLookup" localSheetId="4">OFFSET('[1]Revsum - trend'!#REF!,'Regional Information'!StandAloneStandard,1,'Regional Information'!StandAloneStandardTotal-'Regional Information'!StandAloneStandard,1)</definedName>
    <definedName name="StandAloneStandardTotal" localSheetId="3">MATCH("Standalone Office Apps - Standard?*", Cashflow!Categories,0)</definedName>
    <definedName name="StandAloneStandardTotal" localSheetId="1">MATCH("Standalone Office Apps - Standard?*", Model!Categories,0)</definedName>
    <definedName name="StandAloneStandardTotal" localSheetId="4">MATCH("Standalone Office Apps - Standard?*", 'Regional Information'!Categories,0)</definedName>
    <definedName name="StandAloneUpgrade" localSheetId="3">MATCH("Standalone office apps - upgrade", Cashflow!Categories,0)</definedName>
    <definedName name="StandAloneUpgrade" localSheetId="1">MATCH("Standalone office apps - upgrade", Model!Categories,0)</definedName>
    <definedName name="StandAloneUpgrade" localSheetId="4">MATCH("Standalone office apps - upgrade", 'Regional Information'!Categories,0)</definedName>
    <definedName name="StandAloneUpgrade">MATCH("Standalone office apps - upgrade", [0]!Categories,0)</definedName>
    <definedName name="StandAloneUpgradeLookup" localSheetId="3">OFFSET('[1]Revsum - trend'!#REF!,Cashflow!StandAloneUpgrade,1,Cashflow!StandAloneUpgradeTotal-Cashflow!StandAloneUpgrade,1)</definedName>
    <definedName name="StandAloneUpgradeLookup" localSheetId="1">OFFSET('[1]Revsum - trend'!#REF!,Model!StandAloneUpgrade,1,Model!StandAloneUpgradeTotal-Model!StandAloneUpgrade,1)</definedName>
    <definedName name="StandAloneUpgradeLookup" localSheetId="4">OFFSET('[1]Revsum - trend'!#REF!,'Regional Information'!StandAloneUpgrade,1,'Regional Information'!StandAloneUpgradeTotal-'Regional Information'!StandAloneUpgrade,1)</definedName>
    <definedName name="StandAloneUpgradeTotal" localSheetId="3">MATCH("Standalone Office Apps - Upgrade?*", Cashflow!Categories,0)</definedName>
    <definedName name="StandAloneUpgradeTotal" localSheetId="1">MATCH("Standalone Office Apps - Upgrade?*", Model!Categories,0)</definedName>
    <definedName name="StandAloneUpgradeTotal" localSheetId="4">MATCH("Standalone Office Apps - Upgrade?*", 'Regional Information'!Categories,0)</definedName>
    <definedName name="Subregion" localSheetId="3">'[1]Revsum - trend'!#REF!</definedName>
    <definedName name="Subregion" localSheetId="1">'[1]Revsum - trend'!#REF!</definedName>
    <definedName name="Subregion" localSheetId="4">'[1]Revsum - trend'!#REF!</definedName>
    <definedName name="SubregionQ" localSheetId="3">#REF!</definedName>
    <definedName name="SubregionQ" localSheetId="1">#REF!</definedName>
    <definedName name="SubregionQ" localSheetId="4">#REF!</definedName>
    <definedName name="summary" localSheetId="3" hidden="1">{"closed",#N/A,FALSE,"Consolidated Products - Budget";"expanded",#N/A,FALSE,"Consolidated Products - Budget"}</definedName>
    <definedName name="summary" localSheetId="1" hidden="1">{"closed",#N/A,FALSE,"Consolidated Products - Budget";"expanded",#N/A,FALSE,"Consolidated Products - Budget"}</definedName>
    <definedName name="summary" localSheetId="4" hidden="1">{"closed",#N/A,FALSE,"Consolidated Products - Budget";"expanded",#N/A,FALSE,"Consolidated Products - Budget"}</definedName>
    <definedName name="summary" hidden="1">{"closed",#N/A,FALSE,"Consolidated Products - Budget";"expanded",#N/A,FALSE,"Consolidated Products - Budget"}</definedName>
    <definedName name="Trend" localSheetId="3">'[1]Revsum - trend'!#REF!</definedName>
    <definedName name="Trend" localSheetId="1">'[1]Revsum - trend'!#REF!</definedName>
    <definedName name="Trend" localSheetId="4">'[1]Revsum - trend'!#REF!</definedName>
    <definedName name="TrendKind" localSheetId="3">'[1]Revsum - trend'!#REF!</definedName>
    <definedName name="TrendKind" localSheetId="1">'[1]Revsum - trend'!#REF!</definedName>
    <definedName name="TrendKind" localSheetId="4">'[1]Revsum - trend'!#REF!</definedName>
    <definedName name="verba" localSheetId="3">'[2]May 96'!#REF!</definedName>
    <definedName name="verba" localSheetId="1">'[2]May 96'!#REF!</definedName>
    <definedName name="verba" localSheetId="4">'[2]May 96'!#REF!</definedName>
    <definedName name="View" localSheetId="3">'[1]Revsum - trend'!#REF!</definedName>
    <definedName name="View" localSheetId="1">'[1]Revsum - trend'!#REF!</definedName>
    <definedName name="View" localSheetId="4">'[1]Revsum - trend'!#REF!</definedName>
    <definedName name="WALTON" localSheetId="3">'[2]May 96'!#REF!</definedName>
    <definedName name="WALTON" localSheetId="1">'[2]May 96'!#REF!</definedName>
    <definedName name="WALTON" localSheetId="4">'[2]May 96'!#REF!</definedName>
    <definedName name="wrn.prodcon." localSheetId="3" hidden="1">{"closed",#N/A,FALSE,"Consolidated Products - Budget";"expanded",#N/A,FALSE,"Consolidated Products - Budget"}</definedName>
    <definedName name="wrn.prodcon." localSheetId="1" hidden="1">{"closed",#N/A,FALSE,"Consolidated Products - Budget";"expanded",#N/A,FALSE,"Consolidated Products - Budget"}</definedName>
    <definedName name="wrn.prodcon." localSheetId="4" hidden="1">{"closed",#N/A,FALSE,"Consolidated Products - Budget";"expanded",#N/A,FALSE,"Consolidated Products - Budget"}</definedName>
    <definedName name="wrn.prodcon." hidden="1">{"closed",#N/A,FALSE,"Consolidated Products - Budget";"expanded",#N/A,FALSE,"Consolidated Products - Budget"}</definedName>
    <definedName name="XRefCopy1" localSheetId="3" hidden="1">#REF!</definedName>
    <definedName name="XRefCopy1" localSheetId="1" hidden="1">#REF!</definedName>
    <definedName name="XRefCopy1" localSheetId="4" hidden="1">#REF!</definedName>
    <definedName name="XRefCopy1" hidden="1">#REF!</definedName>
    <definedName name="XRefCopy2" localSheetId="3" hidden="1">#REF!</definedName>
    <definedName name="XRefCopy2" localSheetId="1" hidden="1">#REF!</definedName>
    <definedName name="XRefCopy2" localSheetId="4" hidden="1">#REF!</definedName>
    <definedName name="XRefCopy2" hidden="1">#REF!</definedName>
    <definedName name="XRefCopyRangeCount" hidden="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Z28" i="3" l="1"/>
  <c r="Z27" i="3"/>
  <c r="Z26" i="3"/>
  <c r="Z25" i="3"/>
  <c r="Z24" i="3"/>
  <c r="Z22" i="3"/>
  <c r="Z21" i="3"/>
  <c r="Z19" i="3"/>
  <c r="Z18" i="3"/>
  <c r="AI18" i="3" s="1"/>
  <c r="Z17" i="3"/>
  <c r="Z15" i="3"/>
  <c r="Z16" i="3"/>
  <c r="AH27" i="3"/>
  <c r="AI28" i="3"/>
  <c r="AH28" i="3"/>
  <c r="AH26" i="3"/>
  <c r="AH25" i="3"/>
  <c r="AH24" i="3"/>
  <c r="AI22" i="3"/>
  <c r="AH22" i="3"/>
  <c r="AH21" i="3"/>
  <c r="AH20" i="3"/>
  <c r="AI19" i="3"/>
  <c r="AH19" i="3"/>
  <c r="AH18" i="3"/>
  <c r="AI17" i="3"/>
  <c r="AH17" i="3"/>
  <c r="AH16" i="3"/>
  <c r="AI15" i="3"/>
  <c r="AI16" i="3" s="1"/>
  <c r="AH15" i="3"/>
  <c r="AH14" i="3"/>
  <c r="Z14" i="3"/>
  <c r="Z32" i="3" s="1"/>
  <c r="AI14" i="3"/>
  <c r="AI2" i="3"/>
  <c r="AH2" i="3"/>
  <c r="AG2" i="3"/>
  <c r="AF2" i="3"/>
  <c r="K24" i="3"/>
  <c r="K21" i="3"/>
  <c r="K20" i="3"/>
  <c r="K16" i="3"/>
  <c r="J21" i="3"/>
  <c r="J20" i="3"/>
  <c r="J16" i="3"/>
  <c r="I20" i="3"/>
  <c r="H20" i="3"/>
  <c r="H16" i="3"/>
  <c r="G21" i="3"/>
  <c r="G20" i="3"/>
  <c r="G16" i="3"/>
  <c r="F20" i="3"/>
  <c r="D24" i="3"/>
  <c r="D20" i="3"/>
  <c r="Y14" i="3"/>
  <c r="Y32" i="3" s="1"/>
  <c r="X14" i="3"/>
  <c r="X32" i="3" s="1"/>
  <c r="W14" i="3"/>
  <c r="W16" i="3" s="1"/>
  <c r="V14" i="3"/>
  <c r="V16" i="3" s="1"/>
  <c r="U14" i="3"/>
  <c r="U16" i="3" s="1"/>
  <c r="T14" i="3"/>
  <c r="T16" i="3" s="1"/>
  <c r="S14" i="3"/>
  <c r="Y70" i="3"/>
  <c r="Y72" i="3" s="1"/>
  <c r="X70" i="3"/>
  <c r="X72" i="3" s="1"/>
  <c r="W70" i="3"/>
  <c r="W72" i="3" s="1"/>
  <c r="V70" i="3"/>
  <c r="V72" i="3" s="1"/>
  <c r="U70" i="3"/>
  <c r="U69" i="3"/>
  <c r="T70" i="3"/>
  <c r="T72" i="3" s="1"/>
  <c r="S70" i="3"/>
  <c r="S72" i="3" s="1"/>
  <c r="Y65" i="3"/>
  <c r="Y67" i="3" s="1"/>
  <c r="X65" i="3"/>
  <c r="W65" i="3"/>
  <c r="X67" i="3"/>
  <c r="W67" i="3"/>
  <c r="V67" i="3"/>
  <c r="U67" i="3"/>
  <c r="T67" i="3"/>
  <c r="S67" i="3"/>
  <c r="Y61" i="3"/>
  <c r="Y54" i="3"/>
  <c r="X61" i="3"/>
  <c r="X54" i="3"/>
  <c r="W54" i="3"/>
  <c r="W62" i="3" s="1"/>
  <c r="V54" i="3"/>
  <c r="V62" i="3" s="1"/>
  <c r="U54" i="3"/>
  <c r="U62" i="3" s="1"/>
  <c r="T54" i="3"/>
  <c r="T62" i="3" s="1"/>
  <c r="S54" i="3"/>
  <c r="S62" i="3" s="1"/>
  <c r="Y43" i="3"/>
  <c r="Y50" i="3" s="1"/>
  <c r="X50" i="3"/>
  <c r="X41" i="3"/>
  <c r="Y36" i="3"/>
  <c r="Y35" i="3" s="1"/>
  <c r="X35" i="3"/>
  <c r="Y22" i="3"/>
  <c r="X22" i="3"/>
  <c r="U22" i="3"/>
  <c r="T22" i="3"/>
  <c r="Y20" i="3"/>
  <c r="X20" i="3"/>
  <c r="W20" i="3"/>
  <c r="V20" i="3"/>
  <c r="U20" i="3"/>
  <c r="T20" i="3"/>
  <c r="Y16" i="3"/>
  <c r="W43" i="3"/>
  <c r="W47" i="3"/>
  <c r="W36" i="3"/>
  <c r="S22" i="3"/>
  <c r="S20" i="3"/>
  <c r="S16" i="3"/>
  <c r="V22" i="3"/>
  <c r="W22" i="3"/>
  <c r="L33" i="3"/>
  <c r="G3" i="3"/>
  <c r="K3" i="3"/>
  <c r="J32" i="3"/>
  <c r="I32" i="3"/>
  <c r="H32" i="3"/>
  <c r="G32" i="3"/>
  <c r="K32" i="3"/>
  <c r="E20" i="3"/>
  <c r="C20" i="3"/>
  <c r="F16" i="3"/>
  <c r="E16" i="3"/>
  <c r="D16" i="3"/>
  <c r="C16" i="3"/>
  <c r="I16" i="3"/>
  <c r="N4" i="8"/>
  <c r="N7" i="8" s="1"/>
  <c r="P39" i="7"/>
  <c r="K39" i="7"/>
  <c r="P38" i="7"/>
  <c r="K38" i="7"/>
  <c r="P37" i="7"/>
  <c r="K37" i="7"/>
  <c r="P30" i="7"/>
  <c r="K30" i="7"/>
  <c r="P29" i="7"/>
  <c r="K29" i="7"/>
  <c r="P28" i="7"/>
  <c r="K28" i="7"/>
  <c r="P21" i="7"/>
  <c r="K21" i="7"/>
  <c r="P20" i="7"/>
  <c r="K20" i="7"/>
  <c r="P19" i="7"/>
  <c r="K19" i="7"/>
  <c r="P12" i="7"/>
  <c r="K12" i="7"/>
  <c r="P11" i="7"/>
  <c r="K11" i="7"/>
  <c r="P10" i="7"/>
  <c r="K10" i="7"/>
  <c r="AE25" i="3"/>
  <c r="AD25" i="3"/>
  <c r="AE23" i="3"/>
  <c r="AD23" i="3"/>
  <c r="AE22" i="3"/>
  <c r="AD22" i="3"/>
  <c r="AE19" i="3"/>
  <c r="AD19" i="3"/>
  <c r="AE18" i="3"/>
  <c r="AD18" i="3"/>
  <c r="AE17" i="3"/>
  <c r="AD17" i="3"/>
  <c r="AE15" i="3"/>
  <c r="AD15" i="3"/>
  <c r="AE14" i="3"/>
  <c r="AD14" i="3"/>
  <c r="M48" i="4"/>
  <c r="M42" i="4"/>
  <c r="M37" i="4"/>
  <c r="M29" i="4"/>
  <c r="M24" i="4"/>
  <c r="J47" i="4"/>
  <c r="I47" i="4"/>
  <c r="H47" i="4"/>
  <c r="G47" i="4"/>
  <c r="F47" i="4"/>
  <c r="E47" i="4"/>
  <c r="D47" i="4"/>
  <c r="C47" i="4"/>
  <c r="J46" i="4"/>
  <c r="I46" i="4"/>
  <c r="H46" i="4"/>
  <c r="G46" i="4"/>
  <c r="F46" i="4"/>
  <c r="E46" i="4"/>
  <c r="D46" i="4"/>
  <c r="C46" i="4"/>
  <c r="J42" i="4"/>
  <c r="I42" i="4"/>
  <c r="H42" i="4"/>
  <c r="G42" i="4"/>
  <c r="F42" i="4"/>
  <c r="E42" i="4"/>
  <c r="D42" i="4"/>
  <c r="C42" i="4"/>
  <c r="L40" i="4"/>
  <c r="K40" i="4"/>
  <c r="K42" i="4" s="1"/>
  <c r="L41" i="4" s="1"/>
  <c r="L39" i="4"/>
  <c r="K39" i="4"/>
  <c r="J37" i="4"/>
  <c r="I37" i="4"/>
  <c r="H37" i="4"/>
  <c r="G37" i="4"/>
  <c r="F37" i="4"/>
  <c r="E37" i="4"/>
  <c r="D37" i="4"/>
  <c r="C37" i="4"/>
  <c r="L36" i="4"/>
  <c r="K36" i="4"/>
  <c r="L35" i="4"/>
  <c r="K35" i="4"/>
  <c r="L34" i="4"/>
  <c r="K34" i="4"/>
  <c r="L33" i="4"/>
  <c r="K33" i="4"/>
  <c r="L32" i="4"/>
  <c r="K32" i="4"/>
  <c r="L31" i="4"/>
  <c r="K31" i="4"/>
  <c r="J29" i="4"/>
  <c r="I29" i="4"/>
  <c r="H29" i="4"/>
  <c r="G29" i="4"/>
  <c r="F29" i="4"/>
  <c r="E29" i="4"/>
  <c r="D29" i="4"/>
  <c r="C29" i="4"/>
  <c r="L28" i="4"/>
  <c r="K28" i="4"/>
  <c r="L27" i="4"/>
  <c r="K27" i="4"/>
  <c r="L26" i="4"/>
  <c r="K26" i="4"/>
  <c r="J24" i="4"/>
  <c r="J45" i="4" s="1"/>
  <c r="I24" i="4"/>
  <c r="I45" i="4" s="1"/>
  <c r="H24" i="4"/>
  <c r="H45" i="4" s="1"/>
  <c r="G24" i="4"/>
  <c r="G45" i="4" s="1"/>
  <c r="F24" i="4"/>
  <c r="F45" i="4" s="1"/>
  <c r="E24" i="4"/>
  <c r="E45" i="4" s="1"/>
  <c r="D24" i="4"/>
  <c r="D45" i="4" s="1"/>
  <c r="C24" i="4"/>
  <c r="C45" i="4" s="1"/>
  <c r="L23" i="4"/>
  <c r="K23" i="4"/>
  <c r="L22" i="4"/>
  <c r="K22" i="4"/>
  <c r="L21" i="4"/>
  <c r="K21" i="4"/>
  <c r="L20" i="4"/>
  <c r="K20" i="4"/>
  <c r="L19" i="4"/>
  <c r="K19" i="4"/>
  <c r="L17" i="4"/>
  <c r="K17" i="4"/>
  <c r="L16" i="4"/>
  <c r="K16" i="4"/>
  <c r="L15" i="4"/>
  <c r="K15" i="4"/>
  <c r="L14" i="4"/>
  <c r="K14" i="4"/>
  <c r="L13" i="4"/>
  <c r="K13" i="4"/>
  <c r="L12" i="4"/>
  <c r="K12" i="4"/>
  <c r="L11" i="4"/>
  <c r="K11" i="4"/>
  <c r="L10" i="4"/>
  <c r="K10" i="4"/>
  <c r="L9" i="4"/>
  <c r="K9" i="4"/>
  <c r="N34" i="1"/>
  <c r="M34" i="1"/>
  <c r="L34" i="1"/>
  <c r="K34" i="1"/>
  <c r="J34" i="1"/>
  <c r="I34" i="1"/>
  <c r="H34" i="1"/>
  <c r="G34" i="1"/>
  <c r="N24" i="1"/>
  <c r="N28" i="1" s="1"/>
  <c r="N35" i="1" s="1"/>
  <c r="M24" i="1"/>
  <c r="M28" i="1" s="1"/>
  <c r="M35" i="1" s="1"/>
  <c r="L24" i="1"/>
  <c r="L28" i="1" s="1"/>
  <c r="L35" i="1" s="1"/>
  <c r="K24" i="1"/>
  <c r="K28" i="1" s="1"/>
  <c r="K35" i="1" s="1"/>
  <c r="J24" i="1"/>
  <c r="J28" i="1" s="1"/>
  <c r="J35" i="1" s="1"/>
  <c r="I24" i="1"/>
  <c r="I28" i="1" s="1"/>
  <c r="I35" i="1" s="1"/>
  <c r="H24" i="1"/>
  <c r="H28" i="1" s="1"/>
  <c r="H35" i="1" s="1"/>
  <c r="G24" i="1"/>
  <c r="G28" i="1" s="1"/>
  <c r="G35" i="1" s="1"/>
  <c r="N12" i="1"/>
  <c r="N16" i="1" s="1"/>
  <c r="M12" i="1"/>
  <c r="M16" i="1" s="1"/>
  <c r="L12" i="1"/>
  <c r="L16" i="1" s="1"/>
  <c r="K12" i="1"/>
  <c r="K16" i="1" s="1"/>
  <c r="J12" i="1"/>
  <c r="J16" i="1" s="1"/>
  <c r="I12" i="1"/>
  <c r="I16" i="1" s="1"/>
  <c r="H12" i="1"/>
  <c r="H16" i="1" s="1"/>
  <c r="G12" i="1"/>
  <c r="G16" i="1" s="1"/>
  <c r="AI20" i="3" l="1"/>
  <c r="Z20" i="3"/>
  <c r="AI21" i="3"/>
  <c r="AI24" i="3" s="1"/>
  <c r="X16" i="3"/>
  <c r="X21" i="3" s="1"/>
  <c r="X24" i="3" s="1"/>
  <c r="X26" i="3" s="1"/>
  <c r="W32" i="3"/>
  <c r="Y21" i="3"/>
  <c r="Y24" i="3" s="1"/>
  <c r="Y26" i="3" s="1"/>
  <c r="Y27" i="3" s="1"/>
  <c r="Y62" i="3"/>
  <c r="X62" i="3"/>
  <c r="Y73" i="3"/>
  <c r="W73" i="3"/>
  <c r="T21" i="3"/>
  <c r="T24" i="3" s="1"/>
  <c r="T26" i="3" s="1"/>
  <c r="U21" i="3"/>
  <c r="U24" i="3" s="1"/>
  <c r="U26" i="3" s="1"/>
  <c r="S73" i="3"/>
  <c r="T73" i="3"/>
  <c r="U72" i="3"/>
  <c r="U73" i="3" s="1"/>
  <c r="V73" i="3"/>
  <c r="X73" i="3"/>
  <c r="Y41" i="3"/>
  <c r="W35" i="3"/>
  <c r="W50" i="3"/>
  <c r="W41" i="3"/>
  <c r="S21" i="3"/>
  <c r="V21" i="3"/>
  <c r="V24" i="3" s="1"/>
  <c r="V26" i="3" s="1"/>
  <c r="W21" i="3"/>
  <c r="W24" i="3" s="1"/>
  <c r="W26" i="3" s="1"/>
  <c r="G24" i="3"/>
  <c r="G26" i="3" s="1"/>
  <c r="E21" i="3"/>
  <c r="F21" i="3"/>
  <c r="F24" i="3" s="1"/>
  <c r="F26" i="3" s="1"/>
  <c r="S24" i="3"/>
  <c r="S26" i="3" s="1"/>
  <c r="K33" i="3"/>
  <c r="E24" i="3"/>
  <c r="E26" i="3" s="1"/>
  <c r="J24" i="3"/>
  <c r="J26" i="3" s="1"/>
  <c r="K26" i="3"/>
  <c r="C21" i="3"/>
  <c r="C24" i="3" s="1"/>
  <c r="D21" i="3"/>
  <c r="D26" i="3" s="1"/>
  <c r="H21" i="3"/>
  <c r="H24" i="3" s="1"/>
  <c r="I21" i="3"/>
  <c r="I24" i="3" s="1"/>
  <c r="I26" i="3" s="1"/>
  <c r="K46" i="4"/>
  <c r="L37" i="4"/>
  <c r="I48" i="4"/>
  <c r="J48" i="4"/>
  <c r="K29" i="4"/>
  <c r="K47" i="4"/>
  <c r="L47" i="4"/>
  <c r="D48" i="4"/>
  <c r="F48" i="4"/>
  <c r="H48" i="4"/>
  <c r="E48" i="4"/>
  <c r="L29" i="4"/>
  <c r="K24" i="4"/>
  <c r="L24" i="4"/>
  <c r="L46" i="4"/>
  <c r="K37" i="4"/>
  <c r="L45" i="4"/>
  <c r="G48" i="4"/>
  <c r="L42" i="4"/>
  <c r="C48" i="4"/>
  <c r="K45" i="4"/>
  <c r="O34" i="1"/>
  <c r="O24" i="1"/>
  <c r="O28" i="1" s="1"/>
  <c r="O12" i="1"/>
  <c r="O16" i="1" s="1"/>
  <c r="AI25" i="3" l="1"/>
  <c r="AI26" i="3" s="1"/>
  <c r="AI27" i="3" s="1"/>
  <c r="Y52" i="3"/>
  <c r="W27" i="3"/>
  <c r="W52" i="3"/>
  <c r="U27" i="3"/>
  <c r="U52" i="3"/>
  <c r="X27" i="3"/>
  <c r="X52" i="3"/>
  <c r="S27" i="3"/>
  <c r="S52" i="3"/>
  <c r="V27" i="3"/>
  <c r="V52" i="3"/>
  <c r="T27" i="3"/>
  <c r="T52" i="3"/>
  <c r="H26" i="3"/>
  <c r="AE26" i="3" s="1"/>
  <c r="AE24" i="3"/>
  <c r="C26" i="3"/>
  <c r="AD26" i="3" s="1"/>
  <c r="AD24" i="3"/>
  <c r="L48" i="4"/>
  <c r="K48" i="4"/>
  <c r="O35" i="1"/>
</calcChain>
</file>

<file path=xl/sharedStrings.xml><?xml version="1.0" encoding="utf-8"?>
<sst xmlns="http://schemas.openxmlformats.org/spreadsheetml/2006/main" count="239" uniqueCount="162">
  <si>
    <t>Total liabilities and stockholders' equity</t>
  </si>
  <si>
    <t>Total stockholders' equity</t>
  </si>
  <si>
    <t>Retained earnings</t>
  </si>
  <si>
    <t>Accumulated other comprehensive income (loss)</t>
  </si>
  <si>
    <t>Common stock</t>
  </si>
  <si>
    <t>Stockholders' equity:</t>
  </si>
  <si>
    <t>Total liabilities</t>
  </si>
  <si>
    <t>Other non-current liabilities</t>
  </si>
  <si>
    <t>Long-term debt</t>
  </si>
  <si>
    <t>Non-current content liabilities</t>
  </si>
  <si>
    <t>Total current liabilities</t>
  </si>
  <si>
    <t>Deferred revenue</t>
  </si>
  <si>
    <t>Accounts payable</t>
  </si>
  <si>
    <t>Current liabilities:</t>
  </si>
  <si>
    <t>Liabilities and Stockholders' Equity</t>
  </si>
  <si>
    <t>Total assets</t>
  </si>
  <si>
    <t>Property and equipment, net</t>
  </si>
  <si>
    <t>Total current assets</t>
  </si>
  <si>
    <t>Other current assets</t>
  </si>
  <si>
    <t>Cash and cash equivalents</t>
  </si>
  <si>
    <t>Current assets:</t>
  </si>
  <si>
    <t>Assets</t>
  </si>
  <si>
    <t>March 31,</t>
  </si>
  <si>
    <t>December 31,</t>
  </si>
  <si>
    <t>June 30,</t>
  </si>
  <si>
    <t>September 30,</t>
  </si>
  <si>
    <t>(in thousands)</t>
  </si>
  <si>
    <t>(unaudited)</t>
  </si>
  <si>
    <t>Consolidated Balance Sheets</t>
  </si>
  <si>
    <t>Netflix, Inc.</t>
  </si>
  <si>
    <t>Marketing</t>
  </si>
  <si>
    <t>Revenues</t>
  </si>
  <si>
    <t>As of / Three Months Ended</t>
  </si>
  <si>
    <t>Twelve Months Ended</t>
  </si>
  <si>
    <t>Diluted</t>
  </si>
  <si>
    <t>Basic</t>
  </si>
  <si>
    <t>Net income</t>
  </si>
  <si>
    <t xml:space="preserve">Interest expense </t>
  </si>
  <si>
    <t>Three Months Ended</t>
  </si>
  <si>
    <t>Non-GAAP free cash flow</t>
  </si>
  <si>
    <t>Change in other assets</t>
  </si>
  <si>
    <t>Purchases of property and equipment</t>
  </si>
  <si>
    <t>Non-GAAP free cash flow reconciliation:</t>
  </si>
  <si>
    <t xml:space="preserve"> Cash, cash equivalents, and restricted cash end of period</t>
  </si>
  <si>
    <t>Cash, cash equivalents, and restricted cash beginning of period</t>
  </si>
  <si>
    <t>Net increase (decrease) in cash, cash equivalents, and restricted cash</t>
  </si>
  <si>
    <t>Effect of exchange rate changes on cash, cash equivalents, and restricted cash</t>
  </si>
  <si>
    <t>Cash flows from financing activities:</t>
  </si>
  <si>
    <t>Cash flows from investing activities:</t>
  </si>
  <si>
    <t>Other non-current assets and liabilities</t>
  </si>
  <si>
    <t>Changes in operating assets and liabilities:</t>
  </si>
  <si>
    <t>Stock-based compensation expense</t>
  </si>
  <si>
    <t>Depreciation and amortization of property, equipment and intangibles</t>
  </si>
  <si>
    <t>Cash flows from operating activities:</t>
  </si>
  <si>
    <t>Accrued expenses and other liabilities</t>
  </si>
  <si>
    <t>Streaming Revenue and Membership Information by Region</t>
  </si>
  <si>
    <t>United States and Canada (UCAN)</t>
  </si>
  <si>
    <t>As of / Year Ended</t>
  </si>
  <si>
    <t>Revenues (1)</t>
  </si>
  <si>
    <t>Europe, Middle East and Africa (EMEA)</t>
  </si>
  <si>
    <t>Latin America (LATAM)</t>
  </si>
  <si>
    <t>Asia-Pacific (APAC)</t>
  </si>
  <si>
    <t>Short-term debt</t>
  </si>
  <si>
    <t>Net cash provided by (used in) operating activities</t>
  </si>
  <si>
    <t>Foreign currency remeasurement loss (gain) on debt</t>
  </si>
  <si>
    <t>Additions to content assets</t>
  </si>
  <si>
    <t>Change in content liabilities</t>
  </si>
  <si>
    <t>Amortization of content assets</t>
  </si>
  <si>
    <t>Net cash used in investing activities</t>
  </si>
  <si>
    <t>Current content liabilities</t>
  </si>
  <si>
    <t>Other non-current assets</t>
  </si>
  <si>
    <t>Other non-cash items</t>
  </si>
  <si>
    <t>Paid net membership additions (losses)</t>
  </si>
  <si>
    <t>Paid net membership additions</t>
  </si>
  <si>
    <t>Paid memberships at end of period</t>
  </si>
  <si>
    <t>Average paying memberships</t>
  </si>
  <si>
    <t>% change as compared to prior-year period</t>
  </si>
  <si>
    <t>Constant currency % change as compared to prior-year period*</t>
  </si>
  <si>
    <t>Deferred income taxes</t>
  </si>
  <si>
    <t>(in thousands, except for average revenue per membership and percentages)</t>
  </si>
  <si>
    <t>Net cash provided by (used in) financing activities</t>
  </si>
  <si>
    <t>Content assets, net</t>
  </si>
  <si>
    <t>* The company believes that constant currency information is useful in analyzing the underlying trends in average revenue per membership.  In order to exclude the effect of foreign currency rate fluctuations on average revenue per membership, the Company estimates the current period revenue assuming foreign exchange rates had remained constant with foreign exchange rates from each of the corresponding months of the prior-year period.</t>
  </si>
  <si>
    <t>Average revenue per membership (2)</t>
  </si>
  <si>
    <t>(2) Average revenue per membership (ARM) is defined as streaming revenue divided by the average number of streaming paid memberships divided by the number of months in the period. These figures do not include sales taxes or VAT.</t>
  </si>
  <si>
    <t>Treasury stock at cost</t>
  </si>
  <si>
    <t>(1) Excludes DVD revenues of $239 million, $182 million and $40 million for the years ended December 31, 2020, 2021, and the three months ended March 31, 2022, respectively.  Total US revenues for the years ended December 31, 2020, 2021, and the three months ended March 31, 2022 were $10.8 billion, $12.1 billion and $3.1 billion, respectively.</t>
  </si>
  <si>
    <t>Q120</t>
  </si>
  <si>
    <t>Q220</t>
  </si>
  <si>
    <t>Q320</t>
  </si>
  <si>
    <t>Q420</t>
  </si>
  <si>
    <t>Q121</t>
  </si>
  <si>
    <t>Q221</t>
  </si>
  <si>
    <t>Q321</t>
  </si>
  <si>
    <t>Q421</t>
  </si>
  <si>
    <t>Q122</t>
  </si>
  <si>
    <t>Taxes</t>
  </si>
  <si>
    <t>Interest</t>
  </si>
  <si>
    <t>Pretax Income</t>
  </si>
  <si>
    <t>Tech &amp; Dev</t>
  </si>
  <si>
    <t>G&amp;A</t>
  </si>
  <si>
    <t>Q222</t>
  </si>
  <si>
    <t>Main</t>
  </si>
  <si>
    <t>WW Subs</t>
  </si>
  <si>
    <t>Price</t>
  </si>
  <si>
    <t>Shares</t>
  </si>
  <si>
    <t>MC</t>
  </si>
  <si>
    <t>Cash</t>
  </si>
  <si>
    <t>Debt</t>
  </si>
  <si>
    <t>EV</t>
  </si>
  <si>
    <t>US Subs</t>
  </si>
  <si>
    <t>EMEA</t>
  </si>
  <si>
    <t>COGS</t>
  </si>
  <si>
    <t>Gross Margin</t>
  </si>
  <si>
    <t>Operating Expenses</t>
  </si>
  <si>
    <t>Operating Income</t>
  </si>
  <si>
    <t>Revenue y/y</t>
  </si>
  <si>
    <t>Latin America</t>
  </si>
  <si>
    <t>APAC</t>
  </si>
  <si>
    <t>Subs y/y</t>
  </si>
  <si>
    <t>Q322</t>
  </si>
  <si>
    <t>Q422</t>
  </si>
  <si>
    <t>Q123</t>
  </si>
  <si>
    <t>Q223</t>
  </si>
  <si>
    <t>Q323</t>
  </si>
  <si>
    <t>Q423</t>
  </si>
  <si>
    <t>Q124</t>
  </si>
  <si>
    <t>Q224</t>
  </si>
  <si>
    <t>Q324</t>
  </si>
  <si>
    <t>Q424</t>
  </si>
  <si>
    <t>Q125</t>
  </si>
  <si>
    <t>Q225</t>
  </si>
  <si>
    <t>Q325</t>
  </si>
  <si>
    <t>Q425</t>
  </si>
  <si>
    <t>OCA</t>
  </si>
  <si>
    <t>Content</t>
  </si>
  <si>
    <t>PP&amp;E</t>
  </si>
  <si>
    <t>ONCL</t>
  </si>
  <si>
    <t>DR</t>
  </si>
  <si>
    <t>Accrued</t>
  </si>
  <si>
    <t>AP</t>
  </si>
  <si>
    <t>L+SE</t>
  </si>
  <si>
    <t>SE</t>
  </si>
  <si>
    <t>Net Cash</t>
  </si>
  <si>
    <t>Reported NI</t>
  </si>
  <si>
    <t>Content additions</t>
  </si>
  <si>
    <t>Content amortization</t>
  </si>
  <si>
    <t>CFFO</t>
  </si>
  <si>
    <t>WC</t>
  </si>
  <si>
    <t>DT</t>
  </si>
  <si>
    <t>Other</t>
  </si>
  <si>
    <t>FX</t>
  </si>
  <si>
    <t>SBC</t>
  </si>
  <si>
    <t>D&amp;A</t>
  </si>
  <si>
    <t>Model NI</t>
  </si>
  <si>
    <t>Investments</t>
  </si>
  <si>
    <t>CFFI</t>
  </si>
  <si>
    <t>Stock</t>
  </si>
  <si>
    <t>CFFF</t>
  </si>
  <si>
    <t>CIC</t>
  </si>
  <si>
    <t>US Revenue</t>
  </si>
  <si>
    <t>LATAM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</si>
</sst>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8" formatCode="&quot;$&quot;#,##0.00_);[Red]\(&quot;$&quot;#,##0.00\)"/>
    <numFmt numFmtId="44" formatCode="_(&quot;$&quot;* #,##0.00_);_(&quot;$&quot;* \(#,##0.00\);_(&quot;$&quot;* &quot;-&quot;??_);_(@_)"/>
    <numFmt numFmtId="43" formatCode="_(* #,##0.00_);_(* \(#,##0.00\);_(* &quot;-&quot;??_);_(@_)"/>
    <numFmt numFmtId="164" formatCode="&quot;$&quot;* #,###\ ;&quot;$&quot;* \(#,###\);&quot;$&quot;* \-\ "/>
    <numFmt numFmtId="165" formatCode="_([$€-2]* #,##0.00_);_([$€-2]* \(#,##0.00\);_([$€-2]* &quot;-&quot;??_)"/>
    <numFmt numFmtId="166" formatCode="_(* #,##0_);_(* \(#,##0\);_(* &quot;-&quot;??_);_(@_)"/>
    <numFmt numFmtId="167" formatCode="#,##0.0\ ;\(#,##0.0\)"/>
    <numFmt numFmtId="168" formatCode="_(&quot;$&quot;* #,##0_);_(&quot;$&quot;* \(#,##0\);_(&quot;$&quot;* &quot;-&quot;??_);_(@_)"/>
    <numFmt numFmtId="169" formatCode="0.0%;[Red]\(0.0%\)"/>
    <numFmt numFmtId="170" formatCode="&quot;$&quot;#,##0"/>
  </numFmts>
  <fonts count="23" x14ac:knownFonts="1">
    <font>
      <sz val="10"/>
      <name val="Arial"/>
    </font>
    <font>
      <sz val="11"/>
      <color theme="1"/>
      <name val="Calibri"/>
      <family val="2"/>
      <scheme val="minor"/>
    </font>
    <font>
      <sz val="10"/>
      <name val="Calibri"/>
      <family val="2"/>
      <scheme val="minor"/>
    </font>
    <font>
      <sz val="10"/>
      <name val="Calibri"/>
      <family val="2"/>
    </font>
    <font>
      <sz val="10"/>
      <name val="Helv"/>
    </font>
    <font>
      <b/>
      <sz val="10"/>
      <name val="Calibri"/>
      <family val="2"/>
      <scheme val="minor"/>
    </font>
    <font>
      <sz val="10"/>
      <name val="Arial"/>
      <family val="2"/>
    </font>
    <font>
      <b/>
      <sz val="10"/>
      <color indexed="8"/>
      <name val="Calibri"/>
      <family val="2"/>
      <scheme val="minor"/>
    </font>
    <font>
      <sz val="10"/>
      <color indexed="8"/>
      <name val="Calibri"/>
      <family val="2"/>
      <scheme val="minor"/>
    </font>
    <font>
      <b/>
      <u/>
      <sz val="10"/>
      <name val="Calibri"/>
      <family val="2"/>
      <scheme val="minor"/>
    </font>
    <font>
      <b/>
      <sz val="12"/>
      <name val="Calibri"/>
      <family val="2"/>
      <scheme val="minor"/>
    </font>
    <font>
      <b/>
      <i/>
      <sz val="10"/>
      <name val="Calibri"/>
      <family val="2"/>
      <scheme val="minor"/>
    </font>
    <font>
      <sz val="10"/>
      <name val="Tms Rmn"/>
    </font>
    <font>
      <b/>
      <sz val="11"/>
      <name val="Calibri"/>
      <family val="2"/>
      <scheme val="minor"/>
    </font>
    <font>
      <b/>
      <u/>
      <sz val="10"/>
      <name val="Arial"/>
      <family val="2"/>
    </font>
    <font>
      <b/>
      <sz val="10"/>
      <name val="Arial"/>
      <family val="2"/>
    </font>
    <font>
      <sz val="10"/>
      <color rgb="FF222222"/>
      <name val="Arial"/>
      <family val="2"/>
    </font>
    <font>
      <sz val="10"/>
      <color indexed="12"/>
      <name val="Arial"/>
      <family val="2"/>
    </font>
    <font>
      <sz val="10"/>
      <color indexed="8"/>
      <name val="Arial"/>
      <family val="2"/>
    </font>
    <font>
      <b/>
      <sz val="10"/>
      <color indexed="8"/>
      <name val="Arial"/>
      <family val="2"/>
    </font>
    <font>
      <b/>
      <i/>
      <sz val="10"/>
      <color indexed="8"/>
      <name val="Arial"/>
      <family val="2"/>
    </font>
    <font>
      <b/>
      <i/>
      <sz val="10"/>
      <name val="Arial"/>
      <family val="2"/>
    </font>
    <font>
      <sz val="10"/>
      <color indexed="17"/>
      <name val="Arial"/>
      <family val="2"/>
    </font>
  </fonts>
  <fills count="4">
    <fill>
      <patternFill patternType="none"/>
    </fill>
    <fill>
      <patternFill patternType="gray125"/>
    </fill>
    <fill>
      <patternFill patternType="solid">
        <fgColor theme="0" tint="-0.249977111117893"/>
        <bgColor indexed="64"/>
      </patternFill>
    </fill>
    <fill>
      <patternFill patternType="solid">
        <fgColor indexed="9"/>
        <bgColor indexed="64"/>
      </patternFill>
    </fill>
  </fills>
  <borders count="4">
    <border>
      <left/>
      <right/>
      <top/>
      <bottom/>
      <diagonal/>
    </border>
    <border>
      <left/>
      <right/>
      <top style="thin">
        <color auto="1"/>
      </top>
      <bottom style="medium">
        <color auto="1"/>
      </bottom>
      <diagonal/>
    </border>
    <border>
      <left/>
      <right/>
      <top/>
      <bottom style="thin">
        <color auto="1"/>
      </bottom>
      <diagonal/>
    </border>
    <border>
      <left/>
      <right/>
      <top style="thin">
        <color auto="1"/>
      </top>
      <bottom style="thin">
        <color auto="1"/>
      </bottom>
      <diagonal/>
    </border>
  </borders>
  <cellStyleXfs count="9">
    <xf numFmtId="0" fontId="0" fillId="0" borderId="0"/>
    <xf numFmtId="43" fontId="6" fillId="0" borderId="0" applyFont="0" applyFill="0" applyBorder="0" applyAlignment="0" applyProtection="0"/>
    <xf numFmtId="44" fontId="6" fillId="0" borderId="0" applyFont="0" applyFill="0" applyBorder="0" applyAlignment="0" applyProtection="0"/>
    <xf numFmtId="0" fontId="4" fillId="0" borderId="0"/>
    <xf numFmtId="0" fontId="4" fillId="0" borderId="0"/>
    <xf numFmtId="0" fontId="6" fillId="0" borderId="0"/>
    <xf numFmtId="9" fontId="6" fillId="0" borderId="0" applyFont="0" applyFill="0" applyBorder="0" applyAlignment="0" applyProtection="0"/>
    <xf numFmtId="37" fontId="12" fillId="0" borderId="0"/>
    <xf numFmtId="9" fontId="1" fillId="0" borderId="0" applyFont="0" applyFill="0" applyBorder="0" applyAlignment="0" applyProtection="0"/>
  </cellStyleXfs>
  <cellXfs count="139">
    <xf numFmtId="0" fontId="0" fillId="0" borderId="0" xfId="0"/>
    <xf numFmtId="0" fontId="2" fillId="0" borderId="0" xfId="0" applyFont="1"/>
    <xf numFmtId="0" fontId="2" fillId="0" borderId="0" xfId="3" applyFont="1"/>
    <xf numFmtId="0" fontId="2" fillId="0" borderId="0" xfId="3" quotePrefix="1" applyFont="1"/>
    <xf numFmtId="0" fontId="5" fillId="0" borderId="0" xfId="3" applyFont="1"/>
    <xf numFmtId="165" fontId="2" fillId="0" borderId="0" xfId="0" applyNumberFormat="1" applyFont="1"/>
    <xf numFmtId="0" fontId="5" fillId="0" borderId="0" xfId="0" applyFont="1"/>
    <xf numFmtId="166" fontId="5" fillId="0" borderId="0" xfId="0" applyNumberFormat="1" applyFont="1"/>
    <xf numFmtId="166" fontId="8" fillId="0" borderId="0" xfId="1" applyNumberFormat="1" applyFont="1" applyFill="1" applyBorder="1"/>
    <xf numFmtId="166" fontId="7" fillId="2" borderId="0" xfId="1" applyNumberFormat="1" applyFont="1" applyFill="1" applyBorder="1"/>
    <xf numFmtId="166" fontId="8" fillId="0" borderId="2" xfId="1" applyNumberFormat="1" applyFont="1" applyFill="1" applyBorder="1"/>
    <xf numFmtId="166" fontId="7" fillId="2" borderId="2" xfId="1" applyNumberFormat="1" applyFont="1" applyFill="1" applyBorder="1"/>
    <xf numFmtId="0" fontId="2" fillId="0" borderId="0" xfId="3" applyFont="1" applyAlignment="1">
      <alignment horizontal="left" wrapText="1"/>
    </xf>
    <xf numFmtId="0" fontId="2" fillId="3" borderId="0" xfId="3" applyFont="1" applyFill="1"/>
    <xf numFmtId="164" fontId="8" fillId="0" borderId="0" xfId="1" applyNumberFormat="1" applyFont="1" applyFill="1" applyBorder="1"/>
    <xf numFmtId="164" fontId="8" fillId="2" borderId="0" xfId="1" applyNumberFormat="1" applyFont="1" applyFill="1" applyBorder="1"/>
    <xf numFmtId="0" fontId="5" fillId="2" borderId="0" xfId="0" applyFont="1" applyFill="1"/>
    <xf numFmtId="0" fontId="9" fillId="0" borderId="0" xfId="4" applyFont="1" applyAlignment="1">
      <alignment horizontal="center"/>
    </xf>
    <xf numFmtId="0" fontId="9" fillId="2" borderId="0" xfId="4" applyFont="1" applyFill="1" applyAlignment="1">
      <alignment horizontal="center"/>
    </xf>
    <xf numFmtId="0" fontId="2" fillId="0" borderId="0" xfId="4" applyFont="1"/>
    <xf numFmtId="167" fontId="5" fillId="0" borderId="0" xfId="4" applyNumberFormat="1" applyFont="1" applyAlignment="1">
      <alignment horizontal="center"/>
    </xf>
    <xf numFmtId="0" fontId="5" fillId="2" borderId="0" xfId="4" applyFont="1" applyFill="1" applyAlignment="1">
      <alignment horizontal="center"/>
    </xf>
    <xf numFmtId="0" fontId="5" fillId="0" borderId="0" xfId="4" applyFont="1"/>
    <xf numFmtId="0" fontId="10" fillId="0" borderId="0" xfId="4" applyFont="1"/>
    <xf numFmtId="165" fontId="2" fillId="0" borderId="0" xfId="5" applyNumberFormat="1" applyFont="1"/>
    <xf numFmtId="165" fontId="5" fillId="0" borderId="0" xfId="5" applyNumberFormat="1" applyFont="1"/>
    <xf numFmtId="165" fontId="2" fillId="0" borderId="0" xfId="5" applyNumberFormat="1" applyFont="1" applyAlignment="1">
      <alignment horizontal="left"/>
    </xf>
    <xf numFmtId="166" fontId="5" fillId="2" borderId="0" xfId="1" applyNumberFormat="1" applyFont="1" applyFill="1" applyBorder="1"/>
    <xf numFmtId="166" fontId="2" fillId="0" borderId="0" xfId="1" applyNumberFormat="1" applyFont="1" applyFill="1"/>
    <xf numFmtId="166" fontId="2" fillId="0" borderId="0" xfId="1" applyNumberFormat="1" applyFont="1" applyFill="1" applyBorder="1"/>
    <xf numFmtId="166" fontId="5" fillId="2" borderId="0" xfId="1" applyNumberFormat="1" applyFont="1" applyFill="1"/>
    <xf numFmtId="0" fontId="2" fillId="0" borderId="0" xfId="5" applyFont="1" applyAlignment="1">
      <alignment horizontal="left"/>
    </xf>
    <xf numFmtId="0" fontId="2" fillId="0" borderId="0" xfId="5" applyFont="1"/>
    <xf numFmtId="165" fontId="5" fillId="2" borderId="0" xfId="5" applyNumberFormat="1" applyFont="1" applyFill="1"/>
    <xf numFmtId="165" fontId="11" fillId="0" borderId="0" xfId="4" applyNumberFormat="1" applyFont="1"/>
    <xf numFmtId="165" fontId="2" fillId="0" borderId="0" xfId="4" applyNumberFormat="1" applyFont="1"/>
    <xf numFmtId="167" fontId="5" fillId="2" borderId="0" xfId="5" applyNumberFormat="1" applyFont="1" applyFill="1"/>
    <xf numFmtId="37" fontId="2" fillId="0" borderId="0" xfId="7" applyFont="1"/>
    <xf numFmtId="0" fontId="13" fillId="0" borderId="0" xfId="4" applyFont="1"/>
    <xf numFmtId="166" fontId="3" fillId="0" borderId="0" xfId="1" applyNumberFormat="1" applyFont="1"/>
    <xf numFmtId="166" fontId="5" fillId="0" borderId="0" xfId="1" applyNumberFormat="1" applyFont="1" applyFill="1" applyBorder="1"/>
    <xf numFmtId="166" fontId="3" fillId="0" borderId="2" xfId="1" applyNumberFormat="1" applyFont="1" applyBorder="1"/>
    <xf numFmtId="168" fontId="2" fillId="0" borderId="0" xfId="5" applyNumberFormat="1" applyFont="1"/>
    <xf numFmtId="168" fontId="2" fillId="0" borderId="0" xfId="1" applyNumberFormat="1" applyFont="1" applyFill="1" applyBorder="1"/>
    <xf numFmtId="168" fontId="5" fillId="2" borderId="0" xfId="1" applyNumberFormat="1" applyFont="1" applyFill="1" applyBorder="1"/>
    <xf numFmtId="2" fontId="2" fillId="0" borderId="0" xfId="5" applyNumberFormat="1" applyFont="1"/>
    <xf numFmtId="0" fontId="9" fillId="0" borderId="0" xfId="4" applyFont="1"/>
    <xf numFmtId="0" fontId="9" fillId="2" borderId="0" xfId="4" applyFont="1" applyFill="1" applyAlignment="1">
      <alignment horizontal="center" wrapText="1"/>
    </xf>
    <xf numFmtId="0" fontId="5" fillId="0" borderId="0" xfId="4" applyFont="1" applyAlignment="1">
      <alignment horizontal="center"/>
    </xf>
    <xf numFmtId="170" fontId="2" fillId="0" borderId="0" xfId="0" applyNumberFormat="1" applyFont="1"/>
    <xf numFmtId="8" fontId="2" fillId="0" borderId="0" xfId="1" applyNumberFormat="1" applyFont="1" applyFill="1" applyBorder="1"/>
    <xf numFmtId="8" fontId="5" fillId="2" borderId="0" xfId="1" applyNumberFormat="1" applyFont="1" applyFill="1" applyBorder="1"/>
    <xf numFmtId="9" fontId="2" fillId="0" borderId="0" xfId="8" applyFont="1" applyFill="1" applyBorder="1"/>
    <xf numFmtId="9" fontId="5" fillId="2" borderId="0" xfId="8" applyFont="1" applyFill="1" applyBorder="1"/>
    <xf numFmtId="168" fontId="5" fillId="0" borderId="0" xfId="2" applyNumberFormat="1" applyFont="1" applyFill="1" applyBorder="1"/>
    <xf numFmtId="165" fontId="5" fillId="0" borderId="0" xfId="5" applyNumberFormat="1" applyFont="1" applyAlignment="1">
      <alignment horizontal="left"/>
    </xf>
    <xf numFmtId="166" fontId="3" fillId="0" borderId="0" xfId="1" applyNumberFormat="1" applyFont="1" applyBorder="1"/>
    <xf numFmtId="168" fontId="3" fillId="0" borderId="0" xfId="2" applyNumberFormat="1" applyFont="1"/>
    <xf numFmtId="168" fontId="7" fillId="2" borderId="0" xfId="2" applyNumberFormat="1" applyFont="1" applyFill="1" applyBorder="1" applyProtection="1"/>
    <xf numFmtId="168" fontId="7" fillId="0" borderId="1" xfId="2" applyNumberFormat="1" applyFont="1" applyFill="1" applyBorder="1"/>
    <xf numFmtId="168" fontId="7" fillId="2" borderId="1" xfId="2" applyNumberFormat="1" applyFont="1" applyFill="1" applyBorder="1"/>
    <xf numFmtId="168" fontId="8" fillId="0" borderId="0" xfId="2" applyNumberFormat="1" applyFont="1" applyFill="1" applyBorder="1"/>
    <xf numFmtId="165" fontId="2" fillId="0" borderId="0" xfId="5" applyNumberFormat="1" applyFont="1" applyAlignment="1">
      <alignment wrapText="1"/>
    </xf>
    <xf numFmtId="0" fontId="9" fillId="0" borderId="0" xfId="5" applyFont="1" applyAlignment="1">
      <alignment wrapText="1"/>
    </xf>
    <xf numFmtId="0" fontId="9" fillId="0" borderId="0" xfId="4" applyFont="1" applyAlignment="1">
      <alignment horizontal="center" wrapText="1"/>
    </xf>
    <xf numFmtId="168" fontId="5" fillId="0" borderId="0" xfId="1" applyNumberFormat="1" applyFont="1" applyFill="1" applyBorder="1"/>
    <xf numFmtId="8" fontId="5" fillId="0" borderId="0" xfId="1" applyNumberFormat="1" applyFont="1" applyFill="1" applyBorder="1"/>
    <xf numFmtId="9" fontId="5" fillId="0" borderId="0" xfId="8" applyFont="1" applyFill="1" applyBorder="1"/>
    <xf numFmtId="167" fontId="5" fillId="0" borderId="0" xfId="5" applyNumberFormat="1" applyFont="1"/>
    <xf numFmtId="166" fontId="5" fillId="0" borderId="0" xfId="1" applyNumberFormat="1" applyFont="1" applyFill="1"/>
    <xf numFmtId="0" fontId="9" fillId="0" borderId="0" xfId="5" applyFont="1" applyAlignment="1">
      <alignment horizontal="center" wrapText="1"/>
    </xf>
    <xf numFmtId="0" fontId="6" fillId="0" borderId="0" xfId="5"/>
    <xf numFmtId="0" fontId="6" fillId="0" borderId="0" xfId="4" applyFont="1"/>
    <xf numFmtId="167" fontId="15" fillId="0" borderId="0" xfId="4" applyNumberFormat="1" applyFont="1" applyAlignment="1">
      <alignment horizontal="center"/>
    </xf>
    <xf numFmtId="167" fontId="15" fillId="2" borderId="0" xfId="4" applyNumberFormat="1" applyFont="1" applyFill="1" applyAlignment="1">
      <alignment horizontal="center"/>
    </xf>
    <xf numFmtId="0" fontId="14" fillId="0" borderId="0" xfId="4" applyFont="1" applyAlignment="1">
      <alignment horizontal="center"/>
    </xf>
    <xf numFmtId="3" fontId="6" fillId="0" borderId="0" xfId="0" applyNumberFormat="1" applyFont="1" applyAlignment="1">
      <alignment horizontal="right" wrapText="1"/>
    </xf>
    <xf numFmtId="3" fontId="6" fillId="0" borderId="0" xfId="5" applyNumberFormat="1"/>
    <xf numFmtId="0" fontId="6" fillId="0" borderId="0" xfId="4" applyFont="1" applyAlignment="1">
      <alignment horizontal="right"/>
    </xf>
    <xf numFmtId="0" fontId="15" fillId="0" borderId="0" xfId="4" applyFont="1"/>
    <xf numFmtId="168" fontId="15" fillId="2" borderId="0" xfId="2" applyNumberFormat="1" applyFont="1" applyFill="1" applyBorder="1"/>
    <xf numFmtId="166" fontId="15" fillId="2" borderId="0" xfId="1" applyNumberFormat="1" applyFont="1" applyFill="1" applyBorder="1"/>
    <xf numFmtId="0" fontId="16" fillId="0" borderId="0" xfId="5" applyFont="1"/>
    <xf numFmtId="0" fontId="6" fillId="0" borderId="0" xfId="5" applyAlignment="1">
      <alignment horizontal="right"/>
    </xf>
    <xf numFmtId="3" fontId="6" fillId="0" borderId="0" xfId="5" applyNumberFormat="1" applyAlignment="1">
      <alignment horizontal="right"/>
    </xf>
    <xf numFmtId="3" fontId="6" fillId="0" borderId="0" xfId="2" applyNumberFormat="1" applyFont="1" applyFill="1" applyBorder="1" applyAlignment="1">
      <alignment horizontal="right"/>
    </xf>
    <xf numFmtId="4" fontId="6" fillId="0" borderId="0" xfId="2" applyNumberFormat="1" applyFont="1" applyFill="1" applyBorder="1" applyAlignment="1">
      <alignment horizontal="right"/>
    </xf>
    <xf numFmtId="166" fontId="15" fillId="0" borderId="0" xfId="1" applyNumberFormat="1" applyFont="1" applyFill="1" applyBorder="1"/>
    <xf numFmtId="0" fontId="6" fillId="0" borderId="0" xfId="0" applyFont="1"/>
    <xf numFmtId="4" fontId="0" fillId="0" borderId="0" xfId="0" applyNumberFormat="1"/>
    <xf numFmtId="0" fontId="6" fillId="0" borderId="0" xfId="0" applyFont="1" applyAlignment="1">
      <alignment horizontal="right"/>
    </xf>
    <xf numFmtId="0" fontId="0" fillId="0" borderId="0" xfId="0" applyAlignment="1">
      <alignment horizontal="right"/>
    </xf>
    <xf numFmtId="3" fontId="0" fillId="0" borderId="0" xfId="0" applyNumberFormat="1"/>
    <xf numFmtId="3" fontId="6" fillId="0" borderId="0" xfId="4" applyNumberFormat="1" applyFont="1"/>
    <xf numFmtId="3" fontId="6" fillId="0" borderId="0" xfId="4" applyNumberFormat="1" applyFont="1" applyAlignment="1">
      <alignment horizontal="right"/>
    </xf>
    <xf numFmtId="166" fontId="6" fillId="0" borderId="0" xfId="1" applyNumberFormat="1" applyFont="1" applyFill="1" applyBorder="1"/>
    <xf numFmtId="0" fontId="14" fillId="0" borderId="0" xfId="4" applyFont="1" applyAlignment="1">
      <alignment horizontal="right"/>
    </xf>
    <xf numFmtId="3" fontId="14" fillId="0" borderId="0" xfId="4" applyNumberFormat="1" applyFont="1" applyAlignment="1">
      <alignment horizontal="right"/>
    </xf>
    <xf numFmtId="3" fontId="6" fillId="0" borderId="0" xfId="1" applyNumberFormat="1" applyFont="1" applyFill="1" applyBorder="1" applyAlignment="1">
      <alignment horizontal="right"/>
    </xf>
    <xf numFmtId="167" fontId="14" fillId="2" borderId="0" xfId="4" applyNumberFormat="1" applyFont="1" applyFill="1" applyAlignment="1">
      <alignment horizontal="center" wrapText="1"/>
    </xf>
    <xf numFmtId="0" fontId="14" fillId="0" borderId="0" xfId="5" applyFont="1" applyAlignment="1">
      <alignment horizontal="center"/>
    </xf>
    <xf numFmtId="166" fontId="17" fillId="0" borderId="0" xfId="1" applyNumberFormat="1" applyFont="1" applyFill="1" applyBorder="1"/>
    <xf numFmtId="1" fontId="14" fillId="2" borderId="0" xfId="4" applyNumberFormat="1" applyFont="1" applyFill="1" applyAlignment="1">
      <alignment horizontal="center"/>
    </xf>
    <xf numFmtId="0" fontId="6" fillId="0" borderId="0" xfId="3" applyFont="1"/>
    <xf numFmtId="0" fontId="15" fillId="2" borderId="0" xfId="5" applyFont="1" applyFill="1"/>
    <xf numFmtId="166" fontId="18" fillId="0" borderId="0" xfId="1" applyNumberFormat="1" applyFont="1" applyFill="1" applyBorder="1"/>
    <xf numFmtId="164" fontId="6" fillId="0" borderId="0" xfId="1" applyNumberFormat="1" applyFont="1" applyFill="1" applyBorder="1"/>
    <xf numFmtId="166" fontId="6" fillId="0" borderId="0" xfId="1" applyNumberFormat="1" applyFont="1" applyFill="1"/>
    <xf numFmtId="166" fontId="6" fillId="0" borderId="2" xfId="1" applyNumberFormat="1" applyFont="1" applyFill="1" applyBorder="1"/>
    <xf numFmtId="166" fontId="6" fillId="0" borderId="3" xfId="1" applyNumberFormat="1" applyFont="1" applyFill="1" applyBorder="1"/>
    <xf numFmtId="166" fontId="15" fillId="2" borderId="3" xfId="1" applyNumberFormat="1" applyFont="1" applyFill="1" applyBorder="1"/>
    <xf numFmtId="166" fontId="19" fillId="0" borderId="0" xfId="1" applyNumberFormat="1" applyFont="1" applyFill="1" applyBorder="1"/>
    <xf numFmtId="164" fontId="6" fillId="0" borderId="0" xfId="3" applyNumberFormat="1" applyFont="1"/>
    <xf numFmtId="164" fontId="6" fillId="0" borderId="1" xfId="1" applyNumberFormat="1" applyFont="1" applyFill="1" applyBorder="1"/>
    <xf numFmtId="164" fontId="15" fillId="2" borderId="1" xfId="1" applyNumberFormat="1" applyFont="1" applyFill="1" applyBorder="1"/>
    <xf numFmtId="169" fontId="20" fillId="0" borderId="0" xfId="6" applyNumberFormat="1" applyFont="1" applyFill="1" applyBorder="1"/>
    <xf numFmtId="169" fontId="15" fillId="0" borderId="0" xfId="4" applyNumberFormat="1" applyFont="1"/>
    <xf numFmtId="0" fontId="15" fillId="2" borderId="0" xfId="3" applyFont="1" applyFill="1"/>
    <xf numFmtId="169" fontId="21" fillId="0" borderId="0" xfId="4" applyNumberFormat="1" applyFont="1"/>
    <xf numFmtId="166" fontId="22" fillId="0" borderId="0" xfId="1" applyNumberFormat="1" applyFont="1" applyFill="1" applyBorder="1"/>
    <xf numFmtId="164" fontId="6" fillId="0" borderId="1" xfId="3" applyNumberFormat="1" applyFont="1" applyBorder="1"/>
    <xf numFmtId="164" fontId="15" fillId="2" borderId="1" xfId="3" applyNumberFormat="1" applyFont="1" applyFill="1" applyBorder="1"/>
    <xf numFmtId="9" fontId="6" fillId="0" borderId="0" xfId="5" applyNumberFormat="1" applyAlignment="1">
      <alignment horizontal="right"/>
    </xf>
    <xf numFmtId="0" fontId="15" fillId="0" borderId="0" xfId="4" applyFont="1" applyAlignment="1">
      <alignment horizontal="right"/>
    </xf>
    <xf numFmtId="3" fontId="15" fillId="0" borderId="0" xfId="4" applyNumberFormat="1" applyFont="1" applyAlignment="1">
      <alignment horizontal="right"/>
    </xf>
    <xf numFmtId="0" fontId="15" fillId="0" borderId="0" xfId="5" applyFont="1"/>
    <xf numFmtId="3" fontId="15" fillId="0" borderId="0" xfId="5" applyNumberFormat="1" applyFont="1"/>
    <xf numFmtId="3" fontId="15" fillId="0" borderId="0" xfId="4" applyNumberFormat="1" applyFont="1"/>
    <xf numFmtId="3" fontId="15" fillId="0" borderId="0" xfId="2" applyNumberFormat="1" applyFont="1" applyBorder="1" applyAlignment="1">
      <alignment horizontal="right"/>
    </xf>
    <xf numFmtId="3" fontId="15" fillId="0" borderId="0" xfId="2" applyNumberFormat="1" applyFont="1" applyFill="1" applyBorder="1" applyAlignment="1">
      <alignment horizontal="right"/>
    </xf>
    <xf numFmtId="167" fontId="14" fillId="0" borderId="0" xfId="4" applyNumberFormat="1" applyFont="1" applyAlignment="1">
      <alignment horizontal="center"/>
    </xf>
    <xf numFmtId="0" fontId="14" fillId="0" borderId="0" xfId="5" applyFont="1" applyAlignment="1">
      <alignment horizontal="center"/>
    </xf>
    <xf numFmtId="0" fontId="9" fillId="0" borderId="0" xfId="5" applyFont="1" applyAlignment="1">
      <alignment horizontal="center" wrapText="1"/>
    </xf>
    <xf numFmtId="0" fontId="2" fillId="0" borderId="0" xfId="4" applyFont="1"/>
    <xf numFmtId="0" fontId="2" fillId="0" borderId="0" xfId="5" applyFont="1"/>
    <xf numFmtId="0" fontId="9" fillId="0" borderId="0" xfId="4" applyFont="1" applyAlignment="1">
      <alignment horizontal="center" wrapText="1"/>
    </xf>
    <xf numFmtId="165" fontId="2" fillId="0" borderId="0" xfId="5" applyNumberFormat="1" applyFont="1" applyAlignment="1">
      <alignment horizontal="left" wrapText="1"/>
    </xf>
    <xf numFmtId="3" fontId="6" fillId="0" borderId="0" xfId="5" applyNumberFormat="1" applyFont="1"/>
    <xf numFmtId="4" fontId="6" fillId="0" borderId="0" xfId="5" applyNumberFormat="1"/>
  </cellXfs>
  <cellStyles count="9">
    <cellStyle name="Comma" xfId="1" builtinId="3"/>
    <cellStyle name="Currency" xfId="2" builtinId="4"/>
    <cellStyle name="Normal" xfId="0" builtinId="0"/>
    <cellStyle name="Normal 2" xfId="5" xr:uid="{00000000-0005-0000-0000-000003000000}"/>
    <cellStyle name="Normal_BalanceSheets" xfId="3" xr:uid="{00000000-0005-0000-0000-000004000000}"/>
    <cellStyle name="Normal_financial statements" xfId="7" xr:uid="{00000000-0005-0000-0000-000005000000}"/>
    <cellStyle name="Normal_Income Statements" xfId="4" xr:uid="{00000000-0005-0000-0000-000006000000}"/>
    <cellStyle name="Percent 10" xfId="6" xr:uid="{00000000-0005-0000-0000-000007000000}"/>
    <cellStyle name="Percent 2" xfId="8" xr:uid="{3CB13624-6A3D-48FA-A6B3-7C85C0E75D4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3.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externalLink" Target="externalLinks/externalLink2.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externalLink" Target="externalLinks/externalLink6.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25</xdr:col>
      <xdr:colOff>43793</xdr:colOff>
      <xdr:row>0</xdr:row>
      <xdr:rowOff>0</xdr:rowOff>
    </xdr:from>
    <xdr:to>
      <xdr:col>25</xdr:col>
      <xdr:colOff>43793</xdr:colOff>
      <xdr:row>73</xdr:row>
      <xdr:rowOff>118241</xdr:rowOff>
    </xdr:to>
    <xdr:cxnSp macro="">
      <xdr:nvCxnSpPr>
        <xdr:cNvPr id="3" name="Straight Connector 2">
          <a:extLst>
            <a:ext uri="{FF2B5EF4-FFF2-40B4-BE49-F238E27FC236}">
              <a16:creationId xmlns:a16="http://schemas.microsoft.com/office/drawing/2014/main" id="{88F948B9-FEF9-D2A9-20D8-563F7A69D4ED}"/>
            </a:ext>
          </a:extLst>
        </xdr:cNvPr>
        <xdr:cNvCxnSpPr/>
      </xdr:nvCxnSpPr>
      <xdr:spPr>
        <a:xfrm>
          <a:off x="18104069" y="0"/>
          <a:ext cx="0" cy="1090010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cpitgcfs06/mercury/WINNT/Profiles/krishi/LOCALS~1/Temp/Johncon%20BLT%20(11-2-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brittanyd/Documents/5%25%20Test/Mightyducks/Finance/Corp%20Finance/Stock/FY01/FY97/CSPIC96.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Users\jmacaraeg\Google%20Drive\00%20-%20Hard%20Drive\CFO%20Slide\Content%20REC\2015-Q3\ER%20book.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ebarclay/Downloads/Consolidated%20Balance%20Sheet.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nighthawk/orglic1/Mickr/Reporting/WWDashboard/WW%20Org%20Lic%20Scoreboard-AUG%20munge.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Users/brittanyd/Documents/5%25%20Test/J:/Wrldwide/MSFin/Flash/FLASH.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vsum - trend"/>
      <sheetName val="Cover"/>
      <sheetName val="Market Cap"/>
      <sheetName val="Mkt cap data"/>
      <sheetName val="Comp summary"/>
      <sheetName val="Growth summary"/>
      <sheetName val="MS"/>
      <sheetName val="Oracle"/>
      <sheetName val="Sun"/>
      <sheetName val="AOL"/>
      <sheetName val="IBM"/>
      <sheetName val="Yahoo"/>
      <sheetName val="October"/>
      <sheetName val="AugP&amp;L"/>
      <sheetName val="Implied Sept"/>
      <sheetName val="Sheet1"/>
      <sheetName val="October allocated"/>
      <sheetName val="Oct revsum"/>
      <sheetName val="Annuity alloc"/>
      <sheetName val="FY01"/>
      <sheetName val="Comm by area"/>
      <sheetName val="EndNotes"/>
      <sheetName val="USd to Pounds and Euros"/>
      <sheetName val="USD to BRL"/>
      <sheetName val="Sheet2"/>
      <sheetName val="PopCache_Sheet1"/>
      <sheetName val="BneLog"/>
      <sheetName val="A- Cover"/>
      <sheetName val="Review Checklist"/>
      <sheetName val="B- GL"/>
      <sheetName val="C- Subledger"/>
      <sheetName val="D- DR Schedules"/>
      <sheetName val="E- Rent Roll"/>
      <sheetName val="E-Rent Roll"/>
      <sheetName val="90 Albright Extension"/>
      <sheetName val="Beverly Hill - Amend #7"/>
      <sheetName val="E- July 2013 Rent Roll"/>
      <sheetName val="E- S2013 Rent Roll"/>
      <sheetName val="F- Beverly Hill - Combined"/>
      <sheetName val="G- OPEN TI ALLOWANCES"/>
      <sheetName val="E- Jan Rent"/>
      <sheetName val="F- TI"/>
      <sheetName val="G- BH 317 adjustment"/>
      <sheetName val="E- feb15 Rent"/>
      <sheetName val="H- A&amp;B Support"/>
      <sheetName val="F- Washington DC Lease 2 - Adj "/>
      <sheetName val="G- TI Support for 354 "/>
      <sheetName val="F- 358 TI "/>
      <sheetName val="F- TI support"/>
      <sheetName val="F- Updated 395 Schd."/>
      <sheetName val="E - APR 15 Rent"/>
      <sheetName val="H- updated A&amp;B"/>
      <sheetName val="E-May Ren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y 96"/>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
      <sheetName val="Income St Comparable"/>
      <sheetName val="Revenue Comp"/>
      <sheetName val="Income St Sequential"/>
      <sheetName val="Pro forma"/>
      <sheetName val="Source Formulas"/>
      <sheetName val="GAAP Summary"/>
      <sheetName val="Comp Qtrs W-O 1 time items"/>
      <sheetName val="A"/>
    </sheetNames>
    <sheetDataSet>
      <sheetData sheetId="0" refreshError="1">
        <row r="5">
          <cell r="F5" t="str">
            <v>Actuals - Penultimate-1 Fiscal Year</v>
          </cell>
          <cell r="J5" t="str">
            <v>Actuals - Penultimate Fiscal Year</v>
          </cell>
          <cell r="N5" t="str">
            <v>Actuals - Prior Fiscal Year</v>
          </cell>
          <cell r="R5" t="str">
            <v>Actuals - Current Fiscal Year</v>
          </cell>
        </row>
        <row r="6">
          <cell r="J6">
            <v>1</v>
          </cell>
          <cell r="K6">
            <v>2</v>
          </cell>
          <cell r="L6">
            <v>3</v>
          </cell>
          <cell r="M6">
            <v>4</v>
          </cell>
          <cell r="N6">
            <v>5</v>
          </cell>
          <cell r="O6">
            <v>6</v>
          </cell>
          <cell r="P6">
            <v>7</v>
          </cell>
          <cell r="Q6">
            <v>8</v>
          </cell>
          <cell r="R6">
            <v>9</v>
          </cell>
          <cell r="S6">
            <v>10</v>
          </cell>
          <cell r="T6">
            <v>11</v>
          </cell>
          <cell r="U6">
            <v>12</v>
          </cell>
        </row>
        <row r="7">
          <cell r="F7" t="str">
            <v>Q99-1</v>
          </cell>
          <cell r="G7" t="str">
            <v>Q99-2</v>
          </cell>
          <cell r="H7" t="str">
            <v>Q99-3</v>
          </cell>
          <cell r="I7" t="str">
            <v>Q99-4</v>
          </cell>
          <cell r="J7" t="str">
            <v>Q00-1</v>
          </cell>
          <cell r="K7" t="str">
            <v>Q00-2</v>
          </cell>
          <cell r="L7" t="str">
            <v>Q00-3</v>
          </cell>
          <cell r="M7" t="str">
            <v>Q00-4</v>
          </cell>
          <cell r="N7" t="str">
            <v>Q01-1</v>
          </cell>
          <cell r="O7" t="str">
            <v>Q01-2</v>
          </cell>
          <cell r="P7" t="str">
            <v>Q01-3</v>
          </cell>
          <cell r="Q7" t="str">
            <v>Q01-4</v>
          </cell>
          <cell r="R7">
            <v>37164</v>
          </cell>
          <cell r="S7">
            <v>37256</v>
          </cell>
          <cell r="T7">
            <v>37346</v>
          </cell>
          <cell r="U7">
            <v>37437</v>
          </cell>
        </row>
        <row r="9">
          <cell r="F9">
            <v>4193</v>
          </cell>
          <cell r="G9">
            <v>5195</v>
          </cell>
          <cell r="H9">
            <v>4595</v>
          </cell>
          <cell r="I9">
            <v>5764</v>
          </cell>
          <cell r="J9">
            <v>5384</v>
          </cell>
          <cell r="K9">
            <v>6112</v>
          </cell>
          <cell r="L9">
            <v>5656</v>
          </cell>
          <cell r="M9">
            <v>5804</v>
          </cell>
          <cell r="N9">
            <v>5766</v>
          </cell>
          <cell r="O9">
            <v>6550</v>
          </cell>
          <cell r="P9">
            <v>6403</v>
          </cell>
          <cell r="Q9">
            <v>6577</v>
          </cell>
          <cell r="R9">
            <v>6126</v>
          </cell>
          <cell r="S9">
            <v>7741</v>
          </cell>
          <cell r="T9">
            <v>7245</v>
          </cell>
        </row>
        <row r="10">
          <cell r="F10">
            <v>649</v>
          </cell>
          <cell r="G10">
            <v>788</v>
          </cell>
          <cell r="H10">
            <v>708</v>
          </cell>
          <cell r="I10">
            <v>669</v>
          </cell>
          <cell r="J10">
            <v>712</v>
          </cell>
          <cell r="K10">
            <v>756</v>
          </cell>
          <cell r="L10">
            <v>752</v>
          </cell>
          <cell r="M10">
            <v>782</v>
          </cell>
          <cell r="N10">
            <v>825</v>
          </cell>
          <cell r="O10">
            <v>864</v>
          </cell>
          <cell r="P10">
            <v>899</v>
          </cell>
          <cell r="Q10">
            <v>867</v>
          </cell>
          <cell r="R10">
            <v>884</v>
          </cell>
          <cell r="S10">
            <v>1544</v>
          </cell>
          <cell r="T10">
            <v>1395</v>
          </cell>
        </row>
        <row r="11">
          <cell r="F11">
            <v>3544</v>
          </cell>
          <cell r="G11">
            <v>4407</v>
          </cell>
          <cell r="H11">
            <v>3887</v>
          </cell>
          <cell r="I11">
            <v>5095</v>
          </cell>
          <cell r="J11">
            <v>4672</v>
          </cell>
          <cell r="K11">
            <v>5356</v>
          </cell>
          <cell r="L11">
            <v>4904</v>
          </cell>
          <cell r="M11">
            <v>5022</v>
          </cell>
          <cell r="N11">
            <v>4941</v>
          </cell>
          <cell r="O11">
            <v>5686</v>
          </cell>
          <cell r="P11">
            <v>5504</v>
          </cell>
          <cell r="Q11">
            <v>5710</v>
          </cell>
          <cell r="R11">
            <v>5242</v>
          </cell>
          <cell r="S11">
            <v>6197</v>
          </cell>
          <cell r="T11">
            <v>5850</v>
          </cell>
          <cell r="U11">
            <v>0</v>
          </cell>
        </row>
        <row r="12">
          <cell r="F12">
            <v>0.15478177915573574</v>
          </cell>
          <cell r="G12">
            <v>0.15168431183830605</v>
          </cell>
          <cell r="H12">
            <v>0.15408052230685529</v>
          </cell>
          <cell r="I12">
            <v>0.11606523247744621</v>
          </cell>
          <cell r="J12">
            <v>0.13224368499257058</v>
          </cell>
          <cell r="K12">
            <v>0.12369109947643979</v>
          </cell>
          <cell r="L12">
            <v>0.13295615275813297</v>
          </cell>
          <cell r="M12">
            <v>0.13473466574776016</v>
          </cell>
          <cell r="N12">
            <v>0.14308012486992716</v>
          </cell>
          <cell r="O12">
            <v>0.13190839694656489</v>
          </cell>
          <cell r="P12">
            <v>0.14040293612369201</v>
          </cell>
          <cell r="Q12">
            <v>0.13182301961380569</v>
          </cell>
          <cell r="R12">
            <v>0.14430297094351943</v>
          </cell>
          <cell r="S12">
            <v>0.19945743443999484</v>
          </cell>
        </row>
        <row r="13">
          <cell r="F13">
            <v>651</v>
          </cell>
          <cell r="G13">
            <v>715</v>
          </cell>
          <cell r="H13">
            <v>664</v>
          </cell>
          <cell r="I13">
            <v>940</v>
          </cell>
          <cell r="J13">
            <v>813</v>
          </cell>
          <cell r="K13">
            <v>898</v>
          </cell>
          <cell r="L13">
            <v>974</v>
          </cell>
          <cell r="M13">
            <v>1087</v>
          </cell>
          <cell r="N13">
            <v>956</v>
          </cell>
          <cell r="O13">
            <v>990</v>
          </cell>
          <cell r="P13">
            <v>1069</v>
          </cell>
          <cell r="Q13">
            <v>1364</v>
          </cell>
          <cell r="R13">
            <v>1013</v>
          </cell>
          <cell r="S13">
            <v>1044</v>
          </cell>
          <cell r="T13">
            <v>1066</v>
          </cell>
        </row>
        <row r="15">
          <cell r="F15">
            <v>685</v>
          </cell>
          <cell r="G15">
            <v>798</v>
          </cell>
          <cell r="H15">
            <v>842</v>
          </cell>
          <cell r="I15">
            <v>913</v>
          </cell>
          <cell r="J15">
            <v>922</v>
          </cell>
          <cell r="K15">
            <v>1013</v>
          </cell>
          <cell r="L15">
            <v>1010</v>
          </cell>
          <cell r="M15">
            <v>1181</v>
          </cell>
          <cell r="N15">
            <v>1038</v>
          </cell>
          <cell r="O15">
            <v>1290</v>
          </cell>
          <cell r="P15">
            <v>1198</v>
          </cell>
          <cell r="Q15">
            <v>1359</v>
          </cell>
          <cell r="R15">
            <v>1145</v>
          </cell>
          <cell r="S15">
            <v>1479</v>
          </cell>
          <cell r="T15">
            <v>1240</v>
          </cell>
        </row>
        <row r="16">
          <cell r="F16">
            <v>101</v>
          </cell>
          <cell r="G16">
            <v>154</v>
          </cell>
          <cell r="H16">
            <v>152</v>
          </cell>
          <cell r="I16">
            <v>308</v>
          </cell>
          <cell r="J16">
            <v>148</v>
          </cell>
          <cell r="K16">
            <v>514</v>
          </cell>
          <cell r="L16">
            <v>185</v>
          </cell>
          <cell r="M16">
            <v>203</v>
          </cell>
          <cell r="N16">
            <v>170</v>
          </cell>
          <cell r="O16">
            <v>212</v>
          </cell>
          <cell r="P16">
            <v>239</v>
          </cell>
          <cell r="Q16">
            <v>236</v>
          </cell>
          <cell r="R16">
            <v>187</v>
          </cell>
          <cell r="S16">
            <v>833</v>
          </cell>
          <cell r="T16">
            <v>246</v>
          </cell>
        </row>
        <row r="17">
          <cell r="F17">
            <v>1437</v>
          </cell>
          <cell r="G17">
            <v>1667</v>
          </cell>
          <cell r="H17">
            <v>1658</v>
          </cell>
          <cell r="I17">
            <v>2161</v>
          </cell>
          <cell r="J17">
            <v>1883</v>
          </cell>
          <cell r="K17">
            <v>2425</v>
          </cell>
          <cell r="L17">
            <v>2169</v>
          </cell>
          <cell r="M17">
            <v>2471</v>
          </cell>
          <cell r="N17">
            <v>2164</v>
          </cell>
          <cell r="O17">
            <v>2492</v>
          </cell>
          <cell r="P17">
            <v>2506</v>
          </cell>
          <cell r="Q17">
            <v>2959</v>
          </cell>
          <cell r="R17">
            <v>2345</v>
          </cell>
          <cell r="S17">
            <v>3356</v>
          </cell>
          <cell r="T17">
            <v>2552</v>
          </cell>
          <cell r="U17">
            <v>0</v>
          </cell>
        </row>
        <row r="18">
          <cell r="F18">
            <v>2107</v>
          </cell>
          <cell r="G18">
            <v>2740</v>
          </cell>
          <cell r="H18">
            <v>2229</v>
          </cell>
          <cell r="I18">
            <v>2934</v>
          </cell>
          <cell r="J18">
            <v>2789</v>
          </cell>
          <cell r="K18">
            <v>2931</v>
          </cell>
          <cell r="L18">
            <v>2735</v>
          </cell>
          <cell r="M18">
            <v>2551</v>
          </cell>
          <cell r="N18">
            <v>2777</v>
          </cell>
          <cell r="O18">
            <v>3194</v>
          </cell>
          <cell r="P18">
            <v>2998</v>
          </cell>
          <cell r="Q18">
            <v>2751</v>
          </cell>
          <cell r="R18">
            <v>2897</v>
          </cell>
          <cell r="S18">
            <v>2841</v>
          </cell>
          <cell r="T18">
            <v>3298</v>
          </cell>
          <cell r="U18">
            <v>0</v>
          </cell>
        </row>
        <row r="19">
          <cell r="F19">
            <v>261</v>
          </cell>
          <cell r="G19">
            <v>337</v>
          </cell>
          <cell r="H19">
            <v>711</v>
          </cell>
          <cell r="I19">
            <v>482</v>
          </cell>
          <cell r="J19">
            <v>394</v>
          </cell>
          <cell r="K19">
            <v>770</v>
          </cell>
          <cell r="L19">
            <v>882</v>
          </cell>
          <cell r="M19">
            <v>1124</v>
          </cell>
          <cell r="N19">
            <v>1127</v>
          </cell>
          <cell r="O19">
            <v>751</v>
          </cell>
          <cell r="P19">
            <v>706</v>
          </cell>
          <cell r="Q19">
            <v>-2620</v>
          </cell>
          <cell r="R19">
            <v>-980</v>
          </cell>
          <cell r="S19">
            <v>553</v>
          </cell>
          <cell r="T19">
            <v>739</v>
          </cell>
        </row>
        <row r="20">
          <cell r="F20">
            <v>160</v>
          </cell>
          <cell r="J20">
            <v>156</v>
          </cell>
        </row>
        <row r="21">
          <cell r="F21">
            <v>-25</v>
          </cell>
          <cell r="G21">
            <v>-26</v>
          </cell>
          <cell r="H21">
            <v>9</v>
          </cell>
          <cell r="I21">
            <v>-28</v>
          </cell>
          <cell r="J21">
            <v>-19</v>
          </cell>
          <cell r="K21">
            <v>-10</v>
          </cell>
          <cell r="L21">
            <v>-4</v>
          </cell>
          <cell r="M21">
            <v>-24</v>
          </cell>
          <cell r="N21">
            <v>-52</v>
          </cell>
          <cell r="O21">
            <v>-28</v>
          </cell>
          <cell r="P21">
            <v>-46</v>
          </cell>
          <cell r="Q21">
            <v>-33</v>
          </cell>
          <cell r="R21">
            <v>-30</v>
          </cell>
          <cell r="S21">
            <v>-37</v>
          </cell>
          <cell r="T21">
            <v>-11</v>
          </cell>
        </row>
        <row r="22">
          <cell r="F22">
            <v>2503</v>
          </cell>
          <cell r="G22">
            <v>3051</v>
          </cell>
          <cell r="H22">
            <v>2949</v>
          </cell>
          <cell r="I22">
            <v>3388</v>
          </cell>
          <cell r="J22">
            <v>3320</v>
          </cell>
          <cell r="K22">
            <v>3691</v>
          </cell>
          <cell r="L22">
            <v>3613</v>
          </cell>
          <cell r="M22">
            <v>3651</v>
          </cell>
          <cell r="N22">
            <v>3852</v>
          </cell>
          <cell r="O22">
            <v>3917</v>
          </cell>
          <cell r="P22">
            <v>3658</v>
          </cell>
          <cell r="Q22">
            <v>98</v>
          </cell>
          <cell r="R22">
            <v>1887</v>
          </cell>
          <cell r="S22">
            <v>3357</v>
          </cell>
          <cell r="T22">
            <v>4026</v>
          </cell>
          <cell r="U22">
            <v>0</v>
          </cell>
        </row>
        <row r="23">
          <cell r="F23">
            <v>820.05</v>
          </cell>
          <cell r="G23">
            <v>1067.8499999999999</v>
          </cell>
          <cell r="H23">
            <v>1032.1499999999999</v>
          </cell>
          <cell r="I23">
            <v>1185.8</v>
          </cell>
          <cell r="J23">
            <v>1128.8000000000002</v>
          </cell>
          <cell r="K23">
            <v>1254.94</v>
          </cell>
          <cell r="L23">
            <v>1228.42</v>
          </cell>
          <cell r="M23">
            <v>1241.8399999999999</v>
          </cell>
          <cell r="N23">
            <v>1271.1600000000001</v>
          </cell>
          <cell r="O23">
            <v>1293</v>
          </cell>
          <cell r="P23">
            <v>1207</v>
          </cell>
          <cell r="Q23">
            <v>32</v>
          </cell>
          <cell r="R23">
            <v>604</v>
          </cell>
          <cell r="S23">
            <v>1074</v>
          </cell>
          <cell r="T23">
            <v>1288</v>
          </cell>
          <cell r="U23">
            <v>0</v>
          </cell>
        </row>
        <row r="24">
          <cell r="F24">
            <v>1682.95</v>
          </cell>
          <cell r="G24">
            <v>1983.15</v>
          </cell>
          <cell r="H24">
            <v>1916.8500000000001</v>
          </cell>
          <cell r="I24">
            <v>2202.1999999999998</v>
          </cell>
          <cell r="J24">
            <v>2191.1999999999998</v>
          </cell>
          <cell r="K24">
            <v>2436.06</v>
          </cell>
          <cell r="L24">
            <v>2384.58</v>
          </cell>
          <cell r="M24">
            <v>2409.16</v>
          </cell>
          <cell r="N24">
            <v>2580.84</v>
          </cell>
          <cell r="O24">
            <v>2624</v>
          </cell>
          <cell r="P24">
            <v>2451</v>
          </cell>
          <cell r="Q24">
            <v>66</v>
          </cell>
          <cell r="R24">
            <v>1283</v>
          </cell>
          <cell r="S24">
            <v>2283</v>
          </cell>
          <cell r="T24">
            <v>2738</v>
          </cell>
          <cell r="U24">
            <v>0</v>
          </cell>
        </row>
        <row r="25">
          <cell r="N25">
            <v>-375</v>
          </cell>
        </row>
        <row r="26">
          <cell r="F26">
            <v>1682.95</v>
          </cell>
          <cell r="G26">
            <v>1983.15</v>
          </cell>
          <cell r="H26">
            <v>1916.8500000000001</v>
          </cell>
          <cell r="I26">
            <v>2202.1999999999998</v>
          </cell>
          <cell r="J26">
            <v>2191.1999999999998</v>
          </cell>
          <cell r="K26">
            <v>2436.06</v>
          </cell>
          <cell r="L26">
            <v>2384.58</v>
          </cell>
          <cell r="M26">
            <v>2409.16</v>
          </cell>
          <cell r="N26">
            <v>2205.84</v>
          </cell>
          <cell r="O26">
            <v>2624</v>
          </cell>
          <cell r="P26">
            <v>2451</v>
          </cell>
          <cell r="Q26">
            <v>66</v>
          </cell>
          <cell r="R26">
            <v>1283</v>
          </cell>
          <cell r="S26">
            <v>2283</v>
          </cell>
          <cell r="T26">
            <v>2738</v>
          </cell>
          <cell r="U26">
            <v>0</v>
          </cell>
        </row>
        <row r="27">
          <cell r="F27">
            <v>7</v>
          </cell>
          <cell r="G27">
            <v>7</v>
          </cell>
          <cell r="H27">
            <v>7</v>
          </cell>
          <cell r="I27">
            <v>7</v>
          </cell>
          <cell r="J27">
            <v>7</v>
          </cell>
          <cell r="K27">
            <v>6</v>
          </cell>
          <cell r="L27">
            <v>0</v>
          </cell>
          <cell r="M27">
            <v>0</v>
          </cell>
          <cell r="N27">
            <v>0</v>
          </cell>
          <cell r="O27">
            <v>0</v>
          </cell>
          <cell r="P27">
            <v>0</v>
          </cell>
          <cell r="Q27">
            <v>0</v>
          </cell>
          <cell r="R27">
            <v>0</v>
          </cell>
          <cell r="S27">
            <v>0</v>
          </cell>
          <cell r="T27">
            <v>0</v>
          </cell>
          <cell r="U27">
            <v>0</v>
          </cell>
        </row>
        <row r="28">
          <cell r="F28">
            <v>1675.95</v>
          </cell>
          <cell r="G28">
            <v>1976.15</v>
          </cell>
          <cell r="H28">
            <v>1909.8500000000001</v>
          </cell>
          <cell r="I28">
            <v>2195.1999999999998</v>
          </cell>
          <cell r="J28">
            <v>2184.1999999999998</v>
          </cell>
          <cell r="K28">
            <v>2430.06</v>
          </cell>
          <cell r="L28">
            <v>2384.58</v>
          </cell>
          <cell r="M28">
            <v>2409.16</v>
          </cell>
          <cell r="N28">
            <v>2205.84</v>
          </cell>
          <cell r="O28">
            <v>2624</v>
          </cell>
          <cell r="P28">
            <v>2451</v>
          </cell>
          <cell r="Q28">
            <v>66</v>
          </cell>
          <cell r="R28">
            <v>1283</v>
          </cell>
          <cell r="S28">
            <v>2283</v>
          </cell>
          <cell r="T28">
            <v>2738</v>
          </cell>
          <cell r="U28">
            <v>0</v>
          </cell>
        </row>
        <row r="29">
          <cell r="F29">
            <v>4958</v>
          </cell>
          <cell r="G29">
            <v>4998</v>
          </cell>
          <cell r="H29">
            <v>5055</v>
          </cell>
          <cell r="I29">
            <v>5100</v>
          </cell>
          <cell r="J29">
            <v>5129</v>
          </cell>
          <cell r="K29">
            <v>5163</v>
          </cell>
          <cell r="L29">
            <v>5209</v>
          </cell>
          <cell r="M29">
            <v>5250</v>
          </cell>
          <cell r="N29">
            <v>5299</v>
          </cell>
          <cell r="O29">
            <v>5330</v>
          </cell>
          <cell r="P29">
            <v>5336</v>
          </cell>
          <cell r="Q29">
            <v>5381</v>
          </cell>
          <cell r="R29">
            <v>5398</v>
          </cell>
          <cell r="S29">
            <v>5395</v>
          </cell>
          <cell r="T29">
            <v>5415</v>
          </cell>
        </row>
        <row r="30">
          <cell r="F30">
            <v>5435</v>
          </cell>
          <cell r="G30">
            <v>5460</v>
          </cell>
          <cell r="H30">
            <v>5512</v>
          </cell>
          <cell r="I30">
            <v>5521</v>
          </cell>
          <cell r="J30">
            <v>5527</v>
          </cell>
          <cell r="K30">
            <v>5538</v>
          </cell>
          <cell r="L30">
            <v>5543</v>
          </cell>
          <cell r="M30">
            <v>5537</v>
          </cell>
          <cell r="N30">
            <v>5557</v>
          </cell>
          <cell r="O30">
            <v>5570</v>
          </cell>
          <cell r="P30">
            <v>5563</v>
          </cell>
          <cell r="Q30">
            <v>5592</v>
          </cell>
          <cell r="R30">
            <v>5567</v>
          </cell>
          <cell r="S30">
            <v>5556</v>
          </cell>
          <cell r="T30">
            <v>5564</v>
          </cell>
        </row>
        <row r="31">
          <cell r="F31">
            <v>0.33944130697862041</v>
          </cell>
          <cell r="G31">
            <v>0.39678871548619449</v>
          </cell>
          <cell r="H31">
            <v>0.37919881305637987</v>
          </cell>
          <cell r="I31">
            <v>0.4318039215686274</v>
          </cell>
          <cell r="J31">
            <v>0.42721778124390714</v>
          </cell>
          <cell r="K31">
            <v>0.47183033120278906</v>
          </cell>
          <cell r="L31">
            <v>0.45778076406220003</v>
          </cell>
          <cell r="M31">
            <v>0.45888761904761904</v>
          </cell>
          <cell r="N31">
            <v>0.48704283827137196</v>
          </cell>
          <cell r="O31">
            <v>0.49230769230769234</v>
          </cell>
          <cell r="P31">
            <v>0.45933283358320842</v>
          </cell>
          <cell r="Q31">
            <v>1.226537818249396E-2</v>
          </cell>
          <cell r="R31">
            <v>0.23768062245276028</v>
          </cell>
          <cell r="S31">
            <v>0.42316960148285448</v>
          </cell>
          <cell r="T31">
            <v>0.50563250230840262</v>
          </cell>
          <cell r="U31" t="e">
            <v>#DIV/0!</v>
          </cell>
        </row>
        <row r="32">
          <cell r="F32">
            <v>0.30836246550137997</v>
          </cell>
          <cell r="G32">
            <v>0.36193223443223443</v>
          </cell>
          <cell r="H32">
            <v>0.34648947750362846</v>
          </cell>
          <cell r="I32">
            <v>0.3976091287810179</v>
          </cell>
          <cell r="J32">
            <v>0.39518726252940106</v>
          </cell>
          <cell r="K32">
            <v>0.43879739978331528</v>
          </cell>
          <cell r="L32">
            <v>0.430196644416381</v>
          </cell>
          <cell r="M32">
            <v>0.43510204081632653</v>
          </cell>
          <cell r="N32">
            <v>0.46443044808349832</v>
          </cell>
          <cell r="O32">
            <v>0.47109515260323159</v>
          </cell>
          <cell r="P32">
            <v>0.44058960992270357</v>
          </cell>
          <cell r="Q32">
            <v>1.1802575107296138E-2</v>
          </cell>
          <cell r="R32">
            <v>0.23046524160229925</v>
          </cell>
          <cell r="S32">
            <v>0.41090712742980562</v>
          </cell>
          <cell r="T32">
            <v>0.49209202012940328</v>
          </cell>
          <cell r="U32" t="e">
            <v>#DIV/0!</v>
          </cell>
        </row>
        <row r="33">
          <cell r="F33">
            <v>0.3380294473578056</v>
          </cell>
          <cell r="G33">
            <v>0.39538815526210486</v>
          </cell>
          <cell r="H33">
            <v>0.37781404549950548</v>
          </cell>
          <cell r="I33">
            <v>0.43043137254901959</v>
          </cell>
          <cell r="J33">
            <v>0.4258529927861181</v>
          </cell>
          <cell r="K33">
            <v>0.47066821615339915</v>
          </cell>
          <cell r="L33">
            <v>0.45778076406220003</v>
          </cell>
          <cell r="M33">
            <v>0.45888761904761904</v>
          </cell>
          <cell r="N33">
            <v>0.41627476882430647</v>
          </cell>
          <cell r="O33">
            <v>0.49230769230769234</v>
          </cell>
          <cell r="P33">
            <v>0.45933283358320842</v>
          </cell>
          <cell r="Q33">
            <v>1.226537818249396E-2</v>
          </cell>
          <cell r="R33">
            <v>0.23768062245276028</v>
          </cell>
          <cell r="S33">
            <v>0.42316960148285448</v>
          </cell>
          <cell r="T33">
            <v>0.50563250230840262</v>
          </cell>
          <cell r="U33">
            <v>0</v>
          </cell>
        </row>
        <row r="34">
          <cell r="F34">
            <v>0.30965041398344068</v>
          </cell>
          <cell r="G34">
            <v>0.36321428571428571</v>
          </cell>
          <cell r="H34">
            <v>0.34775943396226416</v>
          </cell>
          <cell r="I34">
            <v>0.39887701503350836</v>
          </cell>
          <cell r="J34">
            <v>0.396453772390085</v>
          </cell>
          <cell r="K34">
            <v>0.43988082340195017</v>
          </cell>
          <cell r="L34">
            <v>0.430196644416381</v>
          </cell>
          <cell r="M34">
            <v>0.43510204081632653</v>
          </cell>
          <cell r="N34">
            <v>0.39694799352168436</v>
          </cell>
          <cell r="O34">
            <v>0.47109515260323159</v>
          </cell>
          <cell r="P34">
            <v>0.44058960992270357</v>
          </cell>
          <cell r="Q34">
            <v>1.1802575107296138E-2</v>
          </cell>
          <cell r="R34">
            <v>0.23046524160229925</v>
          </cell>
          <cell r="S34">
            <v>0.41090712742980562</v>
          </cell>
          <cell r="T34">
            <v>0.49209202012940328</v>
          </cell>
          <cell r="U34" t="e">
            <v>#DIV/0!</v>
          </cell>
        </row>
        <row r="38">
          <cell r="F38">
            <v>1608</v>
          </cell>
          <cell r="G38">
            <v>1755</v>
          </cell>
          <cell r="H38">
            <v>1528</v>
          </cell>
          <cell r="I38">
            <v>2358</v>
          </cell>
          <cell r="J38">
            <v>1868</v>
          </cell>
          <cell r="K38">
            <v>2207</v>
          </cell>
          <cell r="L38">
            <v>2018</v>
          </cell>
          <cell r="M38">
            <v>2234</v>
          </cell>
          <cell r="N38">
            <v>2154</v>
          </cell>
          <cell r="O38">
            <v>2334</v>
          </cell>
          <cell r="P38">
            <v>2371</v>
          </cell>
          <cell r="Q38">
            <v>2656</v>
          </cell>
          <cell r="R38">
            <v>2433.2252640706042</v>
          </cell>
          <cell r="S38">
            <v>3235</v>
          </cell>
          <cell r="T38">
            <v>2756</v>
          </cell>
        </row>
        <row r="39">
          <cell r="F39">
            <v>894</v>
          </cell>
          <cell r="G39">
            <v>1254</v>
          </cell>
          <cell r="H39">
            <v>981</v>
          </cell>
          <cell r="I39">
            <v>1198</v>
          </cell>
          <cell r="J39">
            <v>1183</v>
          </cell>
          <cell r="K39">
            <v>1427</v>
          </cell>
          <cell r="L39">
            <v>1259</v>
          </cell>
          <cell r="M39">
            <v>1151</v>
          </cell>
          <cell r="N39">
            <v>1085</v>
          </cell>
          <cell r="O39">
            <v>1430</v>
          </cell>
          <cell r="P39">
            <v>1204</v>
          </cell>
          <cell r="Q39">
            <v>1145</v>
          </cell>
          <cell r="R39">
            <v>1104.8028679412828</v>
          </cell>
          <cell r="S39">
            <v>1416</v>
          </cell>
          <cell r="T39">
            <v>1385</v>
          </cell>
        </row>
        <row r="40">
          <cell r="F40">
            <v>325</v>
          </cell>
          <cell r="G40">
            <v>389</v>
          </cell>
          <cell r="H40">
            <v>492</v>
          </cell>
          <cell r="I40">
            <v>570</v>
          </cell>
          <cell r="J40">
            <v>593</v>
          </cell>
          <cell r="K40">
            <v>606</v>
          </cell>
          <cell r="L40">
            <v>709</v>
          </cell>
          <cell r="M40">
            <v>689</v>
          </cell>
          <cell r="N40">
            <v>708</v>
          </cell>
          <cell r="O40">
            <v>737</v>
          </cell>
          <cell r="P40">
            <v>836</v>
          </cell>
          <cell r="Q40">
            <v>777</v>
          </cell>
          <cell r="R40">
            <v>604.0938756929944</v>
          </cell>
          <cell r="S40">
            <v>705</v>
          </cell>
          <cell r="T40">
            <v>818</v>
          </cell>
        </row>
        <row r="41">
          <cell r="F41">
            <v>1366</v>
          </cell>
          <cell r="G41">
            <v>1797</v>
          </cell>
          <cell r="H41">
            <v>1594</v>
          </cell>
          <cell r="I41">
            <v>1638</v>
          </cell>
          <cell r="J41">
            <v>1740</v>
          </cell>
          <cell r="K41">
            <v>1872</v>
          </cell>
          <cell r="L41">
            <v>1670</v>
          </cell>
          <cell r="M41">
            <v>1730</v>
          </cell>
          <cell r="N41">
            <v>1819</v>
          </cell>
          <cell r="O41">
            <v>2049</v>
          </cell>
          <cell r="P41">
            <v>1992</v>
          </cell>
          <cell r="Q41">
            <v>1999</v>
          </cell>
          <cell r="R41">
            <v>1984.3675963395417</v>
          </cell>
          <cell r="S41">
            <v>2385</v>
          </cell>
          <cell r="T41">
            <v>2286</v>
          </cell>
        </row>
        <row r="42">
          <cell r="F42">
            <v>4193</v>
          </cell>
          <cell r="G42">
            <v>5195</v>
          </cell>
          <cell r="H42">
            <v>4595</v>
          </cell>
          <cell r="I42">
            <v>5764</v>
          </cell>
          <cell r="J42">
            <v>5384</v>
          </cell>
          <cell r="K42">
            <v>6112</v>
          </cell>
          <cell r="L42">
            <v>5656</v>
          </cell>
          <cell r="M42">
            <v>5804</v>
          </cell>
          <cell r="N42">
            <v>5766</v>
          </cell>
          <cell r="O42">
            <v>6550</v>
          </cell>
          <cell r="P42">
            <v>6403</v>
          </cell>
          <cell r="Q42">
            <v>6577</v>
          </cell>
          <cell r="R42">
            <v>6126.4896040444228</v>
          </cell>
          <cell r="S42">
            <v>7741</v>
          </cell>
          <cell r="T42">
            <v>7245</v>
          </cell>
          <cell r="U42">
            <v>0</v>
          </cell>
        </row>
        <row r="45">
          <cell r="F45">
            <v>1560</v>
          </cell>
          <cell r="G45">
            <v>1957</v>
          </cell>
          <cell r="H45">
            <v>1660</v>
          </cell>
          <cell r="I45">
            <v>2598</v>
          </cell>
          <cell r="J45">
            <v>2213</v>
          </cell>
          <cell r="K45">
            <v>2531</v>
          </cell>
          <cell r="L45">
            <v>2263</v>
          </cell>
          <cell r="M45">
            <v>2289</v>
          </cell>
          <cell r="N45">
            <v>2139</v>
          </cell>
          <cell r="O45">
            <v>2485</v>
          </cell>
          <cell r="P45">
            <v>2412</v>
          </cell>
          <cell r="Q45">
            <v>2507</v>
          </cell>
          <cell r="R45">
            <v>2191.6529290182516</v>
          </cell>
          <cell r="S45">
            <v>2449</v>
          </cell>
          <cell r="T45">
            <v>2436</v>
          </cell>
        </row>
        <row r="46">
          <cell r="F46">
            <v>1583</v>
          </cell>
          <cell r="G46">
            <v>1886</v>
          </cell>
          <cell r="H46">
            <v>1582</v>
          </cell>
          <cell r="I46">
            <v>1686</v>
          </cell>
          <cell r="J46">
            <v>1667</v>
          </cell>
          <cell r="K46">
            <v>1829</v>
          </cell>
          <cell r="L46">
            <v>1765</v>
          </cell>
          <cell r="M46">
            <v>1757</v>
          </cell>
          <cell r="N46">
            <v>1883</v>
          </cell>
          <cell r="O46">
            <v>2063</v>
          </cell>
          <cell r="P46">
            <v>2052</v>
          </cell>
          <cell r="Q46">
            <v>2043</v>
          </cell>
          <cell r="R46">
            <v>2017.4589009393314</v>
          </cell>
          <cell r="S46">
            <v>2554</v>
          </cell>
          <cell r="T46">
            <v>2285</v>
          </cell>
        </row>
        <row r="47">
          <cell r="F47">
            <v>3143</v>
          </cell>
          <cell r="G47">
            <v>3843</v>
          </cell>
          <cell r="H47">
            <v>3242</v>
          </cell>
          <cell r="I47">
            <v>4284</v>
          </cell>
          <cell r="J47">
            <v>3880</v>
          </cell>
          <cell r="K47">
            <v>4360</v>
          </cell>
          <cell r="L47">
            <v>4028</v>
          </cell>
          <cell r="M47">
            <v>4046</v>
          </cell>
          <cell r="N47">
            <v>4022</v>
          </cell>
          <cell r="O47">
            <v>4548</v>
          </cell>
          <cell r="P47">
            <v>4464</v>
          </cell>
          <cell r="Q47">
            <v>4550</v>
          </cell>
          <cell r="R47">
            <v>4209.1118299575828</v>
          </cell>
          <cell r="S47">
            <v>5003</v>
          </cell>
          <cell r="T47">
            <v>4721</v>
          </cell>
        </row>
        <row r="48">
          <cell r="F48">
            <v>641</v>
          </cell>
          <cell r="G48">
            <v>780</v>
          </cell>
          <cell r="H48">
            <v>930</v>
          </cell>
          <cell r="I48">
            <v>983</v>
          </cell>
          <cell r="J48">
            <v>949</v>
          </cell>
          <cell r="K48">
            <v>1028</v>
          </cell>
          <cell r="L48">
            <v>1028</v>
          </cell>
          <cell r="M48">
            <v>1076</v>
          </cell>
          <cell r="N48">
            <v>1037</v>
          </cell>
          <cell r="O48">
            <v>1244</v>
          </cell>
          <cell r="P48">
            <v>1254</v>
          </cell>
          <cell r="Q48">
            <v>1294</v>
          </cell>
          <cell r="R48">
            <v>1192.52554816424</v>
          </cell>
          <cell r="S48">
            <v>1288</v>
          </cell>
          <cell r="T48">
            <v>1276</v>
          </cell>
        </row>
        <row r="49">
          <cell r="F49">
            <v>3784</v>
          </cell>
          <cell r="G49">
            <v>4623</v>
          </cell>
          <cell r="H49">
            <v>4172</v>
          </cell>
          <cell r="I49">
            <v>5267</v>
          </cell>
          <cell r="J49">
            <v>4829</v>
          </cell>
          <cell r="K49">
            <v>5388</v>
          </cell>
          <cell r="L49">
            <v>5056</v>
          </cell>
          <cell r="M49">
            <v>5122</v>
          </cell>
          <cell r="N49">
            <v>5059</v>
          </cell>
          <cell r="O49">
            <v>5792</v>
          </cell>
          <cell r="P49">
            <v>5718</v>
          </cell>
          <cell r="Q49">
            <v>5844</v>
          </cell>
          <cell r="R49">
            <v>5401.6373781218226</v>
          </cell>
          <cell r="S49">
            <v>6291</v>
          </cell>
          <cell r="T49">
            <v>5997</v>
          </cell>
        </row>
        <row r="50">
          <cell r="F50">
            <v>232</v>
          </cell>
          <cell r="G50">
            <v>357</v>
          </cell>
          <cell r="H50">
            <v>302</v>
          </cell>
          <cell r="I50">
            <v>296</v>
          </cell>
          <cell r="J50">
            <v>366</v>
          </cell>
          <cell r="K50">
            <v>464</v>
          </cell>
          <cell r="L50">
            <v>378</v>
          </cell>
          <cell r="M50">
            <v>418</v>
          </cell>
          <cell r="N50">
            <v>479</v>
          </cell>
          <cell r="O50">
            <v>506</v>
          </cell>
          <cell r="P50">
            <v>460</v>
          </cell>
          <cell r="Q50">
            <v>509</v>
          </cell>
          <cell r="R50">
            <v>500.78435682509996</v>
          </cell>
          <cell r="S50">
            <v>1197</v>
          </cell>
          <cell r="T50">
            <v>1066</v>
          </cell>
        </row>
        <row r="51">
          <cell r="F51">
            <v>9</v>
          </cell>
          <cell r="G51">
            <v>12</v>
          </cell>
          <cell r="H51">
            <v>15</v>
          </cell>
          <cell r="I51">
            <v>26</v>
          </cell>
          <cell r="J51">
            <v>18</v>
          </cell>
          <cell r="K51">
            <v>30</v>
          </cell>
          <cell r="L51">
            <v>46</v>
          </cell>
          <cell r="M51">
            <v>88</v>
          </cell>
          <cell r="N51">
            <v>63</v>
          </cell>
          <cell r="O51">
            <v>64</v>
          </cell>
          <cell r="P51">
            <v>76</v>
          </cell>
          <cell r="Q51">
            <v>96</v>
          </cell>
          <cell r="R51">
            <v>94.048726380700003</v>
          </cell>
          <cell r="S51">
            <v>90</v>
          </cell>
          <cell r="T51">
            <v>45</v>
          </cell>
        </row>
        <row r="52">
          <cell r="F52">
            <v>168</v>
          </cell>
          <cell r="G52">
            <v>203</v>
          </cell>
          <cell r="H52">
            <v>106</v>
          </cell>
          <cell r="I52">
            <v>175</v>
          </cell>
          <cell r="J52">
            <v>171</v>
          </cell>
          <cell r="K52">
            <v>230</v>
          </cell>
          <cell r="L52">
            <v>176</v>
          </cell>
          <cell r="M52">
            <v>176</v>
          </cell>
          <cell r="N52">
            <v>165</v>
          </cell>
          <cell r="O52">
            <v>188</v>
          </cell>
          <cell r="P52">
            <v>149</v>
          </cell>
          <cell r="Q52">
            <v>128</v>
          </cell>
          <cell r="R52">
            <v>129.01914271679999</v>
          </cell>
          <cell r="S52">
            <v>163</v>
          </cell>
          <cell r="T52">
            <v>137</v>
          </cell>
        </row>
        <row r="53">
          <cell r="F53">
            <v>4193</v>
          </cell>
          <cell r="G53">
            <v>5195</v>
          </cell>
          <cell r="H53">
            <v>4595</v>
          </cell>
          <cell r="I53">
            <v>5764</v>
          </cell>
          <cell r="J53">
            <v>5384</v>
          </cell>
          <cell r="K53">
            <v>6112</v>
          </cell>
          <cell r="L53">
            <v>5656</v>
          </cell>
          <cell r="M53">
            <v>5804</v>
          </cell>
          <cell r="N53">
            <v>5766</v>
          </cell>
          <cell r="O53">
            <v>6550</v>
          </cell>
          <cell r="P53">
            <v>6403</v>
          </cell>
          <cell r="Q53">
            <v>6577</v>
          </cell>
          <cell r="R53">
            <v>6126.4896040444228</v>
          </cell>
          <cell r="S53">
            <v>7741</v>
          </cell>
          <cell r="T53">
            <v>7245</v>
          </cell>
          <cell r="U53">
            <v>0</v>
          </cell>
        </row>
        <row r="56">
          <cell r="F56">
            <v>543</v>
          </cell>
          <cell r="G56">
            <v>532</v>
          </cell>
          <cell r="H56">
            <v>508</v>
          </cell>
          <cell r="I56">
            <v>678</v>
          </cell>
          <cell r="J56">
            <v>627</v>
          </cell>
          <cell r="K56">
            <v>690</v>
          </cell>
          <cell r="L56">
            <v>763</v>
          </cell>
          <cell r="M56">
            <v>836</v>
          </cell>
          <cell r="N56">
            <v>705</v>
          </cell>
          <cell r="O56">
            <v>638</v>
          </cell>
          <cell r="P56">
            <v>762</v>
          </cell>
          <cell r="Q56">
            <v>1197</v>
          </cell>
          <cell r="R56">
            <v>949</v>
          </cell>
          <cell r="S56">
            <v>956</v>
          </cell>
          <cell r="V56" t="str">
            <v>Q01-2: CG CoGS reclass - 76m; Other headcount %40m lower than prior year; Infrastructure flat with Q00-2</v>
          </cell>
        </row>
        <row r="57">
          <cell r="F57">
            <v>108</v>
          </cell>
          <cell r="G57">
            <v>183</v>
          </cell>
          <cell r="H57">
            <v>156</v>
          </cell>
          <cell r="I57">
            <v>262</v>
          </cell>
          <cell r="J57">
            <v>186</v>
          </cell>
          <cell r="K57">
            <v>208</v>
          </cell>
          <cell r="L57">
            <v>211</v>
          </cell>
          <cell r="M57">
            <v>251</v>
          </cell>
          <cell r="N57">
            <v>251</v>
          </cell>
          <cell r="O57">
            <v>268</v>
          </cell>
          <cell r="P57">
            <v>296</v>
          </cell>
          <cell r="Q57">
            <v>167</v>
          </cell>
          <cell r="R57">
            <v>63</v>
          </cell>
          <cell r="S57">
            <v>88</v>
          </cell>
          <cell r="V57" t="str">
            <v>Q01-2:  External loc down 23% from Q00-2</v>
          </cell>
        </row>
        <row r="58">
          <cell r="F58">
            <v>651</v>
          </cell>
          <cell r="G58">
            <v>715</v>
          </cell>
          <cell r="H58">
            <v>664</v>
          </cell>
          <cell r="I58">
            <v>940</v>
          </cell>
          <cell r="J58">
            <v>813</v>
          </cell>
          <cell r="K58">
            <v>898</v>
          </cell>
          <cell r="L58">
            <v>974</v>
          </cell>
          <cell r="M58">
            <v>1087</v>
          </cell>
          <cell r="N58">
            <v>956</v>
          </cell>
          <cell r="O58">
            <v>906</v>
          </cell>
          <cell r="P58">
            <v>1058</v>
          </cell>
          <cell r="Q58">
            <v>1364</v>
          </cell>
          <cell r="R58">
            <v>1012</v>
          </cell>
          <cell r="S58">
            <v>1044</v>
          </cell>
          <cell r="T58">
            <v>1058</v>
          </cell>
        </row>
        <row r="61">
          <cell r="F61">
            <v>311</v>
          </cell>
          <cell r="G61">
            <v>319</v>
          </cell>
          <cell r="H61">
            <v>451</v>
          </cell>
          <cell r="I61">
            <v>497</v>
          </cell>
          <cell r="J61">
            <v>375</v>
          </cell>
          <cell r="K61">
            <v>374</v>
          </cell>
          <cell r="L61">
            <v>378</v>
          </cell>
          <cell r="M61">
            <v>622</v>
          </cell>
          <cell r="N61">
            <v>508</v>
          </cell>
          <cell r="O61">
            <v>670</v>
          </cell>
          <cell r="P61">
            <v>578</v>
          </cell>
          <cell r="R61">
            <v>508</v>
          </cell>
          <cell r="S61">
            <v>670</v>
          </cell>
          <cell r="T61">
            <v>578</v>
          </cell>
        </row>
        <row r="63">
          <cell r="F63">
            <v>360</v>
          </cell>
          <cell r="G63">
            <v>440</v>
          </cell>
          <cell r="H63">
            <v>356</v>
          </cell>
          <cell r="I63">
            <v>415</v>
          </cell>
          <cell r="J63">
            <v>541</v>
          </cell>
          <cell r="K63">
            <v>630</v>
          </cell>
          <cell r="L63">
            <v>567</v>
          </cell>
          <cell r="M63">
            <v>577</v>
          </cell>
          <cell r="N63">
            <v>626</v>
          </cell>
          <cell r="O63">
            <v>752</v>
          </cell>
          <cell r="P63">
            <v>683</v>
          </cell>
          <cell r="R63">
            <v>626</v>
          </cell>
          <cell r="S63">
            <v>752</v>
          </cell>
          <cell r="T63">
            <v>683</v>
          </cell>
        </row>
        <row r="64">
          <cell r="F64">
            <v>6</v>
          </cell>
          <cell r="G64">
            <v>30</v>
          </cell>
          <cell r="H64">
            <v>29</v>
          </cell>
          <cell r="I64">
            <v>15</v>
          </cell>
          <cell r="J64">
            <v>1</v>
          </cell>
          <cell r="K64">
            <v>2</v>
          </cell>
          <cell r="L64">
            <v>9</v>
          </cell>
          <cell r="M64">
            <v>28</v>
          </cell>
          <cell r="N64">
            <v>0</v>
          </cell>
          <cell r="O64">
            <v>0</v>
          </cell>
          <cell r="P64">
            <v>0</v>
          </cell>
          <cell r="R64">
            <v>0</v>
          </cell>
          <cell r="S64">
            <v>0</v>
          </cell>
          <cell r="T64">
            <v>0</v>
          </cell>
        </row>
        <row r="65">
          <cell r="F65">
            <v>150</v>
          </cell>
          <cell r="G65">
            <v>155</v>
          </cell>
          <cell r="H65">
            <v>153</v>
          </cell>
          <cell r="I65">
            <v>187</v>
          </cell>
          <cell r="J65">
            <v>160</v>
          </cell>
          <cell r="K65">
            <v>184</v>
          </cell>
          <cell r="L65">
            <v>190</v>
          </cell>
          <cell r="M65">
            <v>219</v>
          </cell>
          <cell r="N65">
            <v>239</v>
          </cell>
          <cell r="O65">
            <v>253</v>
          </cell>
          <cell r="P65">
            <v>254</v>
          </cell>
          <cell r="R65">
            <v>239</v>
          </cell>
          <cell r="S65">
            <v>253</v>
          </cell>
          <cell r="T65">
            <v>254</v>
          </cell>
        </row>
        <row r="66">
          <cell r="F66">
            <v>827</v>
          </cell>
          <cell r="G66">
            <v>944</v>
          </cell>
          <cell r="H66">
            <v>989</v>
          </cell>
          <cell r="I66">
            <v>1114</v>
          </cell>
          <cell r="J66">
            <v>1077</v>
          </cell>
          <cell r="K66">
            <v>1190</v>
          </cell>
          <cell r="L66">
            <v>1144</v>
          </cell>
          <cell r="M66">
            <v>1446</v>
          </cell>
          <cell r="N66">
            <v>1373</v>
          </cell>
          <cell r="O66">
            <v>1675</v>
          </cell>
          <cell r="P66">
            <v>1515</v>
          </cell>
          <cell r="R66">
            <v>1373</v>
          </cell>
          <cell r="S66">
            <v>1675</v>
          </cell>
          <cell r="T66">
            <v>1515</v>
          </cell>
        </row>
        <row r="67">
          <cell r="F67">
            <v>-150</v>
          </cell>
          <cell r="G67">
            <v>-155</v>
          </cell>
          <cell r="H67">
            <v>-153</v>
          </cell>
          <cell r="I67">
            <v>-187</v>
          </cell>
          <cell r="J67">
            <v>-160</v>
          </cell>
          <cell r="K67">
            <v>-184</v>
          </cell>
          <cell r="L67">
            <v>-190</v>
          </cell>
          <cell r="M67">
            <v>-219</v>
          </cell>
          <cell r="N67">
            <v>-239</v>
          </cell>
          <cell r="O67">
            <v>-253</v>
          </cell>
          <cell r="P67">
            <v>-254</v>
          </cell>
          <cell r="R67">
            <v>-239</v>
          </cell>
          <cell r="S67">
            <v>-253</v>
          </cell>
          <cell r="T67">
            <v>-254</v>
          </cell>
        </row>
        <row r="68">
          <cell r="F68">
            <v>-3</v>
          </cell>
          <cell r="G68">
            <v>5</v>
          </cell>
          <cell r="H68">
            <v>-4</v>
          </cell>
          <cell r="I68">
            <v>-13</v>
          </cell>
          <cell r="J68">
            <v>-12</v>
          </cell>
          <cell r="K68">
            <v>-9</v>
          </cell>
          <cell r="L68">
            <v>27</v>
          </cell>
          <cell r="M68">
            <v>-29</v>
          </cell>
          <cell r="N68">
            <v>-96</v>
          </cell>
          <cell r="O68">
            <v>-79</v>
          </cell>
          <cell r="P68">
            <v>-86</v>
          </cell>
          <cell r="R68">
            <v>-96</v>
          </cell>
          <cell r="S68">
            <v>-79</v>
          </cell>
          <cell r="T68">
            <v>-86</v>
          </cell>
        </row>
        <row r="69">
          <cell r="F69">
            <v>11</v>
          </cell>
          <cell r="G69">
            <v>4</v>
          </cell>
          <cell r="H69">
            <v>10</v>
          </cell>
          <cell r="I69">
            <v>-1</v>
          </cell>
          <cell r="J69">
            <v>17</v>
          </cell>
          <cell r="K69">
            <v>16</v>
          </cell>
          <cell r="L69">
            <v>29</v>
          </cell>
          <cell r="M69">
            <v>-17</v>
          </cell>
          <cell r="N69">
            <v>0</v>
          </cell>
          <cell r="O69">
            <v>0</v>
          </cell>
          <cell r="P69">
            <v>0</v>
          </cell>
          <cell r="R69">
            <v>0</v>
          </cell>
          <cell r="S69">
            <v>0</v>
          </cell>
          <cell r="T69">
            <v>0</v>
          </cell>
        </row>
        <row r="70">
          <cell r="F70">
            <v>685</v>
          </cell>
          <cell r="G70">
            <v>798</v>
          </cell>
          <cell r="H70">
            <v>842</v>
          </cell>
          <cell r="I70">
            <v>913</v>
          </cell>
          <cell r="J70">
            <v>922</v>
          </cell>
          <cell r="K70">
            <v>1013</v>
          </cell>
          <cell r="L70">
            <v>1010</v>
          </cell>
          <cell r="M70">
            <v>1181</v>
          </cell>
          <cell r="N70">
            <v>1038</v>
          </cell>
          <cell r="O70">
            <v>1343</v>
          </cell>
          <cell r="P70">
            <v>1175</v>
          </cell>
          <cell r="R70">
            <v>1038</v>
          </cell>
          <cell r="S70">
            <v>1343</v>
          </cell>
          <cell r="T70">
            <v>1175</v>
          </cell>
        </row>
        <row r="72">
          <cell r="F72">
            <v>325</v>
          </cell>
          <cell r="G72">
            <v>358</v>
          </cell>
          <cell r="H72">
            <v>486</v>
          </cell>
          <cell r="I72">
            <v>498</v>
          </cell>
          <cell r="J72">
            <v>381</v>
          </cell>
          <cell r="K72">
            <v>383</v>
          </cell>
          <cell r="L72">
            <v>443</v>
          </cell>
          <cell r="M72">
            <v>604</v>
          </cell>
          <cell r="N72">
            <v>412</v>
          </cell>
          <cell r="O72">
            <v>591</v>
          </cell>
          <cell r="P72">
            <v>492</v>
          </cell>
          <cell r="Q72">
            <v>465037750.80999988</v>
          </cell>
          <cell r="R72">
            <v>513409245.25999999</v>
          </cell>
          <cell r="S72">
            <v>712035481.99999988</v>
          </cell>
        </row>
        <row r="73">
          <cell r="F73">
            <v>360</v>
          </cell>
          <cell r="G73">
            <v>440</v>
          </cell>
          <cell r="H73">
            <v>356</v>
          </cell>
          <cell r="I73">
            <v>415</v>
          </cell>
          <cell r="J73">
            <v>541</v>
          </cell>
          <cell r="K73">
            <v>630</v>
          </cell>
          <cell r="L73">
            <v>567</v>
          </cell>
          <cell r="M73">
            <v>577</v>
          </cell>
          <cell r="N73">
            <v>626</v>
          </cell>
          <cell r="O73">
            <v>752</v>
          </cell>
          <cell r="P73">
            <v>683</v>
          </cell>
          <cell r="Q73">
            <v>895288390.87710011</v>
          </cell>
          <cell r="R73">
            <v>631917540.59000051</v>
          </cell>
          <cell r="S73">
            <v>767462858.73999977</v>
          </cell>
        </row>
        <row r="74">
          <cell r="F74">
            <v>685</v>
          </cell>
          <cell r="G74">
            <v>798</v>
          </cell>
          <cell r="H74">
            <v>842</v>
          </cell>
          <cell r="I74">
            <v>913</v>
          </cell>
          <cell r="J74">
            <v>922</v>
          </cell>
          <cell r="K74">
            <v>1013</v>
          </cell>
          <cell r="L74">
            <v>1010</v>
          </cell>
          <cell r="M74">
            <v>1181</v>
          </cell>
          <cell r="N74">
            <v>1038</v>
          </cell>
          <cell r="O74">
            <v>1343</v>
          </cell>
          <cell r="P74">
            <v>1175</v>
          </cell>
          <cell r="Q74">
            <v>1360326141.6870999</v>
          </cell>
          <cell r="R74">
            <v>1145326785.8500004</v>
          </cell>
          <cell r="S74">
            <v>1479498340.7399998</v>
          </cell>
          <cell r="T74">
            <v>1175</v>
          </cell>
        </row>
        <row r="77">
          <cell r="F77">
            <v>3953</v>
          </cell>
          <cell r="G77">
            <v>4938</v>
          </cell>
          <cell r="H77">
            <v>4331</v>
          </cell>
          <cell r="I77">
            <v>5463</v>
          </cell>
          <cell r="J77">
            <v>5106</v>
          </cell>
          <cell r="K77">
            <v>5851</v>
          </cell>
          <cell r="L77">
            <v>5364</v>
          </cell>
          <cell r="M77">
            <v>5505</v>
          </cell>
          <cell r="N77">
            <v>5454</v>
          </cell>
          <cell r="O77">
            <v>6234</v>
          </cell>
          <cell r="P77">
            <v>6052</v>
          </cell>
          <cell r="Q77">
            <v>6173</v>
          </cell>
          <cell r="R77">
            <v>5711</v>
          </cell>
          <cell r="S77">
            <v>7281</v>
          </cell>
        </row>
        <row r="78">
          <cell r="F78">
            <v>51</v>
          </cell>
          <cell r="G78">
            <v>52</v>
          </cell>
          <cell r="H78">
            <v>57</v>
          </cell>
          <cell r="I78">
            <v>62</v>
          </cell>
          <cell r="J78">
            <v>65</v>
          </cell>
          <cell r="K78">
            <v>69</v>
          </cell>
          <cell r="L78">
            <v>76</v>
          </cell>
          <cell r="M78">
            <v>76</v>
          </cell>
          <cell r="N78">
            <v>80</v>
          </cell>
          <cell r="O78">
            <v>87</v>
          </cell>
          <cell r="P78">
            <v>91</v>
          </cell>
          <cell r="Q78">
            <v>97</v>
          </cell>
          <cell r="R78">
            <v>96</v>
          </cell>
          <cell r="S78">
            <v>107</v>
          </cell>
        </row>
        <row r="79">
          <cell r="F79">
            <v>77</v>
          </cell>
          <cell r="G79">
            <v>83</v>
          </cell>
          <cell r="H79">
            <v>92</v>
          </cell>
          <cell r="I79">
            <v>100</v>
          </cell>
          <cell r="J79">
            <v>97</v>
          </cell>
          <cell r="K79">
            <v>85</v>
          </cell>
          <cell r="L79">
            <v>80</v>
          </cell>
          <cell r="M79">
            <v>99</v>
          </cell>
          <cell r="N79">
            <v>123</v>
          </cell>
          <cell r="O79">
            <v>89</v>
          </cell>
          <cell r="P79">
            <v>130</v>
          </cell>
          <cell r="Q79">
            <v>154</v>
          </cell>
          <cell r="R79">
            <v>177</v>
          </cell>
          <cell r="S79">
            <v>180</v>
          </cell>
        </row>
        <row r="80">
          <cell r="F80">
            <v>75</v>
          </cell>
          <cell r="G80">
            <v>86</v>
          </cell>
          <cell r="H80">
            <v>78</v>
          </cell>
          <cell r="I80">
            <v>92</v>
          </cell>
          <cell r="J80">
            <v>73</v>
          </cell>
          <cell r="K80">
            <v>82</v>
          </cell>
          <cell r="L80">
            <v>86</v>
          </cell>
          <cell r="M80">
            <v>94</v>
          </cell>
          <cell r="N80">
            <v>95</v>
          </cell>
          <cell r="O80">
            <v>119</v>
          </cell>
          <cell r="P80">
            <v>133</v>
          </cell>
          <cell r="Q80">
            <v>133</v>
          </cell>
          <cell r="R80">
            <v>117</v>
          </cell>
          <cell r="S80">
            <v>147</v>
          </cell>
        </row>
        <row r="81">
          <cell r="F81">
            <v>37</v>
          </cell>
          <cell r="G81">
            <v>36</v>
          </cell>
          <cell r="H81">
            <v>37</v>
          </cell>
          <cell r="I81">
            <v>47</v>
          </cell>
          <cell r="J81">
            <v>43</v>
          </cell>
          <cell r="K81">
            <v>25</v>
          </cell>
          <cell r="L81">
            <v>50</v>
          </cell>
          <cell r="M81">
            <v>30</v>
          </cell>
          <cell r="N81">
            <v>48</v>
          </cell>
          <cell r="O81">
            <v>55</v>
          </cell>
          <cell r="P81">
            <v>50</v>
          </cell>
          <cell r="Q81">
            <v>20</v>
          </cell>
          <cell r="R81">
            <v>25</v>
          </cell>
          <cell r="S81">
            <v>26</v>
          </cell>
        </row>
        <row r="82">
          <cell r="F82">
            <v>4193</v>
          </cell>
          <cell r="G82">
            <v>5195</v>
          </cell>
          <cell r="H82">
            <v>4595</v>
          </cell>
          <cell r="I82">
            <v>5764</v>
          </cell>
          <cell r="J82">
            <v>5384</v>
          </cell>
          <cell r="K82">
            <v>6112</v>
          </cell>
          <cell r="L82">
            <v>5656</v>
          </cell>
          <cell r="M82">
            <v>5804</v>
          </cell>
          <cell r="N82">
            <v>5800</v>
          </cell>
          <cell r="O82">
            <v>6584</v>
          </cell>
          <cell r="P82">
            <v>6456</v>
          </cell>
          <cell r="Q82">
            <v>6577</v>
          </cell>
          <cell r="R82">
            <v>6126</v>
          </cell>
          <cell r="S82">
            <v>7741</v>
          </cell>
          <cell r="T82">
            <v>6456</v>
          </cell>
        </row>
        <row r="85">
          <cell r="F85">
            <v>307</v>
          </cell>
          <cell r="G85">
            <v>433</v>
          </cell>
          <cell r="H85">
            <v>350</v>
          </cell>
          <cell r="I85">
            <v>229</v>
          </cell>
          <cell r="J85">
            <v>333</v>
          </cell>
          <cell r="K85">
            <v>353</v>
          </cell>
          <cell r="L85">
            <v>343</v>
          </cell>
          <cell r="M85">
            <v>320</v>
          </cell>
          <cell r="N85">
            <v>428</v>
          </cell>
          <cell r="O85">
            <v>454</v>
          </cell>
          <cell r="P85">
            <v>507</v>
          </cell>
          <cell r="Q85">
            <v>455</v>
          </cell>
          <cell r="R85">
            <v>353</v>
          </cell>
          <cell r="S85">
            <v>456</v>
          </cell>
        </row>
        <row r="86">
          <cell r="F86">
            <v>201</v>
          </cell>
          <cell r="G86">
            <v>207</v>
          </cell>
          <cell r="H86">
            <v>210</v>
          </cell>
          <cell r="I86">
            <v>249</v>
          </cell>
          <cell r="J86">
            <v>225</v>
          </cell>
          <cell r="K86">
            <v>253</v>
          </cell>
          <cell r="L86">
            <v>266</v>
          </cell>
          <cell r="M86">
            <v>295</v>
          </cell>
          <cell r="N86">
            <v>239</v>
          </cell>
          <cell r="O86">
            <v>253</v>
          </cell>
          <cell r="P86">
            <v>254</v>
          </cell>
          <cell r="Q86">
            <v>248</v>
          </cell>
          <cell r="R86">
            <v>260</v>
          </cell>
          <cell r="S86">
            <v>187</v>
          </cell>
        </row>
        <row r="87">
          <cell r="F87">
            <v>37</v>
          </cell>
          <cell r="G87">
            <v>35</v>
          </cell>
          <cell r="H87">
            <v>39</v>
          </cell>
          <cell r="I87">
            <v>38</v>
          </cell>
          <cell r="J87">
            <v>43</v>
          </cell>
          <cell r="K87">
            <v>50</v>
          </cell>
          <cell r="L87">
            <v>63</v>
          </cell>
          <cell r="M87">
            <v>31</v>
          </cell>
          <cell r="N87">
            <v>78</v>
          </cell>
          <cell r="O87">
            <v>88</v>
          </cell>
          <cell r="P87">
            <v>103</v>
          </cell>
          <cell r="Q87">
            <v>117</v>
          </cell>
          <cell r="R87">
            <v>118</v>
          </cell>
          <cell r="S87">
            <v>125</v>
          </cell>
        </row>
        <row r="88">
          <cell r="F88">
            <v>78</v>
          </cell>
          <cell r="G88">
            <v>81</v>
          </cell>
          <cell r="H88">
            <v>82</v>
          </cell>
          <cell r="I88">
            <v>105</v>
          </cell>
          <cell r="J88">
            <v>85</v>
          </cell>
          <cell r="K88">
            <v>91</v>
          </cell>
          <cell r="L88">
            <v>59</v>
          </cell>
          <cell r="M88">
            <v>123</v>
          </cell>
          <cell r="N88">
            <v>96</v>
          </cell>
          <cell r="O88">
            <v>79</v>
          </cell>
          <cell r="P88">
            <v>86</v>
          </cell>
          <cell r="Q88">
            <v>89</v>
          </cell>
          <cell r="R88">
            <v>138</v>
          </cell>
          <cell r="S88">
            <v>113</v>
          </cell>
        </row>
        <row r="89">
          <cell r="F89">
            <v>26</v>
          </cell>
          <cell r="G89">
            <v>32</v>
          </cell>
          <cell r="H89">
            <v>27</v>
          </cell>
          <cell r="I89">
            <v>48</v>
          </cell>
          <cell r="J89">
            <v>26</v>
          </cell>
          <cell r="K89">
            <v>9</v>
          </cell>
          <cell r="L89">
            <v>21</v>
          </cell>
          <cell r="M89">
            <v>13</v>
          </cell>
          <cell r="N89">
            <v>18</v>
          </cell>
          <cell r="O89">
            <v>24</v>
          </cell>
          <cell r="P89">
            <v>25</v>
          </cell>
          <cell r="Q89">
            <v>25</v>
          </cell>
          <cell r="R89">
            <v>15</v>
          </cell>
          <cell r="S89">
            <v>16</v>
          </cell>
        </row>
        <row r="90">
          <cell r="F90">
            <v>649</v>
          </cell>
          <cell r="G90">
            <v>788</v>
          </cell>
          <cell r="H90">
            <v>708</v>
          </cell>
          <cell r="I90">
            <v>669</v>
          </cell>
          <cell r="J90">
            <v>712</v>
          </cell>
          <cell r="K90">
            <v>756</v>
          </cell>
          <cell r="L90">
            <v>752</v>
          </cell>
          <cell r="M90">
            <v>782</v>
          </cell>
          <cell r="N90">
            <v>859</v>
          </cell>
          <cell r="O90">
            <v>898</v>
          </cell>
          <cell r="P90">
            <v>975</v>
          </cell>
          <cell r="Q90">
            <v>934</v>
          </cell>
          <cell r="R90">
            <v>884</v>
          </cell>
          <cell r="S90">
            <v>897</v>
          </cell>
          <cell r="T90">
            <v>975</v>
          </cell>
        </row>
      </sheetData>
      <sheetData sheetId="1">
        <row r="5">
          <cell r="F5" t="str">
            <v>Actuals - Penultimate-1 Fiscal Year</v>
          </cell>
        </row>
      </sheetData>
      <sheetData sheetId="2">
        <row r="5">
          <cell r="F5" t="str">
            <v>Actuals - Penultimate-1 Fiscal Year</v>
          </cell>
        </row>
      </sheetData>
      <sheetData sheetId="3">
        <row r="5">
          <cell r="F5" t="str">
            <v>Actuals - Penultimate-1 Fiscal Year</v>
          </cell>
        </row>
      </sheetData>
      <sheetData sheetId="4">
        <row r="5">
          <cell r="F5" t="str">
            <v>Actuals - Penultimate-1 Fiscal Year</v>
          </cell>
        </row>
      </sheetData>
      <sheetData sheetId="5"/>
      <sheetData sheetId="6"/>
      <sheetData sheetId="7"/>
      <sheetData sheetId="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lance Sheet"/>
      <sheetName val="Consolidated Balance Sheet"/>
    </sheetNames>
    <definedNames>
      <definedName name="Categories" refersTo="#REF!"/>
      <definedName name="PTtop" refersTo="#REF!"/>
      <definedName name="SalesLocations" refersTo="#REF!"/>
    </definedNames>
    <sheetDataSet>
      <sheetData sheetId="0"/>
      <sheetData sheetId="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WW Scoreboard pg 1"/>
      <sheetName val="WW Scoreboard pg 2"/>
      <sheetName val="Stock Price History lookup"/>
      <sheetName val=" DC ROVAC"/>
      <sheetName val="Driver"/>
      <sheetName val="FY01"/>
      <sheetName val="Prior Month"/>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ySub"/>
    </sheetNames>
    <sheetDataSet>
      <sheetData sheetId="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11BC2-3701-4C52-B796-2C2225388DA0}">
  <dimension ref="M2:O7"/>
  <sheetViews>
    <sheetView zoomScale="130" zoomScaleNormal="130" workbookViewId="0">
      <selection activeCell="N7" sqref="N7"/>
    </sheetView>
  </sheetViews>
  <sheetFormatPr defaultRowHeight="12.5" x14ac:dyDescent="0.25"/>
  <sheetData>
    <row r="2" spans="13:15" x14ac:dyDescent="0.25">
      <c r="M2" s="88" t="s">
        <v>104</v>
      </c>
      <c r="N2" s="89">
        <v>1122</v>
      </c>
    </row>
    <row r="3" spans="13:15" x14ac:dyDescent="0.25">
      <c r="M3" s="88" t="s">
        <v>105</v>
      </c>
      <c r="N3" s="92">
        <v>434</v>
      </c>
      <c r="O3" s="90" t="s">
        <v>132</v>
      </c>
    </row>
    <row r="4" spans="13:15" x14ac:dyDescent="0.25">
      <c r="M4" s="88" t="s">
        <v>106</v>
      </c>
      <c r="N4" s="92">
        <f>+N2*N3</f>
        <v>486948</v>
      </c>
      <c r="O4" s="91"/>
    </row>
    <row r="5" spans="13:15" x14ac:dyDescent="0.25">
      <c r="M5" s="88" t="s">
        <v>107</v>
      </c>
      <c r="N5" s="92">
        <v>9324</v>
      </c>
      <c r="O5" s="90" t="s">
        <v>132</v>
      </c>
    </row>
    <row r="6" spans="13:15" x14ac:dyDescent="0.25">
      <c r="M6" s="88" t="s">
        <v>108</v>
      </c>
      <c r="N6" s="92">
        <v>14463</v>
      </c>
      <c r="O6" s="90" t="s">
        <v>132</v>
      </c>
    </row>
    <row r="7" spans="13:15" x14ac:dyDescent="0.25">
      <c r="M7" s="88" t="s">
        <v>109</v>
      </c>
      <c r="N7" s="92">
        <f>+N4-N5+N6</f>
        <v>492087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I73"/>
  <sheetViews>
    <sheetView tabSelected="1" zoomScale="145" zoomScaleNormal="145" zoomScaleSheetLayoutView="100" zoomScalePageLayoutView="130" workbookViewId="0">
      <pane xSplit="2" ySplit="2" topLeftCell="AA3" activePane="bottomRight" state="frozen"/>
      <selection pane="topRight" activeCell="C1" sqref="C1"/>
      <selection pane="bottomLeft" activeCell="A5" sqref="A5"/>
      <selection pane="bottomRight" activeCell="AL29" sqref="AL29"/>
    </sheetView>
  </sheetViews>
  <sheetFormatPr defaultColWidth="9.1796875" defaultRowHeight="12.5" x14ac:dyDescent="0.25"/>
  <cols>
    <col min="1" max="1" width="5" style="71" bestFit="1" customWidth="1"/>
    <col min="2" max="2" width="18.36328125" style="71" customWidth="1"/>
    <col min="3" max="18" width="10.7265625" style="83" customWidth="1"/>
    <col min="19" max="26" width="9.08984375" style="83" customWidth="1"/>
    <col min="27" max="28" width="10.7265625" style="83" customWidth="1"/>
    <col min="29" max="29" width="9.1796875" style="71"/>
    <col min="30" max="31" width="8.90625" style="83" customWidth="1"/>
    <col min="32" max="35" width="8.90625" style="71" customWidth="1"/>
    <col min="36" max="16384" width="9.1796875" style="71"/>
  </cols>
  <sheetData>
    <row r="1" spans="1:35" x14ac:dyDescent="0.25">
      <c r="A1" s="72" t="s">
        <v>102</v>
      </c>
      <c r="B1" s="72"/>
    </row>
    <row r="2" spans="1:35" x14ac:dyDescent="0.25">
      <c r="A2" s="72"/>
      <c r="B2" s="72"/>
      <c r="C2" s="78" t="s">
        <v>87</v>
      </c>
      <c r="D2" s="78" t="s">
        <v>88</v>
      </c>
      <c r="E2" s="78" t="s">
        <v>89</v>
      </c>
      <c r="F2" s="78" t="s">
        <v>90</v>
      </c>
      <c r="G2" s="78" t="s">
        <v>91</v>
      </c>
      <c r="H2" s="78" t="s">
        <v>92</v>
      </c>
      <c r="I2" s="78" t="s">
        <v>93</v>
      </c>
      <c r="J2" s="78" t="s">
        <v>94</v>
      </c>
      <c r="K2" s="78" t="s">
        <v>95</v>
      </c>
      <c r="L2" s="78" t="s">
        <v>101</v>
      </c>
      <c r="M2" s="78" t="s">
        <v>120</v>
      </c>
      <c r="N2" s="78" t="s">
        <v>121</v>
      </c>
      <c r="O2" s="78" t="s">
        <v>122</v>
      </c>
      <c r="P2" s="78" t="s">
        <v>123</v>
      </c>
      <c r="Q2" s="78" t="s">
        <v>124</v>
      </c>
      <c r="R2" s="78" t="s">
        <v>125</v>
      </c>
      <c r="S2" s="78" t="s">
        <v>126</v>
      </c>
      <c r="T2" s="78" t="s">
        <v>127</v>
      </c>
      <c r="U2" s="78" t="s">
        <v>128</v>
      </c>
      <c r="V2" s="78" t="s">
        <v>129</v>
      </c>
      <c r="W2" s="78" t="s">
        <v>130</v>
      </c>
      <c r="X2" s="78" t="s">
        <v>131</v>
      </c>
      <c r="Y2" s="78" t="s">
        <v>132</v>
      </c>
      <c r="Z2" s="78" t="s">
        <v>133</v>
      </c>
      <c r="AA2" s="78"/>
      <c r="AB2" s="78"/>
      <c r="AD2" s="78">
        <v>2020</v>
      </c>
      <c r="AE2" s="78">
        <v>2021</v>
      </c>
      <c r="AF2" s="71">
        <f>+AE2+1</f>
        <v>2022</v>
      </c>
      <c r="AG2" s="71">
        <f>+AF2+1</f>
        <v>2023</v>
      </c>
      <c r="AH2" s="71">
        <f>+AG2+1</f>
        <v>2024</v>
      </c>
      <c r="AI2" s="71">
        <f>+AH2+1</f>
        <v>2025</v>
      </c>
    </row>
    <row r="3" spans="1:35" s="125" customFormat="1" ht="13" x14ac:dyDescent="0.3">
      <c r="A3" s="79"/>
      <c r="B3" s="79" t="s">
        <v>103</v>
      </c>
      <c r="C3" s="123"/>
      <c r="D3" s="123"/>
      <c r="E3" s="123"/>
      <c r="F3" s="123"/>
      <c r="G3" s="124">
        <f>SUM(G4:G7)</f>
        <v>207639</v>
      </c>
      <c r="H3" s="124">
        <v>209180</v>
      </c>
      <c r="I3" s="124">
        <v>213560</v>
      </c>
      <c r="J3" s="124">
        <v>221840</v>
      </c>
      <c r="K3" s="124">
        <f>SUM(K4:K7)</f>
        <v>221641</v>
      </c>
      <c r="L3" s="124">
        <v>219640</v>
      </c>
      <c r="M3" s="124"/>
      <c r="N3" s="124"/>
      <c r="O3" s="124"/>
      <c r="P3" s="124"/>
      <c r="Q3" s="124"/>
      <c r="R3" s="124"/>
      <c r="S3" s="124"/>
      <c r="T3" s="124"/>
      <c r="U3" s="124"/>
      <c r="V3" s="124"/>
      <c r="W3" s="124"/>
      <c r="X3" s="124"/>
      <c r="Y3" s="124"/>
      <c r="Z3" s="124"/>
      <c r="AA3" s="124"/>
      <c r="AB3" s="124"/>
      <c r="AD3" s="96"/>
      <c r="AE3" s="96"/>
    </row>
    <row r="4" spans="1:35" s="77" customFormat="1" ht="13" x14ac:dyDescent="0.3">
      <c r="A4" s="93"/>
      <c r="B4" s="93" t="s">
        <v>110</v>
      </c>
      <c r="C4" s="94"/>
      <c r="D4" s="94"/>
      <c r="E4" s="94"/>
      <c r="F4" s="94"/>
      <c r="G4" s="94">
        <v>74384</v>
      </c>
      <c r="H4" s="94"/>
      <c r="I4" s="94"/>
      <c r="J4" s="94"/>
      <c r="K4" s="94">
        <v>74579</v>
      </c>
      <c r="L4" s="94"/>
      <c r="M4" s="94"/>
      <c r="N4" s="94"/>
      <c r="O4" s="94"/>
      <c r="P4" s="94"/>
      <c r="Q4" s="94"/>
      <c r="R4" s="94"/>
      <c r="S4" s="94"/>
      <c r="T4" s="94"/>
      <c r="U4" s="94"/>
      <c r="V4" s="94"/>
      <c r="W4" s="94"/>
      <c r="X4" s="94"/>
      <c r="Y4" s="94"/>
      <c r="Z4" s="94"/>
      <c r="AA4" s="94"/>
      <c r="AB4" s="94"/>
      <c r="AD4" s="97"/>
      <c r="AE4" s="97"/>
    </row>
    <row r="5" spans="1:35" s="77" customFormat="1" ht="13" x14ac:dyDescent="0.3">
      <c r="A5" s="93"/>
      <c r="B5" s="93" t="s">
        <v>111</v>
      </c>
      <c r="C5" s="94"/>
      <c r="D5" s="94"/>
      <c r="E5" s="94"/>
      <c r="F5" s="94"/>
      <c r="G5" s="94">
        <v>68508</v>
      </c>
      <c r="H5" s="94"/>
      <c r="I5" s="94"/>
      <c r="J5" s="94"/>
      <c r="K5" s="94">
        <v>73733</v>
      </c>
      <c r="L5" s="94"/>
      <c r="M5" s="94"/>
      <c r="N5" s="94"/>
      <c r="O5" s="94"/>
      <c r="P5" s="94"/>
      <c r="Q5" s="94"/>
      <c r="R5" s="94"/>
      <c r="S5" s="94"/>
      <c r="T5" s="94"/>
      <c r="U5" s="94"/>
      <c r="V5" s="94"/>
      <c r="W5" s="94"/>
      <c r="X5" s="94"/>
      <c r="Y5" s="94"/>
      <c r="Z5" s="94"/>
      <c r="AA5" s="94"/>
      <c r="AB5" s="94"/>
      <c r="AD5" s="97"/>
      <c r="AE5" s="97"/>
    </row>
    <row r="6" spans="1:35" s="77" customFormat="1" ht="13" x14ac:dyDescent="0.3">
      <c r="A6" s="93"/>
      <c r="B6" s="93" t="s">
        <v>117</v>
      </c>
      <c r="C6" s="94"/>
      <c r="D6" s="94"/>
      <c r="E6" s="94"/>
      <c r="F6" s="94"/>
      <c r="G6" s="94">
        <v>37894</v>
      </c>
      <c r="H6" s="94"/>
      <c r="I6" s="94"/>
      <c r="J6" s="94"/>
      <c r="K6" s="94">
        <v>39610</v>
      </c>
      <c r="L6" s="94"/>
      <c r="M6" s="94"/>
      <c r="N6" s="94"/>
      <c r="O6" s="94"/>
      <c r="P6" s="94"/>
      <c r="Q6" s="94"/>
      <c r="R6" s="94"/>
      <c r="S6" s="94"/>
      <c r="T6" s="94"/>
      <c r="U6" s="94"/>
      <c r="V6" s="94"/>
      <c r="W6" s="94"/>
      <c r="X6" s="94"/>
      <c r="Y6" s="94"/>
      <c r="Z6" s="94"/>
      <c r="AA6" s="94"/>
      <c r="AB6" s="94"/>
      <c r="AD6" s="97"/>
      <c r="AE6" s="97"/>
    </row>
    <row r="7" spans="1:35" s="77" customFormat="1" ht="13" x14ac:dyDescent="0.3">
      <c r="A7" s="93"/>
      <c r="B7" s="93" t="s">
        <v>118</v>
      </c>
      <c r="C7" s="94"/>
      <c r="D7" s="94"/>
      <c r="E7" s="94"/>
      <c r="F7" s="94"/>
      <c r="G7" s="94">
        <v>26853</v>
      </c>
      <c r="H7" s="94"/>
      <c r="I7" s="94"/>
      <c r="J7" s="94"/>
      <c r="K7" s="94">
        <v>33719</v>
      </c>
      <c r="L7" s="94"/>
      <c r="M7" s="94"/>
      <c r="N7" s="94"/>
      <c r="O7" s="94"/>
      <c r="P7" s="94"/>
      <c r="Q7" s="94"/>
      <c r="R7" s="94"/>
      <c r="S7" s="94"/>
      <c r="T7" s="94"/>
      <c r="U7" s="94"/>
      <c r="V7" s="94"/>
      <c r="W7" s="94"/>
      <c r="X7" s="94"/>
      <c r="Y7" s="94"/>
      <c r="Z7" s="94"/>
      <c r="AA7" s="94"/>
      <c r="AB7" s="94"/>
      <c r="AD7" s="97"/>
      <c r="AE7" s="97"/>
    </row>
    <row r="8" spans="1:35" ht="13" x14ac:dyDescent="0.3">
      <c r="A8" s="72"/>
      <c r="B8" s="72"/>
      <c r="C8" s="78"/>
      <c r="D8" s="78"/>
      <c r="E8" s="78"/>
      <c r="F8" s="78"/>
      <c r="G8" s="78"/>
      <c r="H8" s="78"/>
      <c r="I8" s="78"/>
      <c r="J8" s="78"/>
      <c r="K8" s="78"/>
      <c r="L8" s="78"/>
      <c r="M8" s="78"/>
      <c r="N8" s="78"/>
      <c r="O8" s="78"/>
      <c r="P8" s="78"/>
      <c r="Q8" s="78"/>
      <c r="R8" s="78"/>
      <c r="S8" s="78"/>
      <c r="T8" s="78"/>
      <c r="U8" s="78"/>
      <c r="V8" s="78"/>
      <c r="W8" s="78"/>
      <c r="X8" s="78"/>
      <c r="Y8" s="78"/>
      <c r="Z8" s="78"/>
      <c r="AA8" s="78"/>
      <c r="AB8" s="78"/>
      <c r="AD8" s="96"/>
      <c r="AE8" s="96"/>
    </row>
    <row r="9" spans="1:35" ht="13" x14ac:dyDescent="0.3">
      <c r="A9" s="72"/>
      <c r="B9" s="72" t="s">
        <v>160</v>
      </c>
      <c r="C9" s="78"/>
      <c r="D9" s="78"/>
      <c r="E9" s="78"/>
      <c r="F9" s="78"/>
      <c r="G9" s="78"/>
      <c r="H9" s="78"/>
      <c r="I9" s="78"/>
      <c r="J9" s="78"/>
      <c r="K9" s="78"/>
      <c r="L9" s="78"/>
      <c r="M9" s="78"/>
      <c r="N9" s="78"/>
      <c r="O9" s="78"/>
      <c r="P9" s="78"/>
      <c r="Q9" s="78"/>
      <c r="R9" s="78"/>
      <c r="S9" s="94">
        <v>4224.3149999999996</v>
      </c>
      <c r="T9" s="94">
        <v>4295.5600000000004</v>
      </c>
      <c r="U9" s="94">
        <v>4322.4759999999997</v>
      </c>
      <c r="V9" s="94">
        <v>4517.018</v>
      </c>
      <c r="W9" s="94">
        <v>4617.098</v>
      </c>
      <c r="X9" s="94">
        <v>4929.0029999999997</v>
      </c>
      <c r="Y9" s="94">
        <v>5071.7809999999999</v>
      </c>
      <c r="Z9" s="78"/>
      <c r="AA9" s="78"/>
      <c r="AB9" s="78"/>
      <c r="AD9" s="96"/>
      <c r="AE9" s="96"/>
    </row>
    <row r="10" spans="1:35" ht="13" x14ac:dyDescent="0.3">
      <c r="A10" s="72"/>
      <c r="B10" s="72" t="s">
        <v>111</v>
      </c>
      <c r="C10" s="78"/>
      <c r="D10" s="78"/>
      <c r="E10" s="78"/>
      <c r="F10" s="78"/>
      <c r="G10" s="78"/>
      <c r="H10" s="78"/>
      <c r="I10" s="78"/>
      <c r="J10" s="78"/>
      <c r="K10" s="78"/>
      <c r="L10" s="78"/>
      <c r="M10" s="78"/>
      <c r="N10" s="78"/>
      <c r="O10" s="78"/>
      <c r="P10" s="78"/>
      <c r="Q10" s="78"/>
      <c r="R10" s="78"/>
      <c r="S10" s="94">
        <v>2958.1930000000002</v>
      </c>
      <c r="T10" s="94">
        <v>3007.7719999999999</v>
      </c>
      <c r="U10" s="94">
        <v>3133.4659999999999</v>
      </c>
      <c r="V10" s="94">
        <v>3287.6039999999998</v>
      </c>
      <c r="W10" s="94">
        <v>3404.6759999999999</v>
      </c>
      <c r="X10" s="94">
        <v>3538.1750000000002</v>
      </c>
      <c r="Y10" s="94">
        <v>3699.0520000000001</v>
      </c>
      <c r="Z10" s="78"/>
      <c r="AA10" s="78"/>
      <c r="AB10" s="78"/>
      <c r="AD10" s="96"/>
      <c r="AE10" s="96"/>
    </row>
    <row r="11" spans="1:35" ht="13" x14ac:dyDescent="0.3">
      <c r="A11" s="72"/>
      <c r="B11" s="72" t="s">
        <v>161</v>
      </c>
      <c r="C11" s="78"/>
      <c r="D11" s="78"/>
      <c r="E11" s="78"/>
      <c r="F11" s="78"/>
      <c r="G11" s="78"/>
      <c r="H11" s="78"/>
      <c r="I11" s="78"/>
      <c r="J11" s="78"/>
      <c r="K11" s="78"/>
      <c r="L11" s="78"/>
      <c r="M11" s="78"/>
      <c r="N11" s="78"/>
      <c r="O11" s="78"/>
      <c r="P11" s="78"/>
      <c r="Q11" s="78"/>
      <c r="R11" s="78"/>
      <c r="S11" s="94">
        <v>1165.008</v>
      </c>
      <c r="T11" s="94">
        <v>1204.145</v>
      </c>
      <c r="U11" s="94">
        <v>1240.8920000000001</v>
      </c>
      <c r="V11" s="94">
        <v>1229.771</v>
      </c>
      <c r="W11" s="94">
        <v>1261.934</v>
      </c>
      <c r="X11" s="94">
        <v>1306.7349999999999</v>
      </c>
      <c r="Y11" s="94">
        <v>1370.913</v>
      </c>
      <c r="Z11" s="78"/>
      <c r="AA11" s="78"/>
      <c r="AB11" s="78"/>
      <c r="AD11" s="96"/>
      <c r="AE11" s="96"/>
    </row>
    <row r="12" spans="1:35" ht="13" x14ac:dyDescent="0.3">
      <c r="A12" s="72"/>
      <c r="B12" s="72" t="s">
        <v>118</v>
      </c>
      <c r="C12" s="78"/>
      <c r="D12" s="78"/>
      <c r="E12" s="78"/>
      <c r="F12" s="78"/>
      <c r="G12" s="78"/>
      <c r="H12" s="78"/>
      <c r="I12" s="78"/>
      <c r="J12" s="78"/>
      <c r="K12" s="78"/>
      <c r="L12" s="78"/>
      <c r="M12" s="78"/>
      <c r="N12" s="78"/>
      <c r="O12" s="78"/>
      <c r="P12" s="78"/>
      <c r="Q12" s="78"/>
      <c r="R12" s="78"/>
      <c r="S12" s="94">
        <v>1022.924</v>
      </c>
      <c r="T12" s="94">
        <v>1051.8330000000001</v>
      </c>
      <c r="U12" s="94">
        <v>1127.8689999999999</v>
      </c>
      <c r="V12" s="94">
        <v>1212.1199999999999</v>
      </c>
      <c r="W12" s="94">
        <v>1259.0930000000001</v>
      </c>
      <c r="X12" s="94">
        <v>1305.2529999999999</v>
      </c>
      <c r="Y12" s="94">
        <v>1368.5609999999999</v>
      </c>
      <c r="Z12" s="78"/>
      <c r="AA12" s="78"/>
      <c r="AB12" s="78"/>
      <c r="AD12" s="96"/>
      <c r="AE12" s="96"/>
    </row>
    <row r="13" spans="1:35" ht="13" x14ac:dyDescent="0.3">
      <c r="A13" s="72"/>
      <c r="B13" s="72"/>
      <c r="C13" s="78"/>
      <c r="D13" s="78"/>
      <c r="E13" s="78"/>
      <c r="F13" s="78"/>
      <c r="G13" s="78"/>
      <c r="H13" s="78"/>
      <c r="I13" s="78"/>
      <c r="J13" s="78"/>
      <c r="K13" s="78"/>
      <c r="L13" s="78"/>
      <c r="M13" s="78"/>
      <c r="N13" s="78"/>
      <c r="O13" s="78"/>
      <c r="P13" s="78"/>
      <c r="Q13" s="78"/>
      <c r="R13" s="78"/>
      <c r="S13" s="78"/>
      <c r="T13" s="78"/>
      <c r="U13" s="78"/>
      <c r="V13" s="78"/>
      <c r="W13" s="78"/>
      <c r="X13" s="78"/>
      <c r="Y13" s="78"/>
      <c r="Z13" s="78"/>
      <c r="AA13" s="78"/>
      <c r="AB13" s="78"/>
      <c r="AD13" s="96"/>
      <c r="AE13" s="96"/>
    </row>
    <row r="14" spans="1:35" s="126" customFormat="1" ht="13" x14ac:dyDescent="0.3">
      <c r="B14" s="127" t="s">
        <v>31</v>
      </c>
      <c r="C14" s="128">
        <v>5767.6909999999998</v>
      </c>
      <c r="D14" s="128">
        <v>6148.2860000000001</v>
      </c>
      <c r="E14" s="128">
        <v>6435.6369999999997</v>
      </c>
      <c r="F14" s="128">
        <v>6644.442</v>
      </c>
      <c r="G14" s="128">
        <v>7163.2820000000002</v>
      </c>
      <c r="H14" s="128">
        <v>7341.777</v>
      </c>
      <c r="I14" s="128">
        <v>7483.4669999999996</v>
      </c>
      <c r="J14" s="128">
        <v>7709.3180000000002</v>
      </c>
      <c r="K14" s="128">
        <v>7867.7669999999998</v>
      </c>
      <c r="L14" s="128"/>
      <c r="M14" s="128"/>
      <c r="N14" s="128"/>
      <c r="O14" s="128"/>
      <c r="P14" s="128"/>
      <c r="Q14" s="128"/>
      <c r="R14" s="128"/>
      <c r="S14" s="128">
        <f>SUM(S9:S12)</f>
        <v>9370.4399999999987</v>
      </c>
      <c r="T14" s="128">
        <f>SUM(T9:T12)</f>
        <v>9559.3100000000013</v>
      </c>
      <c r="U14" s="128">
        <f>SUM(U9:U12)</f>
        <v>9824.7029999999995</v>
      </c>
      <c r="V14" s="128">
        <f>SUM(V9:V12)</f>
        <v>10246.512999999999</v>
      </c>
      <c r="W14" s="128">
        <f>SUM(W9:W12)</f>
        <v>10542.800999999999</v>
      </c>
      <c r="X14" s="128">
        <f>SUM(X9:X12)</f>
        <v>11079.166000000001</v>
      </c>
      <c r="Y14" s="128">
        <f>SUM(Y9:Y12)</f>
        <v>11510.307000000001</v>
      </c>
      <c r="Z14" s="128">
        <f>+V14*1.15</f>
        <v>11783.489949999997</v>
      </c>
      <c r="AA14" s="128"/>
      <c r="AB14" s="128"/>
      <c r="AD14" s="129">
        <f>SUM(C14:F14)</f>
        <v>24996.055999999997</v>
      </c>
      <c r="AE14" s="129">
        <f>SUM(G14:J14)</f>
        <v>29697.844000000001</v>
      </c>
      <c r="AH14" s="126">
        <f>SUM(S14:V14)</f>
        <v>39000.966</v>
      </c>
      <c r="AI14" s="126">
        <f>SUM(W14:Z14)</f>
        <v>44915.76395</v>
      </c>
    </row>
    <row r="15" spans="1:35" s="77" customFormat="1" x14ac:dyDescent="0.25">
      <c r="B15" s="93" t="s">
        <v>112</v>
      </c>
      <c r="C15" s="76">
        <v>3599.701</v>
      </c>
      <c r="D15" s="76">
        <v>3643.7069999999999</v>
      </c>
      <c r="E15" s="76">
        <v>3867.7510000000002</v>
      </c>
      <c r="F15" s="76">
        <v>4165.16</v>
      </c>
      <c r="G15" s="76">
        <v>3868.511</v>
      </c>
      <c r="H15" s="76">
        <v>4018.0079999999998</v>
      </c>
      <c r="I15" s="76">
        <v>4206.5889999999999</v>
      </c>
      <c r="J15" s="76">
        <v>5239.5749999999998</v>
      </c>
      <c r="K15" s="76">
        <v>4284.7049999999999</v>
      </c>
      <c r="L15" s="76"/>
      <c r="M15" s="76"/>
      <c r="N15" s="76"/>
      <c r="O15" s="76"/>
      <c r="P15" s="76"/>
      <c r="Q15" s="76"/>
      <c r="R15" s="76"/>
      <c r="S15" s="76">
        <v>4977.0730000000003</v>
      </c>
      <c r="T15" s="76">
        <v>5174.143</v>
      </c>
      <c r="U15" s="76">
        <v>5119.884</v>
      </c>
      <c r="V15" s="76">
        <v>5767.3639999999996</v>
      </c>
      <c r="W15" s="76">
        <v>5263.1469999999999</v>
      </c>
      <c r="X15" s="76">
        <v>5325.3109999999997</v>
      </c>
      <c r="Y15" s="76">
        <v>6164.25</v>
      </c>
      <c r="Z15" s="76">
        <f>+Z14-Z16</f>
        <v>6009.5798744999984</v>
      </c>
      <c r="AA15" s="76"/>
      <c r="AB15" s="76"/>
      <c r="AD15" s="84">
        <f>SUM(C15:F15)</f>
        <v>15276.319</v>
      </c>
      <c r="AE15" s="84">
        <f>SUM(G15:J15)</f>
        <v>17332.683000000001</v>
      </c>
      <c r="AH15" s="137">
        <f>SUM(S15:V15)</f>
        <v>21038.464</v>
      </c>
      <c r="AI15" s="137">
        <f>SUM(W15:Z15)</f>
        <v>22762.287874499998</v>
      </c>
    </row>
    <row r="16" spans="1:35" s="77" customFormat="1" x14ac:dyDescent="0.25">
      <c r="B16" s="93" t="s">
        <v>113</v>
      </c>
      <c r="C16" s="76">
        <f t="shared" ref="C16" si="0">C14-C15</f>
        <v>2167.9899999999998</v>
      </c>
      <c r="D16" s="76">
        <f t="shared" ref="D16" si="1">D14-D15</f>
        <v>2504.5790000000002</v>
      </c>
      <c r="E16" s="76">
        <f t="shared" ref="E16" si="2">E14-E15</f>
        <v>2567.8859999999995</v>
      </c>
      <c r="F16" s="76">
        <f t="shared" ref="F16" si="3">F14-F15</f>
        <v>2479.2820000000002</v>
      </c>
      <c r="G16" s="76">
        <f>G14-G15</f>
        <v>3294.7710000000002</v>
      </c>
      <c r="H16" s="76">
        <f>H14-H15</f>
        <v>3323.7690000000002</v>
      </c>
      <c r="I16" s="76">
        <f t="shared" ref="G16:J16" si="4">I14-I15</f>
        <v>3276.8779999999997</v>
      </c>
      <c r="J16" s="76">
        <f>J14-J15</f>
        <v>2469.7430000000004</v>
      </c>
      <c r="K16" s="76">
        <f>K14-K15</f>
        <v>3583.0619999999999</v>
      </c>
      <c r="L16" s="76"/>
      <c r="M16" s="76"/>
      <c r="N16" s="76"/>
      <c r="O16" s="76"/>
      <c r="P16" s="76"/>
      <c r="Q16" s="76"/>
      <c r="R16" s="76"/>
      <c r="S16" s="76">
        <f>+S14-S15</f>
        <v>4393.3669999999984</v>
      </c>
      <c r="T16" s="76">
        <f>+T14-T15</f>
        <v>4385.1670000000013</v>
      </c>
      <c r="U16" s="76">
        <f>+U14-U15</f>
        <v>4704.8189999999995</v>
      </c>
      <c r="V16" s="76">
        <f>+V14-V15</f>
        <v>4479.1489999999994</v>
      </c>
      <c r="W16" s="76">
        <f>+W14-W15</f>
        <v>5279.6539999999995</v>
      </c>
      <c r="X16" s="76">
        <f>+X14-X15</f>
        <v>5753.8550000000014</v>
      </c>
      <c r="Y16" s="76">
        <f>+Y14-Y15</f>
        <v>5346.0570000000007</v>
      </c>
      <c r="Z16" s="76">
        <f>+Z14*0.49</f>
        <v>5773.910075499999</v>
      </c>
      <c r="AA16" s="76"/>
      <c r="AB16" s="76"/>
      <c r="AD16" s="84"/>
      <c r="AE16" s="84"/>
      <c r="AH16" s="77">
        <f>+AH14-AH15</f>
        <v>17962.502</v>
      </c>
      <c r="AI16" s="77">
        <f>+AI14-AI15</f>
        <v>22153.476075500002</v>
      </c>
    </row>
    <row r="17" spans="1:35" s="77" customFormat="1" x14ac:dyDescent="0.25">
      <c r="B17" s="93" t="s">
        <v>30</v>
      </c>
      <c r="C17" s="76">
        <v>503.83</v>
      </c>
      <c r="D17" s="76">
        <v>434.37</v>
      </c>
      <c r="E17" s="76">
        <v>527.59699999999998</v>
      </c>
      <c r="F17" s="76">
        <v>762.56500000000005</v>
      </c>
      <c r="G17" s="76">
        <v>512.51199999999994</v>
      </c>
      <c r="H17" s="76">
        <v>603.97299999999996</v>
      </c>
      <c r="I17" s="76">
        <v>635.94799999999998</v>
      </c>
      <c r="J17" s="76">
        <v>792.71299999999997</v>
      </c>
      <c r="K17" s="76">
        <v>555.97799999999995</v>
      </c>
      <c r="L17" s="76"/>
      <c r="M17" s="76"/>
      <c r="N17" s="76"/>
      <c r="O17" s="76"/>
      <c r="P17" s="76"/>
      <c r="Q17" s="76"/>
      <c r="R17" s="76"/>
      <c r="S17" s="76">
        <v>654.34</v>
      </c>
      <c r="T17" s="76">
        <v>644.08399999999995</v>
      </c>
      <c r="U17" s="76">
        <v>642.92600000000004</v>
      </c>
      <c r="V17" s="76">
        <v>976.20399999999995</v>
      </c>
      <c r="W17" s="76">
        <v>688.37</v>
      </c>
      <c r="X17" s="76">
        <v>713.26499999999999</v>
      </c>
      <c r="Y17" s="76">
        <v>786.29499999999996</v>
      </c>
      <c r="Z17" s="76">
        <f>+V17</f>
        <v>976.20399999999995</v>
      </c>
      <c r="AA17" s="76"/>
      <c r="AB17" s="76"/>
      <c r="AD17" s="84">
        <f>SUM(C17:F17)</f>
        <v>2228.3620000000001</v>
      </c>
      <c r="AE17" s="84">
        <f>SUM(G17:J17)</f>
        <v>2545.1459999999997</v>
      </c>
      <c r="AH17" s="137">
        <f>SUM(S17:V17)</f>
        <v>2917.5540000000001</v>
      </c>
      <c r="AI17" s="137">
        <f>SUM(W17:Z17)</f>
        <v>3164.134</v>
      </c>
    </row>
    <row r="18" spans="1:35" s="77" customFormat="1" x14ac:dyDescent="0.25">
      <c r="B18" s="93" t="s">
        <v>99</v>
      </c>
      <c r="C18" s="76">
        <v>453.81700000000001</v>
      </c>
      <c r="D18" s="76">
        <v>435.04500000000002</v>
      </c>
      <c r="E18" s="76">
        <v>453.80200000000002</v>
      </c>
      <c r="F18" s="76">
        <v>486.93599999999998</v>
      </c>
      <c r="G18" s="76">
        <v>525.20699999999999</v>
      </c>
      <c r="H18" s="76">
        <v>537.32100000000003</v>
      </c>
      <c r="I18" s="76">
        <v>563.88699999999994</v>
      </c>
      <c r="J18" s="76">
        <v>647.47</v>
      </c>
      <c r="K18" s="76">
        <v>657.53</v>
      </c>
      <c r="L18" s="76"/>
      <c r="M18" s="76"/>
      <c r="N18" s="76"/>
      <c r="O18" s="76"/>
      <c r="P18" s="76"/>
      <c r="Q18" s="76"/>
      <c r="R18" s="76"/>
      <c r="S18" s="76">
        <v>702.47299999999996</v>
      </c>
      <c r="T18" s="76">
        <v>711.25400000000002</v>
      </c>
      <c r="U18" s="76">
        <v>735.06299999999999</v>
      </c>
      <c r="V18" s="76">
        <v>776.505</v>
      </c>
      <c r="W18" s="76">
        <v>822.82299999999998</v>
      </c>
      <c r="X18" s="76">
        <v>824.68299999999999</v>
      </c>
      <c r="Y18" s="76">
        <v>853.58399999999995</v>
      </c>
      <c r="Z18" s="76">
        <f>+V18</f>
        <v>776.505</v>
      </c>
      <c r="AA18" s="76"/>
      <c r="AB18" s="76"/>
      <c r="AD18" s="84">
        <f>SUM(C18:F18)</f>
        <v>1829.6000000000001</v>
      </c>
      <c r="AE18" s="84">
        <f>SUM(G18:J18)</f>
        <v>2273.8850000000002</v>
      </c>
      <c r="AH18" s="137">
        <f>SUM(S18:V18)</f>
        <v>2925.2950000000001</v>
      </c>
      <c r="AI18" s="137">
        <f>SUM(W18:Z18)</f>
        <v>3277.5949999999998</v>
      </c>
    </row>
    <row r="19" spans="1:35" s="77" customFormat="1" x14ac:dyDescent="0.25">
      <c r="B19" s="93" t="s">
        <v>100</v>
      </c>
      <c r="C19" s="76">
        <v>252.08699999999999</v>
      </c>
      <c r="D19" s="76">
        <v>277.23599999999999</v>
      </c>
      <c r="E19" s="76">
        <v>271.62400000000002</v>
      </c>
      <c r="F19" s="76">
        <v>275.53899999999999</v>
      </c>
      <c r="G19" s="76">
        <v>297.19600000000003</v>
      </c>
      <c r="H19" s="76">
        <v>334.84500000000003</v>
      </c>
      <c r="I19" s="76">
        <v>321.79000000000002</v>
      </c>
      <c r="J19" s="76">
        <v>397.79</v>
      </c>
      <c r="K19" s="76">
        <v>397.928</v>
      </c>
      <c r="L19" s="76"/>
      <c r="M19" s="76"/>
      <c r="N19" s="76"/>
      <c r="O19" s="76"/>
      <c r="P19" s="76"/>
      <c r="Q19" s="76"/>
      <c r="R19" s="76"/>
      <c r="S19" s="76">
        <v>404.02</v>
      </c>
      <c r="T19" s="76">
        <v>426.99200000000002</v>
      </c>
      <c r="U19" s="76">
        <v>417.35300000000001</v>
      </c>
      <c r="V19" s="76">
        <v>453.67399999999998</v>
      </c>
      <c r="W19" s="76">
        <v>421.46199999999999</v>
      </c>
      <c r="X19" s="76">
        <v>441.21300000000002</v>
      </c>
      <c r="Y19" s="76">
        <v>457.93099999999998</v>
      </c>
      <c r="Z19" s="76">
        <f>+V19</f>
        <v>453.67399999999998</v>
      </c>
      <c r="AA19" s="76"/>
      <c r="AB19" s="76"/>
      <c r="AD19" s="84">
        <f>SUM(C19:F19)</f>
        <v>1076.4859999999999</v>
      </c>
      <c r="AE19" s="84">
        <f>SUM(G19:J19)</f>
        <v>1351.6210000000001</v>
      </c>
      <c r="AH19" s="137">
        <f>SUM(S19:V19)</f>
        <v>1702.039</v>
      </c>
      <c r="AI19" s="137">
        <f>SUM(W19:Z19)</f>
        <v>1774.28</v>
      </c>
    </row>
    <row r="20" spans="1:35" s="77" customFormat="1" x14ac:dyDescent="0.25">
      <c r="B20" s="93" t="s">
        <v>114</v>
      </c>
      <c r="C20" s="84">
        <f t="shared" ref="C20:J20" si="5">SUM(C17:C19)</f>
        <v>1209.7339999999999</v>
      </c>
      <c r="D20" s="84">
        <f>SUM(D17:D19)</f>
        <v>1146.6509999999998</v>
      </c>
      <c r="E20" s="84">
        <f t="shared" si="5"/>
        <v>1253.0230000000001</v>
      </c>
      <c r="F20" s="84">
        <f>SUM(F17:F19)</f>
        <v>1525.04</v>
      </c>
      <c r="G20" s="84">
        <f>SUM(G17:G19)</f>
        <v>1334.915</v>
      </c>
      <c r="H20" s="84">
        <f>SUM(H17:H19)</f>
        <v>1476.1389999999999</v>
      </c>
      <c r="I20" s="84">
        <f>SUM(I17:I19)</f>
        <v>1521.625</v>
      </c>
      <c r="J20" s="84">
        <f>SUM(J17:J19)</f>
        <v>1837.973</v>
      </c>
      <c r="K20" s="84">
        <f>SUM(K17:K19)</f>
        <v>1611.4359999999997</v>
      </c>
      <c r="L20" s="84"/>
      <c r="M20" s="84"/>
      <c r="N20" s="84"/>
      <c r="O20" s="84"/>
      <c r="P20" s="84"/>
      <c r="Q20" s="84"/>
      <c r="R20" s="84"/>
      <c r="S20" s="84">
        <f>+S19+S18+S17</f>
        <v>1760.8330000000001</v>
      </c>
      <c r="T20" s="84">
        <f t="shared" ref="T20:Z20" si="6">+T19+T18+T17</f>
        <v>1782.33</v>
      </c>
      <c r="U20" s="84">
        <f t="shared" si="6"/>
        <v>1795.3420000000001</v>
      </c>
      <c r="V20" s="84">
        <f t="shared" si="6"/>
        <v>2206.3829999999998</v>
      </c>
      <c r="W20" s="84">
        <f t="shared" si="6"/>
        <v>1932.6549999999997</v>
      </c>
      <c r="X20" s="84">
        <f t="shared" si="6"/>
        <v>1979.1610000000001</v>
      </c>
      <c r="Y20" s="84">
        <f t="shared" si="6"/>
        <v>2097.81</v>
      </c>
      <c r="Z20" s="84">
        <f t="shared" si="6"/>
        <v>2206.3829999999998</v>
      </c>
      <c r="AA20" s="84"/>
      <c r="AB20" s="84"/>
      <c r="AD20" s="84"/>
      <c r="AE20" s="84"/>
      <c r="AH20" s="77">
        <f>+AH19+AH18+AH17</f>
        <v>7544.8879999999999</v>
      </c>
      <c r="AI20" s="77">
        <f>+AI19+AI18+AI17</f>
        <v>8216.009</v>
      </c>
    </row>
    <row r="21" spans="1:35" s="77" customFormat="1" x14ac:dyDescent="0.25">
      <c r="B21" s="93" t="s">
        <v>115</v>
      </c>
      <c r="C21" s="84">
        <f>C16-C20</f>
        <v>958.25599999999986</v>
      </c>
      <c r="D21" s="84">
        <f t="shared" ref="D21:K21" si="7">D16-D20</f>
        <v>1357.9280000000003</v>
      </c>
      <c r="E21" s="84">
        <f t="shared" si="7"/>
        <v>1314.8629999999994</v>
      </c>
      <c r="F21" s="84">
        <f t="shared" si="7"/>
        <v>954.24200000000019</v>
      </c>
      <c r="G21" s="84">
        <f>G16-G20</f>
        <v>1959.8560000000002</v>
      </c>
      <c r="H21" s="84">
        <f t="shared" si="7"/>
        <v>1847.6300000000003</v>
      </c>
      <c r="I21" s="84">
        <f t="shared" si="7"/>
        <v>1755.2529999999997</v>
      </c>
      <c r="J21" s="84">
        <f>J16-J20</f>
        <v>631.77000000000044</v>
      </c>
      <c r="K21" s="84">
        <f>K16-K20</f>
        <v>1971.6260000000002</v>
      </c>
      <c r="L21" s="84"/>
      <c r="M21" s="84"/>
      <c r="N21" s="84"/>
      <c r="O21" s="84"/>
      <c r="P21" s="84"/>
      <c r="Q21" s="84"/>
      <c r="R21" s="84"/>
      <c r="S21" s="84">
        <f>+S16-S20</f>
        <v>2632.5339999999983</v>
      </c>
      <c r="T21" s="84">
        <f t="shared" ref="T21:Z21" si="8">+T16-T20</f>
        <v>2602.8370000000014</v>
      </c>
      <c r="U21" s="84">
        <f t="shared" si="8"/>
        <v>2909.4769999999994</v>
      </c>
      <c r="V21" s="84">
        <f t="shared" si="8"/>
        <v>2272.7659999999996</v>
      </c>
      <c r="W21" s="84">
        <f t="shared" si="8"/>
        <v>3346.9989999999998</v>
      </c>
      <c r="X21" s="84">
        <f t="shared" si="8"/>
        <v>3774.6940000000013</v>
      </c>
      <c r="Y21" s="84">
        <f t="shared" si="8"/>
        <v>3248.2470000000008</v>
      </c>
      <c r="Z21" s="84">
        <f>+Z16-Z20</f>
        <v>3567.5270754999992</v>
      </c>
      <c r="AA21" s="84"/>
      <c r="AB21" s="84"/>
      <c r="AD21" s="84"/>
      <c r="AE21" s="84"/>
      <c r="AH21" s="77">
        <f>+AH16-AH20</f>
        <v>10417.614000000001</v>
      </c>
      <c r="AI21" s="77">
        <f>+AI16-AI20</f>
        <v>13937.467075500002</v>
      </c>
    </row>
    <row r="22" spans="1:35" s="77" customFormat="1" x14ac:dyDescent="0.25">
      <c r="A22" s="93"/>
      <c r="B22" s="93" t="s">
        <v>37</v>
      </c>
      <c r="C22" s="84">
        <v>-184.083</v>
      </c>
      <c r="D22" s="84">
        <v>-189.15100000000001</v>
      </c>
      <c r="E22" s="84">
        <v>-197.07900000000001</v>
      </c>
      <c r="F22" s="84">
        <v>-197.18600000000001</v>
      </c>
      <c r="G22" s="84">
        <v>-194.44</v>
      </c>
      <c r="H22" s="84">
        <v>-191.322</v>
      </c>
      <c r="I22" s="84">
        <v>-190.429</v>
      </c>
      <c r="J22" s="84">
        <v>-189.429</v>
      </c>
      <c r="K22" s="84">
        <v>-187.57900000000001</v>
      </c>
      <c r="L22" s="84"/>
      <c r="M22" s="84"/>
      <c r="N22" s="84"/>
      <c r="O22" s="84"/>
      <c r="P22" s="84"/>
      <c r="Q22" s="84"/>
      <c r="R22" s="84"/>
      <c r="S22" s="84">
        <f>-173.314+155.359</f>
        <v>-17.954999999999984</v>
      </c>
      <c r="T22" s="84">
        <f>-167.986+79.005</f>
        <v>-88.980999999999995</v>
      </c>
      <c r="U22" s="84">
        <f>-184.83-21.693</f>
        <v>-206.52300000000002</v>
      </c>
      <c r="V22" s="84">
        <f>-192.603+54.105</f>
        <v>-138.49800000000002</v>
      </c>
      <c r="W22" s="84">
        <f>-184.172+50.899</f>
        <v>-133.273</v>
      </c>
      <c r="X22" s="84">
        <f>-182.649+39.63</f>
        <v>-143.01900000000001</v>
      </c>
      <c r="Y22" s="84">
        <f>-175.294+36.457</f>
        <v>-138.83700000000002</v>
      </c>
      <c r="Z22" s="84">
        <f>+Y22</f>
        <v>-138.83700000000002</v>
      </c>
      <c r="AA22" s="84"/>
      <c r="AB22" s="84"/>
      <c r="AD22" s="84">
        <f>SUM(C22:F22)</f>
        <v>-767.49900000000014</v>
      </c>
      <c r="AE22" s="84">
        <f>SUM(G22:J22)</f>
        <v>-765.62</v>
      </c>
      <c r="AH22" s="137">
        <f>SUM(S22:V22)</f>
        <v>-451.95699999999999</v>
      </c>
      <c r="AI22" s="137">
        <f>SUM(W22:Z22)</f>
        <v>-553.96600000000001</v>
      </c>
    </row>
    <row r="23" spans="1:35" s="77" customFormat="1" x14ac:dyDescent="0.25">
      <c r="A23" s="93"/>
      <c r="B23" s="93" t="s">
        <v>97</v>
      </c>
      <c r="C23" s="84">
        <v>21.696999999999999</v>
      </c>
      <c r="D23" s="84">
        <v>-133.17500000000001</v>
      </c>
      <c r="E23" s="84">
        <v>-256.32400000000001</v>
      </c>
      <c r="F23" s="84">
        <v>-250.63900000000001</v>
      </c>
      <c r="G23" s="84">
        <v>269.08600000000001</v>
      </c>
      <c r="H23" s="84">
        <v>-62.518999999999998</v>
      </c>
      <c r="I23" s="84">
        <v>96.135000000000005</v>
      </c>
      <c r="J23" s="84">
        <v>108.512</v>
      </c>
      <c r="K23" s="84">
        <v>195.64500000000001</v>
      </c>
      <c r="L23" s="84"/>
      <c r="M23" s="84"/>
      <c r="N23" s="84"/>
      <c r="O23" s="84"/>
      <c r="P23" s="84"/>
      <c r="Q23" s="84"/>
      <c r="R23" s="84"/>
      <c r="T23" s="84"/>
      <c r="U23" s="84"/>
      <c r="X23" s="84"/>
      <c r="Y23" s="84"/>
      <c r="Z23" s="84"/>
      <c r="AA23" s="84"/>
      <c r="AB23" s="84"/>
      <c r="AD23" s="84">
        <f>SUM(C23:F23)</f>
        <v>-618.44100000000003</v>
      </c>
      <c r="AE23" s="84">
        <f>SUM(G23:J23)</f>
        <v>411.214</v>
      </c>
    </row>
    <row r="24" spans="1:35" s="77" customFormat="1" x14ac:dyDescent="0.25">
      <c r="B24" s="93" t="s">
        <v>98</v>
      </c>
      <c r="C24" s="84">
        <f t="shared" ref="C24:K24" si="9">SUM(C20:C23)</f>
        <v>2005.6039999999996</v>
      </c>
      <c r="D24" s="84">
        <f>SUM(D20:D23)</f>
        <v>2182.2530000000002</v>
      </c>
      <c r="E24" s="84">
        <f t="shared" si="9"/>
        <v>2114.4829999999993</v>
      </c>
      <c r="F24" s="84">
        <f t="shared" si="9"/>
        <v>2031.4569999999999</v>
      </c>
      <c r="G24" s="84">
        <f t="shared" si="9"/>
        <v>3369.4170000000004</v>
      </c>
      <c r="H24" s="84">
        <f t="shared" si="9"/>
        <v>3069.9280000000003</v>
      </c>
      <c r="I24" s="84">
        <f t="shared" si="9"/>
        <v>3182.5839999999998</v>
      </c>
      <c r="J24" s="84">
        <f t="shared" si="9"/>
        <v>2388.8260000000005</v>
      </c>
      <c r="K24" s="84">
        <f>SUM(K20:K23)</f>
        <v>3591.1279999999997</v>
      </c>
      <c r="L24" s="84"/>
      <c r="M24" s="84"/>
      <c r="N24" s="84"/>
      <c r="O24" s="84"/>
      <c r="P24" s="84"/>
      <c r="Q24" s="84"/>
      <c r="R24" s="84"/>
      <c r="S24" s="84">
        <f>+S21+S22</f>
        <v>2614.5789999999984</v>
      </c>
      <c r="T24" s="84">
        <f t="shared" ref="T24:Z24" si="10">+T21+T22</f>
        <v>2513.8560000000016</v>
      </c>
      <c r="U24" s="84">
        <f t="shared" si="10"/>
        <v>2702.9539999999993</v>
      </c>
      <c r="V24" s="84">
        <f t="shared" si="10"/>
        <v>2134.2679999999996</v>
      </c>
      <c r="W24" s="84">
        <f t="shared" si="10"/>
        <v>3213.7259999999997</v>
      </c>
      <c r="X24" s="84">
        <f t="shared" si="10"/>
        <v>3631.6750000000011</v>
      </c>
      <c r="Y24" s="84">
        <f t="shared" si="10"/>
        <v>3109.4100000000008</v>
      </c>
      <c r="Z24" s="84">
        <f>+Z21+Z22</f>
        <v>3428.6900754999992</v>
      </c>
      <c r="AA24" s="84"/>
      <c r="AB24" s="84"/>
      <c r="AD24" s="84">
        <f>SUM(C24:F24)</f>
        <v>8333.7969999999987</v>
      </c>
      <c r="AE24" s="84">
        <f>SUM(G24:J24)</f>
        <v>12010.755000000001</v>
      </c>
      <c r="AH24" s="77">
        <f>+AH21+AH22</f>
        <v>9965.6570000000011</v>
      </c>
      <c r="AI24" s="77">
        <f>+AI21+AI22</f>
        <v>13383.501075500002</v>
      </c>
    </row>
    <row r="25" spans="1:35" s="77" customFormat="1" x14ac:dyDescent="0.25">
      <c r="B25" s="93" t="s">
        <v>96</v>
      </c>
      <c r="C25" s="84">
        <v>-86.802999999999997</v>
      </c>
      <c r="D25" s="84">
        <v>-315.40600000000001</v>
      </c>
      <c r="E25" s="84">
        <v>-71.483999999999995</v>
      </c>
      <c r="F25" s="84">
        <v>35.738999999999997</v>
      </c>
      <c r="G25" s="84">
        <v>-327.78699999999998</v>
      </c>
      <c r="H25" s="84">
        <v>-240.77600000000001</v>
      </c>
      <c r="I25" s="84">
        <v>-211.88800000000001</v>
      </c>
      <c r="J25" s="84">
        <v>56.576000000000001</v>
      </c>
      <c r="K25" s="84">
        <v>-382.245</v>
      </c>
      <c r="L25" s="84"/>
      <c r="M25" s="84"/>
      <c r="N25" s="84"/>
      <c r="O25" s="84"/>
      <c r="P25" s="84"/>
      <c r="Q25" s="84"/>
      <c r="R25" s="84"/>
      <c r="S25" s="84">
        <v>282.37</v>
      </c>
      <c r="T25" s="84">
        <v>366.55</v>
      </c>
      <c r="U25" s="84">
        <v>339.44499999999999</v>
      </c>
      <c r="V25" s="84">
        <v>265.661</v>
      </c>
      <c r="W25" s="84">
        <v>323.375</v>
      </c>
      <c r="X25" s="84">
        <v>506.262</v>
      </c>
      <c r="Y25" s="84">
        <v>562.49400000000003</v>
      </c>
      <c r="Z25" s="84">
        <f>+Z24*0.15</f>
        <v>514.30351132499982</v>
      </c>
      <c r="AA25" s="84"/>
      <c r="AB25" s="84"/>
      <c r="AD25" s="84">
        <f>SUM(C25:F25)</f>
        <v>-437.95400000000001</v>
      </c>
      <c r="AE25" s="84">
        <f>SUM(G25:J25)</f>
        <v>-723.875</v>
      </c>
      <c r="AH25" s="137">
        <f>SUM(S25:V25)</f>
        <v>1254.0260000000001</v>
      </c>
      <c r="AI25" s="137">
        <f>SUM(W25:Z25)</f>
        <v>1906.4345113249997</v>
      </c>
    </row>
    <row r="26" spans="1:35" s="77" customFormat="1" x14ac:dyDescent="0.25">
      <c r="B26" s="93" t="s">
        <v>36</v>
      </c>
      <c r="C26" s="85">
        <f>C24+C25</f>
        <v>1918.8009999999995</v>
      </c>
      <c r="D26" s="85">
        <f t="shared" ref="D26:F26" si="11">D24+D25</f>
        <v>1866.8470000000002</v>
      </c>
      <c r="E26" s="85">
        <f t="shared" si="11"/>
        <v>2042.9989999999993</v>
      </c>
      <c r="F26" s="85">
        <f t="shared" si="11"/>
        <v>2067.1959999999999</v>
      </c>
      <c r="G26" s="85">
        <f t="shared" ref="G26:K26" si="12">G24+G25</f>
        <v>3041.6300000000006</v>
      </c>
      <c r="H26" s="85">
        <f t="shared" si="12"/>
        <v>2829.1520000000005</v>
      </c>
      <c r="I26" s="85">
        <f t="shared" si="12"/>
        <v>2970.6959999999999</v>
      </c>
      <c r="J26" s="85">
        <f t="shared" si="12"/>
        <v>2445.4020000000005</v>
      </c>
      <c r="K26" s="85">
        <f t="shared" si="12"/>
        <v>3208.8829999999998</v>
      </c>
      <c r="L26" s="85"/>
      <c r="M26" s="85"/>
      <c r="N26" s="85"/>
      <c r="O26" s="85"/>
      <c r="P26" s="85"/>
      <c r="Q26" s="85"/>
      <c r="R26" s="85"/>
      <c r="S26" s="84">
        <f>+S24-S25</f>
        <v>2332.2089999999985</v>
      </c>
      <c r="T26" s="84">
        <f t="shared" ref="T26:Z26" si="13">+T24-T25</f>
        <v>2147.3060000000014</v>
      </c>
      <c r="U26" s="84">
        <f t="shared" si="13"/>
        <v>2363.5089999999991</v>
      </c>
      <c r="V26" s="84">
        <f t="shared" si="13"/>
        <v>1868.6069999999995</v>
      </c>
      <c r="W26" s="84">
        <f t="shared" si="13"/>
        <v>2890.3509999999997</v>
      </c>
      <c r="X26" s="84">
        <f t="shared" si="13"/>
        <v>3125.4130000000009</v>
      </c>
      <c r="Y26" s="84">
        <f t="shared" si="13"/>
        <v>2546.9160000000006</v>
      </c>
      <c r="Z26" s="84">
        <f>+Z24-Z25</f>
        <v>2914.3865641749994</v>
      </c>
      <c r="AA26" s="85"/>
      <c r="AB26" s="85"/>
      <c r="AD26" s="85">
        <f>SUM(C26:F26)</f>
        <v>7895.8429999999989</v>
      </c>
      <c r="AE26" s="85">
        <f>SUM(G26:J26)</f>
        <v>11286.880000000001</v>
      </c>
      <c r="AH26" s="77">
        <f>+AH24-AH25</f>
        <v>8711.6310000000012</v>
      </c>
      <c r="AI26" s="77">
        <f>+AI24-AI25</f>
        <v>11477.066564175002</v>
      </c>
    </row>
    <row r="27" spans="1:35" s="77" customFormat="1" x14ac:dyDescent="0.25">
      <c r="A27" s="93"/>
      <c r="B27" s="93" t="s">
        <v>35</v>
      </c>
      <c r="C27" s="86">
        <v>1.61</v>
      </c>
      <c r="D27" s="86">
        <v>1.63</v>
      </c>
      <c r="E27" s="86">
        <v>1.79</v>
      </c>
      <c r="F27" s="86">
        <v>1.23</v>
      </c>
      <c r="G27" s="86">
        <v>3.85</v>
      </c>
      <c r="H27" s="86">
        <v>3.05</v>
      </c>
      <c r="I27" s="86">
        <v>3.27</v>
      </c>
      <c r="J27" s="86">
        <v>1.37</v>
      </c>
      <c r="K27" s="86">
        <v>3.6</v>
      </c>
      <c r="L27" s="85"/>
      <c r="M27" s="85"/>
      <c r="N27" s="85"/>
      <c r="O27" s="85"/>
      <c r="P27" s="85"/>
      <c r="Q27" s="85"/>
      <c r="R27" s="85"/>
      <c r="S27" s="86">
        <f t="shared" ref="S27:X27" si="14">+S26/S28</f>
        <v>5.2806246518768054</v>
      </c>
      <c r="T27" s="86">
        <f t="shared" si="14"/>
        <v>4.8831374974700941</v>
      </c>
      <c r="U27" s="86">
        <f t="shared" si="14"/>
        <v>5.3973961972879509</v>
      </c>
      <c r="V27" s="86">
        <f t="shared" si="14"/>
        <v>4.2683114581096691</v>
      </c>
      <c r="W27" s="86">
        <f t="shared" si="14"/>
        <v>6.6146507018916969</v>
      </c>
      <c r="X27" s="86">
        <f t="shared" si="14"/>
        <v>7.186790470080461</v>
      </c>
      <c r="Y27" s="86">
        <f>+Y26/Y28</f>
        <v>5.8679427424724526</v>
      </c>
      <c r="Z27" s="86">
        <f>+Z26/Z28</f>
        <v>6.7145730318588868</v>
      </c>
      <c r="AA27" s="85"/>
      <c r="AB27" s="85"/>
      <c r="AD27" s="86">
        <v>6.26</v>
      </c>
      <c r="AE27" s="86">
        <v>11.55</v>
      </c>
      <c r="AH27" s="138">
        <f>+AH26/AH28</f>
        <v>19.832098422550633</v>
      </c>
      <c r="AI27" s="138">
        <f>+AI26/AI28</f>
        <v>26.385228689258092</v>
      </c>
    </row>
    <row r="28" spans="1:35" x14ac:dyDescent="0.25">
      <c r="A28" s="72"/>
      <c r="B28" s="72" t="s">
        <v>34</v>
      </c>
      <c r="C28" s="86">
        <v>1.57</v>
      </c>
      <c r="D28" s="86">
        <v>1.59</v>
      </c>
      <c r="E28" s="86">
        <v>1.74</v>
      </c>
      <c r="F28" s="86">
        <v>1.19</v>
      </c>
      <c r="G28" s="86">
        <v>3.75</v>
      </c>
      <c r="H28" s="86">
        <v>2.97</v>
      </c>
      <c r="I28" s="86">
        <v>3.19</v>
      </c>
      <c r="J28" s="86">
        <v>1.33</v>
      </c>
      <c r="K28" s="86">
        <v>3.53</v>
      </c>
      <c r="L28" s="86"/>
      <c r="M28" s="86"/>
      <c r="N28" s="86"/>
      <c r="O28" s="86"/>
      <c r="P28" s="86"/>
      <c r="Q28" s="86"/>
      <c r="R28" s="86"/>
      <c r="S28" s="85">
        <v>441.654</v>
      </c>
      <c r="T28" s="85">
        <v>439.73899999999998</v>
      </c>
      <c r="U28" s="85">
        <v>437.89800000000002</v>
      </c>
      <c r="V28" s="85">
        <v>437.786</v>
      </c>
      <c r="W28" s="85">
        <v>436.96199999999999</v>
      </c>
      <c r="X28" s="85">
        <v>434.88299999999998</v>
      </c>
      <c r="Y28" s="85">
        <v>434.03899999999999</v>
      </c>
      <c r="Z28" s="85">
        <f>+Y28</f>
        <v>434.03899999999999</v>
      </c>
      <c r="AA28" s="86"/>
      <c r="AB28" s="86"/>
      <c r="AD28" s="86">
        <v>6.08</v>
      </c>
      <c r="AE28" s="86">
        <v>11.24</v>
      </c>
      <c r="AH28" s="77">
        <f>AVERAGE(S28:V28)</f>
        <v>439.26925000000006</v>
      </c>
      <c r="AI28" s="77">
        <f>AVERAGE(W28:Z28)</f>
        <v>434.98075</v>
      </c>
    </row>
    <row r="29" spans="1:35" s="77" customFormat="1" x14ac:dyDescent="0.25">
      <c r="A29" s="93"/>
      <c r="B29" s="93" t="s">
        <v>35</v>
      </c>
      <c r="C29" s="84">
        <v>439.35199999999998</v>
      </c>
      <c r="D29" s="84">
        <v>440.56900000000002</v>
      </c>
      <c r="E29" s="84">
        <v>441.52600000000001</v>
      </c>
      <c r="F29" s="84">
        <v>442.22</v>
      </c>
      <c r="G29" s="84">
        <v>443.22399999999999</v>
      </c>
      <c r="H29" s="84">
        <v>443.15899999999999</v>
      </c>
      <c r="I29" s="84">
        <v>442.77800000000002</v>
      </c>
      <c r="J29" s="84">
        <v>443.46199999999999</v>
      </c>
      <c r="K29" s="84">
        <v>444.14600000000002</v>
      </c>
      <c r="L29" s="84"/>
      <c r="M29" s="84"/>
      <c r="N29" s="84"/>
      <c r="O29" s="84"/>
      <c r="P29" s="84"/>
      <c r="Q29" s="84"/>
      <c r="R29" s="84"/>
      <c r="S29" s="84"/>
      <c r="T29" s="84"/>
      <c r="U29" s="84"/>
      <c r="V29" s="84"/>
      <c r="W29" s="84"/>
      <c r="X29" s="84"/>
      <c r="Y29" s="84"/>
      <c r="Z29" s="84"/>
      <c r="AA29" s="84"/>
      <c r="AB29" s="84"/>
      <c r="AD29" s="98">
        <v>440922</v>
      </c>
      <c r="AE29" s="98">
        <v>443155</v>
      </c>
    </row>
    <row r="30" spans="1:35" s="77" customFormat="1" x14ac:dyDescent="0.25">
      <c r="A30" s="93"/>
      <c r="B30" s="93" t="s">
        <v>34</v>
      </c>
      <c r="C30" s="84">
        <v>452.49400000000003</v>
      </c>
      <c r="D30" s="84">
        <v>453.94499999999999</v>
      </c>
      <c r="E30" s="84">
        <v>455.08800000000002</v>
      </c>
      <c r="F30" s="84">
        <v>455.28300000000002</v>
      </c>
      <c r="G30" s="84">
        <v>455.64100000000002</v>
      </c>
      <c r="H30" s="84">
        <v>455.12900000000002</v>
      </c>
      <c r="I30" s="84">
        <v>454.92500000000001</v>
      </c>
      <c r="J30" s="84">
        <v>455.79500000000002</v>
      </c>
      <c r="K30" s="84">
        <v>452.98399999999998</v>
      </c>
      <c r="L30" s="84"/>
      <c r="M30" s="84"/>
      <c r="N30" s="84"/>
      <c r="O30" s="84"/>
      <c r="P30" s="84"/>
      <c r="Q30" s="84"/>
      <c r="R30" s="84"/>
      <c r="S30" s="84"/>
      <c r="T30" s="84"/>
      <c r="U30" s="84"/>
      <c r="V30" s="84"/>
      <c r="W30" s="84"/>
      <c r="X30" s="84"/>
      <c r="Y30" s="84"/>
      <c r="Z30" s="84"/>
      <c r="AA30" s="84"/>
      <c r="AB30" s="84"/>
      <c r="AD30" s="98">
        <v>454208</v>
      </c>
      <c r="AE30" s="98">
        <v>455372</v>
      </c>
    </row>
    <row r="31" spans="1:35" x14ac:dyDescent="0.25">
      <c r="A31" s="72"/>
      <c r="B31" s="72"/>
    </row>
    <row r="32" spans="1:35" x14ac:dyDescent="0.25">
      <c r="A32" s="78"/>
      <c r="B32" s="82" t="s">
        <v>116</v>
      </c>
      <c r="F32" s="122"/>
      <c r="G32" s="122">
        <f t="shared" ref="G32:J32" si="15">G14/C14-1</f>
        <v>0.24196701938436038</v>
      </c>
      <c r="H32" s="122">
        <f t="shared" si="15"/>
        <v>0.1941176776747211</v>
      </c>
      <c r="I32" s="122">
        <f t="shared" si="15"/>
        <v>0.16281682761162575</v>
      </c>
      <c r="J32" s="122">
        <f t="shared" si="15"/>
        <v>0.16026567768971423</v>
      </c>
      <c r="K32" s="122">
        <f>K14/G14-1</f>
        <v>9.834667963651289E-2</v>
      </c>
      <c r="W32" s="122">
        <f>+W14/S14-1</f>
        <v>0.12511269481475806</v>
      </c>
      <c r="X32" s="122">
        <f t="shared" ref="X32:Z32" si="16">+X14/T14-1</f>
        <v>0.15899222851858541</v>
      </c>
      <c r="Y32" s="122">
        <f t="shared" si="16"/>
        <v>0.17156793442000251</v>
      </c>
      <c r="Z32" s="122">
        <f t="shared" si="16"/>
        <v>0.14999999999999991</v>
      </c>
    </row>
    <row r="33" spans="2:31" x14ac:dyDescent="0.25">
      <c r="B33" s="71" t="s">
        <v>119</v>
      </c>
      <c r="K33" s="122">
        <f>K3/G3-1</f>
        <v>6.7434345185634736E-2</v>
      </c>
      <c r="L33" s="122">
        <f t="shared" ref="L33" si="17">L3/H3-1</f>
        <v>5.000478057175628E-2</v>
      </c>
      <c r="M33" s="122"/>
      <c r="N33" s="122"/>
      <c r="O33" s="122"/>
      <c r="P33" s="122"/>
      <c r="Q33" s="122"/>
      <c r="R33" s="122"/>
      <c r="S33" s="122"/>
      <c r="T33" s="122"/>
      <c r="U33" s="122"/>
      <c r="V33" s="122"/>
      <c r="W33" s="122"/>
      <c r="X33" s="122"/>
      <c r="Y33" s="122"/>
      <c r="Z33" s="122"/>
      <c r="AA33" s="122"/>
      <c r="AB33" s="122"/>
    </row>
    <row r="35" spans="2:31" x14ac:dyDescent="0.25">
      <c r="B35" s="71" t="s">
        <v>143</v>
      </c>
      <c r="W35" s="84">
        <f>+W36-W47</f>
        <v>-6645.9279999999999</v>
      </c>
      <c r="X35" s="84">
        <f>+X36-X47</f>
        <v>0</v>
      </c>
      <c r="Y35" s="84">
        <f>+Y36-Y47</f>
        <v>-5138.6280000000006</v>
      </c>
    </row>
    <row r="36" spans="2:31" s="77" customFormat="1" x14ac:dyDescent="0.25">
      <c r="B36" s="77" t="s">
        <v>107</v>
      </c>
      <c r="C36" s="84"/>
      <c r="D36" s="84"/>
      <c r="E36" s="84"/>
      <c r="F36" s="84"/>
      <c r="G36" s="84"/>
      <c r="H36" s="84"/>
      <c r="I36" s="84"/>
      <c r="J36" s="84"/>
      <c r="K36" s="84"/>
      <c r="L36" s="84"/>
      <c r="M36" s="84"/>
      <c r="N36" s="84"/>
      <c r="O36" s="84"/>
      <c r="P36" s="84"/>
      <c r="Q36" s="84"/>
      <c r="R36" s="84"/>
      <c r="S36" s="84"/>
      <c r="T36" s="84"/>
      <c r="U36" s="84"/>
      <c r="V36" s="84"/>
      <c r="W36" s="84">
        <f>7199.848+1171.142</f>
        <v>8370.99</v>
      </c>
      <c r="X36" s="84"/>
      <c r="Y36" s="84">
        <f>9287.287+37.105</f>
        <v>9324.3919999999998</v>
      </c>
      <c r="Z36" s="84"/>
      <c r="AA36" s="84"/>
      <c r="AB36" s="84"/>
      <c r="AD36" s="84"/>
      <c r="AE36" s="84"/>
    </row>
    <row r="37" spans="2:31" s="77" customFormat="1" x14ac:dyDescent="0.25">
      <c r="B37" s="77" t="s">
        <v>134</v>
      </c>
      <c r="C37" s="84"/>
      <c r="D37" s="84"/>
      <c r="E37" s="84"/>
      <c r="F37" s="84"/>
      <c r="G37" s="84"/>
      <c r="H37" s="84"/>
      <c r="I37" s="84"/>
      <c r="J37" s="84"/>
      <c r="K37" s="84"/>
      <c r="L37" s="84"/>
      <c r="M37" s="84"/>
      <c r="N37" s="84"/>
      <c r="O37" s="84"/>
      <c r="P37" s="84"/>
      <c r="Q37" s="84"/>
      <c r="R37" s="84"/>
      <c r="S37" s="84"/>
      <c r="T37" s="84"/>
      <c r="U37" s="84"/>
      <c r="V37" s="84"/>
      <c r="W37" s="84">
        <v>3326.6419999999998</v>
      </c>
      <c r="X37" s="84"/>
      <c r="Y37" s="84">
        <v>3638.5430000000001</v>
      </c>
      <c r="Z37" s="84"/>
      <c r="AA37" s="84"/>
      <c r="AB37" s="84"/>
      <c r="AD37" s="84"/>
      <c r="AE37" s="84"/>
    </row>
    <row r="38" spans="2:31" s="77" customFormat="1" x14ac:dyDescent="0.25">
      <c r="B38" s="77" t="s">
        <v>135</v>
      </c>
      <c r="C38" s="84"/>
      <c r="D38" s="84"/>
      <c r="E38" s="84"/>
      <c r="F38" s="84"/>
      <c r="G38" s="84"/>
      <c r="H38" s="84"/>
      <c r="I38" s="84"/>
      <c r="J38" s="84"/>
      <c r="K38" s="84"/>
      <c r="L38" s="84"/>
      <c r="M38" s="84"/>
      <c r="N38" s="84"/>
      <c r="O38" s="84"/>
      <c r="P38" s="84"/>
      <c r="Q38" s="84"/>
      <c r="R38" s="84"/>
      <c r="S38" s="84"/>
      <c r="T38" s="84"/>
      <c r="U38" s="84"/>
      <c r="V38" s="84"/>
      <c r="W38" s="84">
        <v>32040.839</v>
      </c>
      <c r="X38" s="84"/>
      <c r="Y38" s="84">
        <v>32639.879000000001</v>
      </c>
      <c r="Z38" s="84"/>
      <c r="AA38" s="84"/>
      <c r="AB38" s="84"/>
      <c r="AD38" s="84"/>
      <c r="AE38" s="84"/>
    </row>
    <row r="39" spans="2:31" s="77" customFormat="1" x14ac:dyDescent="0.25">
      <c r="B39" s="77" t="s">
        <v>136</v>
      </c>
      <c r="C39" s="84"/>
      <c r="D39" s="84"/>
      <c r="E39" s="84"/>
      <c r="F39" s="84"/>
      <c r="G39" s="84"/>
      <c r="H39" s="84"/>
      <c r="I39" s="84"/>
      <c r="J39" s="84"/>
      <c r="K39" s="84"/>
      <c r="L39" s="84"/>
      <c r="M39" s="84"/>
      <c r="N39" s="84"/>
      <c r="O39" s="84"/>
      <c r="P39" s="84"/>
      <c r="Q39" s="84"/>
      <c r="R39" s="84"/>
      <c r="S39" s="84"/>
      <c r="T39" s="84"/>
      <c r="U39" s="84"/>
      <c r="V39" s="84"/>
      <c r="W39" s="84">
        <v>1644.346</v>
      </c>
      <c r="X39" s="84"/>
      <c r="Y39" s="84">
        <v>1837.8889999999999</v>
      </c>
      <c r="Z39" s="84"/>
      <c r="AA39" s="84"/>
      <c r="AB39" s="84"/>
      <c r="AD39" s="84"/>
      <c r="AE39" s="84"/>
    </row>
    <row r="40" spans="2:31" s="77" customFormat="1" x14ac:dyDescent="0.25">
      <c r="B40" s="77" t="s">
        <v>134</v>
      </c>
      <c r="C40" s="84"/>
      <c r="D40" s="84"/>
      <c r="E40" s="84"/>
      <c r="F40" s="84"/>
      <c r="G40" s="84"/>
      <c r="H40" s="84"/>
      <c r="I40" s="84"/>
      <c r="J40" s="84"/>
      <c r="K40" s="84"/>
      <c r="L40" s="84"/>
      <c r="M40" s="84"/>
      <c r="N40" s="84"/>
      <c r="O40" s="84"/>
      <c r="P40" s="84"/>
      <c r="Q40" s="84"/>
      <c r="R40" s="84"/>
      <c r="S40" s="84"/>
      <c r="T40" s="84"/>
      <c r="U40" s="84"/>
      <c r="V40" s="84"/>
      <c r="W40" s="84">
        <v>6704.8270000000002</v>
      </c>
      <c r="X40" s="84"/>
      <c r="Y40" s="84">
        <v>7494.1319999999996</v>
      </c>
      <c r="Z40" s="84"/>
      <c r="AA40" s="84"/>
      <c r="AB40" s="84"/>
      <c r="AD40" s="84"/>
      <c r="AE40" s="84"/>
    </row>
    <row r="41" spans="2:31" s="77" customFormat="1" x14ac:dyDescent="0.25">
      <c r="B41" s="77" t="s">
        <v>21</v>
      </c>
      <c r="C41" s="84"/>
      <c r="D41" s="84"/>
      <c r="E41" s="84"/>
      <c r="F41" s="84"/>
      <c r="G41" s="84"/>
      <c r="H41" s="84"/>
      <c r="I41" s="84"/>
      <c r="J41" s="84"/>
      <c r="K41" s="84"/>
      <c r="L41" s="84"/>
      <c r="M41" s="84"/>
      <c r="N41" s="84"/>
      <c r="O41" s="84"/>
      <c r="P41" s="84"/>
      <c r="Q41" s="84"/>
      <c r="R41" s="84"/>
      <c r="S41" s="84"/>
      <c r="T41" s="84"/>
      <c r="U41" s="84"/>
      <c r="V41" s="84"/>
      <c r="W41" s="84">
        <f>SUM(W36:W40)</f>
        <v>52087.643999999993</v>
      </c>
      <c r="X41" s="84">
        <f>SUM(X36:X40)</f>
        <v>0</v>
      </c>
      <c r="Y41" s="84">
        <f>SUM(Y36:Y40)</f>
        <v>54934.834999999999</v>
      </c>
      <c r="Z41" s="84"/>
      <c r="AA41" s="84"/>
      <c r="AB41" s="84"/>
      <c r="AD41" s="84"/>
      <c r="AE41" s="84"/>
    </row>
    <row r="43" spans="2:31" s="77" customFormat="1" x14ac:dyDescent="0.25">
      <c r="B43" s="77" t="s">
        <v>135</v>
      </c>
      <c r="C43" s="84"/>
      <c r="D43" s="84"/>
      <c r="E43" s="84"/>
      <c r="F43" s="84"/>
      <c r="G43" s="84"/>
      <c r="H43" s="84"/>
      <c r="I43" s="84"/>
      <c r="J43" s="84"/>
      <c r="K43" s="84"/>
      <c r="L43" s="84"/>
      <c r="M43" s="84"/>
      <c r="N43" s="84"/>
      <c r="O43" s="84"/>
      <c r="P43" s="84"/>
      <c r="Q43" s="84"/>
      <c r="R43" s="84"/>
      <c r="S43" s="84"/>
      <c r="T43" s="84"/>
      <c r="U43" s="84"/>
      <c r="V43" s="84"/>
      <c r="W43" s="84">
        <f>4128.905+1696.662</f>
        <v>5825.567</v>
      </c>
      <c r="X43" s="84"/>
      <c r="Y43" s="84">
        <f>4102.64+1591.973</f>
        <v>5694.6130000000003</v>
      </c>
      <c r="Z43" s="84"/>
      <c r="AA43" s="84"/>
      <c r="AB43" s="84"/>
      <c r="AD43" s="84"/>
      <c r="AE43" s="84"/>
    </row>
    <row r="44" spans="2:31" s="77" customFormat="1" x14ac:dyDescent="0.25">
      <c r="B44" s="77" t="s">
        <v>140</v>
      </c>
      <c r="C44" s="84"/>
      <c r="D44" s="84"/>
      <c r="E44" s="84"/>
      <c r="F44" s="84"/>
      <c r="G44" s="84"/>
      <c r="H44" s="84"/>
      <c r="I44" s="84"/>
      <c r="J44" s="84"/>
      <c r="K44" s="84"/>
      <c r="L44" s="84"/>
      <c r="M44" s="84"/>
      <c r="N44" s="84"/>
      <c r="O44" s="84"/>
      <c r="P44" s="84"/>
      <c r="Q44" s="84"/>
      <c r="R44" s="84"/>
      <c r="S44" s="84"/>
      <c r="T44" s="84"/>
      <c r="U44" s="84"/>
      <c r="V44" s="84"/>
      <c r="W44" s="84">
        <v>614.48900000000003</v>
      </c>
      <c r="X44" s="84"/>
      <c r="Y44" s="84">
        <v>793.23299999999995</v>
      </c>
      <c r="Z44" s="84"/>
      <c r="AA44" s="84"/>
      <c r="AB44" s="84"/>
      <c r="AD44" s="84"/>
      <c r="AE44" s="84"/>
    </row>
    <row r="45" spans="2:31" s="77" customFormat="1" x14ac:dyDescent="0.25">
      <c r="B45" s="77" t="s">
        <v>139</v>
      </c>
      <c r="C45" s="84"/>
      <c r="D45" s="84"/>
      <c r="E45" s="84"/>
      <c r="F45" s="84"/>
      <c r="G45" s="84"/>
      <c r="H45" s="84"/>
      <c r="I45" s="84"/>
      <c r="J45" s="84"/>
      <c r="K45" s="84"/>
      <c r="L45" s="84"/>
      <c r="M45" s="84"/>
      <c r="N45" s="84"/>
      <c r="O45" s="84"/>
      <c r="P45" s="84"/>
      <c r="Q45" s="84"/>
      <c r="R45" s="84"/>
      <c r="S45" s="84"/>
      <c r="T45" s="84"/>
      <c r="U45" s="84"/>
      <c r="V45" s="84"/>
      <c r="W45" s="84">
        <v>2359.518</v>
      </c>
      <c r="X45" s="84"/>
      <c r="Y45" s="84">
        <v>3111.3110000000001</v>
      </c>
      <c r="Z45" s="84"/>
      <c r="AA45" s="84"/>
      <c r="AB45" s="84"/>
      <c r="AD45" s="84"/>
      <c r="AE45" s="84"/>
    </row>
    <row r="46" spans="2:31" s="77" customFormat="1" x14ac:dyDescent="0.25">
      <c r="B46" s="77" t="s">
        <v>138</v>
      </c>
      <c r="C46" s="84"/>
      <c r="D46" s="84"/>
      <c r="E46" s="84"/>
      <c r="F46" s="84"/>
      <c r="G46" s="84"/>
      <c r="H46" s="84"/>
      <c r="I46" s="84"/>
      <c r="J46" s="84"/>
      <c r="K46" s="84"/>
      <c r="L46" s="84"/>
      <c r="M46" s="84"/>
      <c r="N46" s="84"/>
      <c r="O46" s="84"/>
      <c r="P46" s="84"/>
      <c r="Q46" s="84"/>
      <c r="R46" s="84"/>
      <c r="S46" s="84"/>
      <c r="T46" s="84"/>
      <c r="U46" s="84"/>
      <c r="V46" s="84"/>
      <c r="W46" s="84">
        <v>1609.7260000000001</v>
      </c>
      <c r="X46" s="84"/>
      <c r="Y46" s="84">
        <v>1724.675</v>
      </c>
      <c r="Z46" s="84"/>
      <c r="AA46" s="84"/>
      <c r="AB46" s="84"/>
      <c r="AD46" s="84"/>
      <c r="AE46" s="84"/>
    </row>
    <row r="47" spans="2:31" s="77" customFormat="1" x14ac:dyDescent="0.25">
      <c r="B47" s="77" t="s">
        <v>108</v>
      </c>
      <c r="C47" s="84"/>
      <c r="D47" s="84"/>
      <c r="E47" s="84"/>
      <c r="F47" s="84"/>
      <c r="G47" s="84"/>
      <c r="H47" s="84"/>
      <c r="I47" s="84"/>
      <c r="J47" s="84"/>
      <c r="K47" s="84"/>
      <c r="L47" s="84"/>
      <c r="M47" s="84"/>
      <c r="N47" s="84"/>
      <c r="O47" s="84"/>
      <c r="P47" s="84"/>
      <c r="Q47" s="84"/>
      <c r="R47" s="84"/>
      <c r="S47" s="84"/>
      <c r="T47" s="84"/>
      <c r="U47" s="84"/>
      <c r="V47" s="84"/>
      <c r="W47" s="84">
        <f>1005.881+14011.037</f>
        <v>15016.918</v>
      </c>
      <c r="X47" s="84"/>
      <c r="Y47" s="84">
        <v>14463.02</v>
      </c>
      <c r="Z47" s="84"/>
      <c r="AA47" s="84"/>
      <c r="AB47" s="84"/>
      <c r="AD47" s="84"/>
      <c r="AE47" s="84"/>
    </row>
    <row r="48" spans="2:31" s="77" customFormat="1" x14ac:dyDescent="0.25">
      <c r="B48" s="77" t="s">
        <v>137</v>
      </c>
      <c r="C48" s="84"/>
      <c r="D48" s="84"/>
      <c r="E48" s="84"/>
      <c r="F48" s="84"/>
      <c r="G48" s="84"/>
      <c r="H48" s="84"/>
      <c r="I48" s="84"/>
      <c r="J48" s="84"/>
      <c r="K48" s="84"/>
      <c r="L48" s="84"/>
      <c r="M48" s="84"/>
      <c r="N48" s="84"/>
      <c r="O48" s="84"/>
      <c r="P48" s="84"/>
      <c r="Q48" s="84"/>
      <c r="R48" s="84"/>
      <c r="S48" s="84"/>
      <c r="T48" s="84"/>
      <c r="U48" s="84"/>
      <c r="V48" s="84"/>
      <c r="W48" s="84">
        <v>2633.3530000000001</v>
      </c>
      <c r="X48" s="84"/>
      <c r="Y48" s="84">
        <v>3193.9479999999999</v>
      </c>
      <c r="Z48" s="84"/>
      <c r="AA48" s="84"/>
      <c r="AB48" s="84"/>
      <c r="AD48" s="84"/>
      <c r="AE48" s="84"/>
    </row>
    <row r="49" spans="2:31" s="77" customFormat="1" x14ac:dyDescent="0.25">
      <c r="B49" s="77" t="s">
        <v>142</v>
      </c>
      <c r="C49" s="84"/>
      <c r="D49" s="84"/>
      <c r="E49" s="84"/>
      <c r="F49" s="84"/>
      <c r="G49" s="84"/>
      <c r="H49" s="84"/>
      <c r="I49" s="84"/>
      <c r="J49" s="84"/>
      <c r="K49" s="84"/>
      <c r="L49" s="84"/>
      <c r="M49" s="84"/>
      <c r="N49" s="84"/>
      <c r="O49" s="84"/>
      <c r="P49" s="84"/>
      <c r="Q49" s="84"/>
      <c r="R49" s="84"/>
      <c r="S49" s="84"/>
      <c r="T49" s="84"/>
      <c r="U49" s="84"/>
      <c r="V49" s="84"/>
      <c r="W49" s="84">
        <v>24028.073</v>
      </c>
      <c r="X49" s="84"/>
      <c r="Y49" s="84">
        <v>25954.035</v>
      </c>
      <c r="Z49" s="84"/>
      <c r="AA49" s="84"/>
      <c r="AB49" s="84"/>
      <c r="AD49" s="84"/>
      <c r="AE49" s="84"/>
    </row>
    <row r="50" spans="2:31" s="77" customFormat="1" x14ac:dyDescent="0.25">
      <c r="B50" s="77" t="s">
        <v>141</v>
      </c>
      <c r="C50" s="84"/>
      <c r="D50" s="84"/>
      <c r="E50" s="84"/>
      <c r="F50" s="84"/>
      <c r="G50" s="84"/>
      <c r="H50" s="84"/>
      <c r="I50" s="84"/>
      <c r="J50" s="84"/>
      <c r="K50" s="84"/>
      <c r="L50" s="84"/>
      <c r="M50" s="84"/>
      <c r="N50" s="84"/>
      <c r="O50" s="84"/>
      <c r="P50" s="84"/>
      <c r="Q50" s="84"/>
      <c r="R50" s="84"/>
      <c r="S50" s="84"/>
      <c r="T50" s="84"/>
      <c r="U50" s="84"/>
      <c r="V50" s="84"/>
      <c r="W50" s="84">
        <f>SUM(W43:W49)</f>
        <v>52087.644</v>
      </c>
      <c r="X50" s="84">
        <f>SUM(X43:X49)</f>
        <v>0</v>
      </c>
      <c r="Y50" s="84">
        <f>SUM(Y43:Y49)</f>
        <v>54934.834999999999</v>
      </c>
      <c r="Z50" s="84"/>
      <c r="AA50" s="84"/>
      <c r="AB50" s="84"/>
      <c r="AD50" s="84"/>
      <c r="AE50" s="84"/>
    </row>
    <row r="52" spans="2:31" x14ac:dyDescent="0.25">
      <c r="B52" s="71" t="s">
        <v>154</v>
      </c>
      <c r="S52" s="84">
        <f>+S26</f>
        <v>2332.2089999999985</v>
      </c>
      <c r="T52" s="84">
        <f t="shared" ref="T52:Y52" si="18">+T26</f>
        <v>2147.3060000000014</v>
      </c>
      <c r="U52" s="84">
        <f t="shared" si="18"/>
        <v>2363.5089999999991</v>
      </c>
      <c r="V52" s="84">
        <f t="shared" si="18"/>
        <v>1868.6069999999995</v>
      </c>
      <c r="W52" s="84">
        <f t="shared" si="18"/>
        <v>2890.3509999999997</v>
      </c>
      <c r="X52" s="84">
        <f t="shared" si="18"/>
        <v>3125.4130000000009</v>
      </c>
      <c r="Y52" s="84">
        <f t="shared" si="18"/>
        <v>2546.9160000000006</v>
      </c>
    </row>
    <row r="53" spans="2:31" x14ac:dyDescent="0.25">
      <c r="B53" s="71" t="s">
        <v>144</v>
      </c>
      <c r="S53" s="84">
        <v>2332.2089999999998</v>
      </c>
      <c r="T53" s="84">
        <v>2147.306</v>
      </c>
      <c r="U53" s="84">
        <v>2363.509</v>
      </c>
      <c r="V53" s="84">
        <v>1868.607</v>
      </c>
      <c r="W53" s="84">
        <v>2890.3510000000001</v>
      </c>
      <c r="X53" s="84">
        <v>3125.413</v>
      </c>
      <c r="Y53" s="84">
        <v>2546.9160000000002</v>
      </c>
    </row>
    <row r="54" spans="2:31" x14ac:dyDescent="0.25">
      <c r="B54" s="71" t="s">
        <v>145</v>
      </c>
      <c r="S54" s="84">
        <f>-3728.967-189.441</f>
        <v>-3918.4079999999999</v>
      </c>
      <c r="T54" s="84">
        <f>-4048.852-366.572</f>
        <v>-4415.424</v>
      </c>
      <c r="U54" s="84">
        <f>-4016.396-83.585</f>
        <v>-4099.9809999999998</v>
      </c>
      <c r="V54" s="84">
        <f>-4429.402-139.537</f>
        <v>-4568.9390000000003</v>
      </c>
      <c r="W54" s="84">
        <f>-3549.657-411.253</f>
        <v>-3960.9100000000003</v>
      </c>
      <c r="X54" s="84">
        <f>-3835.813-214.052</f>
        <v>-4049.8650000000002</v>
      </c>
      <c r="Y54" s="84">
        <f>-4653.935+24.262</f>
        <v>-4629.6730000000007</v>
      </c>
    </row>
    <row r="55" spans="2:31" x14ac:dyDescent="0.25">
      <c r="B55" s="71" t="s">
        <v>146</v>
      </c>
      <c r="S55" s="84">
        <v>3670.8049999999998</v>
      </c>
      <c r="T55" s="84">
        <v>3769.69</v>
      </c>
      <c r="U55" s="84">
        <v>3699.5210000000002</v>
      </c>
      <c r="V55" s="84">
        <v>4161.5010000000002</v>
      </c>
      <c r="W55" s="84">
        <v>3823.1120000000001</v>
      </c>
      <c r="X55" s="84">
        <v>3832.0740000000001</v>
      </c>
      <c r="Y55" s="84">
        <v>4002.7440000000001</v>
      </c>
    </row>
    <row r="56" spans="2:31" x14ac:dyDescent="0.25">
      <c r="B56" s="71" t="s">
        <v>153</v>
      </c>
      <c r="S56" s="84">
        <v>87.233999999999995</v>
      </c>
      <c r="T56" s="84">
        <v>81.227000000000004</v>
      </c>
      <c r="U56" s="84">
        <v>80.914000000000001</v>
      </c>
      <c r="V56" s="84">
        <v>79.539000000000001</v>
      </c>
      <c r="W56" s="84">
        <v>80.066999999999993</v>
      </c>
      <c r="X56" s="84">
        <v>80.013000000000005</v>
      </c>
      <c r="Y56" s="84">
        <v>87.325999999999993</v>
      </c>
    </row>
    <row r="57" spans="2:31" x14ac:dyDescent="0.25">
      <c r="B57" s="71" t="s">
        <v>152</v>
      </c>
      <c r="S57" s="84">
        <v>76.344999999999999</v>
      </c>
      <c r="T57" s="84">
        <v>68.766000000000005</v>
      </c>
      <c r="U57" s="84">
        <v>65.650000000000006</v>
      </c>
      <c r="V57" s="84">
        <v>61.826999999999998</v>
      </c>
      <c r="W57" s="84">
        <v>71.977000000000004</v>
      </c>
      <c r="X57" s="84">
        <v>80.861999999999995</v>
      </c>
      <c r="Y57" s="84">
        <v>80.986000000000004</v>
      </c>
    </row>
    <row r="58" spans="2:31" x14ac:dyDescent="0.25">
      <c r="B58" s="71" t="s">
        <v>151</v>
      </c>
      <c r="S58" s="84">
        <v>-130.80099999999999</v>
      </c>
      <c r="T58" s="84">
        <v>-42.692</v>
      </c>
      <c r="U58" s="84">
        <v>104.809</v>
      </c>
      <c r="V58" s="84">
        <v>-52.854999999999997</v>
      </c>
      <c r="W58" s="84">
        <v>28.547000000000001</v>
      </c>
      <c r="X58" s="84">
        <v>55.238</v>
      </c>
      <c r="Y58" s="84">
        <v>-1.7070000000000001</v>
      </c>
    </row>
    <row r="59" spans="2:31" x14ac:dyDescent="0.25">
      <c r="B59" s="71" t="s">
        <v>150</v>
      </c>
      <c r="S59" s="84">
        <v>97.180999999999997</v>
      </c>
      <c r="T59" s="84">
        <v>138.58799999999999</v>
      </c>
      <c r="U59" s="84">
        <v>128.08199999999999</v>
      </c>
      <c r="V59" s="84">
        <v>130.92699999999999</v>
      </c>
      <c r="W59" s="84">
        <v>114.73</v>
      </c>
      <c r="X59" s="84">
        <v>120.139</v>
      </c>
      <c r="Y59" s="84">
        <v>142.29300000000001</v>
      </c>
    </row>
    <row r="60" spans="2:31" x14ac:dyDescent="0.25">
      <c r="B60" s="71" t="s">
        <v>149</v>
      </c>
      <c r="S60" s="84">
        <v>-107.077</v>
      </c>
      <c r="T60" s="84">
        <v>-209.387</v>
      </c>
      <c r="U60" s="84">
        <v>-200.982</v>
      </c>
      <c r="V60" s="84">
        <v>-73.251999999999995</v>
      </c>
      <c r="W60" s="84">
        <v>-163.928</v>
      </c>
      <c r="X60" s="84">
        <v>-135.755</v>
      </c>
      <c r="Y60" s="84">
        <v>20.539000000000001</v>
      </c>
    </row>
    <row r="61" spans="2:31" x14ac:dyDescent="0.25">
      <c r="B61" s="71" t="s">
        <v>148</v>
      </c>
      <c r="S61" s="84">
        <v>105.03400000000001</v>
      </c>
      <c r="T61" s="84">
        <v>-247.227</v>
      </c>
      <c r="U61" s="84">
        <v>179.57900000000001</v>
      </c>
      <c r="V61" s="84">
        <v>-70.460999999999999</v>
      </c>
      <c r="W61" s="84">
        <v>-94.747</v>
      </c>
      <c r="X61" s="84">
        <f>-176.683+11.046-267.235+118.635-370.624</f>
        <v>-684.8610000000001</v>
      </c>
      <c r="Y61" s="84">
        <f>-169.597+139.451+707.151-3.686-97.569</f>
        <v>575.74999999999989</v>
      </c>
    </row>
    <row r="62" spans="2:31" x14ac:dyDescent="0.25">
      <c r="B62" s="71" t="s">
        <v>147</v>
      </c>
      <c r="S62" s="84">
        <f>SUM(S53:S61)</f>
        <v>2212.5219999999995</v>
      </c>
      <c r="T62" s="84">
        <f>SUM(T53:T61)</f>
        <v>1290.8470000000002</v>
      </c>
      <c r="U62" s="84">
        <f>SUM(U53:U61)</f>
        <v>2321.1010000000006</v>
      </c>
      <c r="V62" s="84">
        <f>SUM(V53:V61)</f>
        <v>1536.8939999999998</v>
      </c>
      <c r="W62" s="84">
        <f t="shared" ref="W62:Y62" si="19">SUM(W53:W61)</f>
        <v>2789.1990000000001</v>
      </c>
      <c r="X62" s="84">
        <f t="shared" si="19"/>
        <v>2423.2579999999998</v>
      </c>
      <c r="Y62" s="84">
        <f t="shared" si="19"/>
        <v>2825.174</v>
      </c>
    </row>
    <row r="64" spans="2:31" x14ac:dyDescent="0.25">
      <c r="B64" s="71" t="s">
        <v>136</v>
      </c>
      <c r="S64" s="84">
        <v>-75.713999999999999</v>
      </c>
      <c r="T64" s="84">
        <v>-78.287000000000006</v>
      </c>
      <c r="U64" s="84">
        <v>-126.863</v>
      </c>
      <c r="V64" s="84">
        <v>-158.67400000000001</v>
      </c>
      <c r="W64" s="84">
        <v>-128.27699999999999</v>
      </c>
      <c r="X64" s="84">
        <v>-155.88900000000001</v>
      </c>
      <c r="Y64" s="84">
        <v>-164.71899999999999</v>
      </c>
    </row>
    <row r="65" spans="2:25" x14ac:dyDescent="0.25">
      <c r="B65" s="71" t="s">
        <v>155</v>
      </c>
      <c r="S65" s="84">
        <v>0</v>
      </c>
      <c r="T65" s="84">
        <v>0</v>
      </c>
      <c r="U65" s="84">
        <v>-1742.2460000000001</v>
      </c>
      <c r="V65" s="84">
        <v>0</v>
      </c>
      <c r="W65" s="84">
        <f>-156.015+769.954</f>
        <v>613.93899999999996</v>
      </c>
      <c r="X65" s="84">
        <f>-1.65+962.413</f>
        <v>960.76300000000003</v>
      </c>
      <c r="Y65" s="84">
        <f>-3.85+176.25</f>
        <v>172.4</v>
      </c>
    </row>
    <row r="66" spans="2:25" x14ac:dyDescent="0.25">
      <c r="B66" s="71" t="s">
        <v>150</v>
      </c>
      <c r="S66" s="84">
        <v>0</v>
      </c>
      <c r="T66" s="84">
        <v>0</v>
      </c>
      <c r="U66" s="84">
        <v>0</v>
      </c>
      <c r="V66" s="84">
        <v>0</v>
      </c>
      <c r="W66" s="84"/>
      <c r="X66" s="84">
        <v>-36.19</v>
      </c>
      <c r="Y66" s="84">
        <v>36.19</v>
      </c>
    </row>
    <row r="67" spans="2:25" x14ac:dyDescent="0.25">
      <c r="B67" s="71" t="s">
        <v>156</v>
      </c>
      <c r="S67" s="84">
        <f>+S64+S65+S66</f>
        <v>-75.713999999999999</v>
      </c>
      <c r="T67" s="84">
        <f t="shared" ref="T67:Y67" si="20">+T64+T65+T66</f>
        <v>-78.287000000000006</v>
      </c>
      <c r="U67" s="84">
        <f t="shared" si="20"/>
        <v>-1869.1090000000002</v>
      </c>
      <c r="V67" s="84">
        <f t="shared" si="20"/>
        <v>-158.67400000000001</v>
      </c>
      <c r="W67" s="84">
        <f t="shared" si="20"/>
        <v>485.66199999999998</v>
      </c>
      <c r="X67" s="84">
        <f t="shared" si="20"/>
        <v>768.68399999999997</v>
      </c>
      <c r="Y67" s="84">
        <f t="shared" si="20"/>
        <v>43.871000000000009</v>
      </c>
    </row>
    <row r="69" spans="2:25" x14ac:dyDescent="0.25">
      <c r="B69" s="71" t="s">
        <v>108</v>
      </c>
      <c r="S69" s="84">
        <v>-400</v>
      </c>
      <c r="T69" s="84">
        <v>0</v>
      </c>
      <c r="U69" s="84">
        <f>1794.46</f>
        <v>1794.46</v>
      </c>
      <c r="V69" s="84">
        <v>0</v>
      </c>
      <c r="W69" s="84">
        <v>-800</v>
      </c>
      <c r="X69" s="84">
        <v>-1033.45</v>
      </c>
      <c r="Y69" s="84">
        <v>0</v>
      </c>
    </row>
    <row r="70" spans="2:25" x14ac:dyDescent="0.25">
      <c r="B70" s="71" t="s">
        <v>157</v>
      </c>
      <c r="S70" s="84">
        <f>268.881-2000-1.825</f>
        <v>-1732.9440000000002</v>
      </c>
      <c r="T70" s="84">
        <f>118.75-1599.998-1.883</f>
        <v>-1483.1310000000001</v>
      </c>
      <c r="U70" s="84">
        <f>-1700+143.244-2.024</f>
        <v>-1558.78</v>
      </c>
      <c r="V70" s="84">
        <f>302.012-963.748-2.553</f>
        <v>-664.2890000000001</v>
      </c>
      <c r="W70" s="84">
        <f>351.602-3536.396-27.87</f>
        <v>-3212.6640000000002</v>
      </c>
      <c r="X70" s="84">
        <f>169.066-1654.327-6.114</f>
        <v>-1491.375</v>
      </c>
      <c r="Y70" s="84">
        <f>70.215-1856.885-6.196</f>
        <v>-1792.866</v>
      </c>
    </row>
    <row r="71" spans="2:25" x14ac:dyDescent="0.25">
      <c r="B71" s="71" t="s">
        <v>150</v>
      </c>
      <c r="S71" s="84">
        <v>0</v>
      </c>
      <c r="T71" s="84">
        <v>-6.25</v>
      </c>
      <c r="U71" s="84">
        <v>-9.0839999999999996</v>
      </c>
      <c r="V71" s="84">
        <v>-14.409000000000001</v>
      </c>
      <c r="W71" s="84">
        <v>-15.651999999999999</v>
      </c>
      <c r="X71" s="84">
        <v>21.957000000000001</v>
      </c>
      <c r="Y71" s="84">
        <v>55.837000000000003</v>
      </c>
    </row>
    <row r="72" spans="2:25" x14ac:dyDescent="0.25">
      <c r="B72" s="71" t="s">
        <v>158</v>
      </c>
      <c r="S72" s="84">
        <f>SUM(S69:S71)</f>
        <v>-2132.9440000000004</v>
      </c>
      <c r="T72" s="84">
        <f>SUM(T69:T71)</f>
        <v>-1489.3810000000001</v>
      </c>
      <c r="U72" s="84">
        <f>SUM(U69:U71)</f>
        <v>226.59600000000006</v>
      </c>
      <c r="V72" s="84">
        <f>SUM(V69:V71)</f>
        <v>-678.69800000000009</v>
      </c>
      <c r="W72" s="84">
        <f>SUM(W69:W71)</f>
        <v>-4028.3160000000003</v>
      </c>
      <c r="X72" s="84">
        <f>SUM(X69:X71)</f>
        <v>-2502.8679999999999</v>
      </c>
      <c r="Y72" s="84">
        <f>SUM(Y69:Y71)</f>
        <v>-1737.029</v>
      </c>
    </row>
    <row r="73" spans="2:25" x14ac:dyDescent="0.25">
      <c r="B73" s="71" t="s">
        <v>159</v>
      </c>
      <c r="S73" s="84">
        <f>+S72+S67+S62</f>
        <v>3.8639999999991232</v>
      </c>
      <c r="T73" s="84">
        <f>+T72+T67+T62</f>
        <v>-276.82099999999991</v>
      </c>
      <c r="U73" s="84">
        <f>+U72+U67+U62</f>
        <v>678.58800000000042</v>
      </c>
      <c r="V73" s="84">
        <f>+V72+V67+V62</f>
        <v>699.52199999999971</v>
      </c>
      <c r="W73" s="84">
        <f>+W72+W67+W62</f>
        <v>-753.45500000000038</v>
      </c>
      <c r="X73" s="84">
        <f>+X72+X67+X62</f>
        <v>689.07399999999984</v>
      </c>
      <c r="Y73" s="84">
        <f>+Y72+Y67+Y62</f>
        <v>1132.0160000000001</v>
      </c>
    </row>
  </sheetData>
  <pageMargins left="0.35" right="0.24" top="0.27" bottom="0.75" header="0.17" footer="0.3"/>
  <pageSetup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O58"/>
  <sheetViews>
    <sheetView view="pageBreakPreview" topLeftCell="G22" zoomScaleNormal="190" zoomScaleSheetLayoutView="100" zoomScalePageLayoutView="190" workbookViewId="0">
      <selection activeCell="O23" sqref="O23"/>
    </sheetView>
  </sheetViews>
  <sheetFormatPr defaultColWidth="9.1796875" defaultRowHeight="13" x14ac:dyDescent="0.3"/>
  <cols>
    <col min="1" max="1" width="4.7265625" style="1" customWidth="1"/>
    <col min="2" max="5" width="1.453125" style="1" customWidth="1"/>
    <col min="6" max="6" width="38.81640625" style="1" customWidth="1"/>
    <col min="7" max="9" width="14" style="1" customWidth="1"/>
    <col min="10" max="10" width="14.1796875" style="1" customWidth="1"/>
    <col min="11" max="15" width="14" style="1" customWidth="1"/>
    <col min="16" max="16384" width="9.1796875" style="1"/>
  </cols>
  <sheetData>
    <row r="1" spans="1:15" ht="15.5" x14ac:dyDescent="0.35">
      <c r="A1" s="23" t="s">
        <v>29</v>
      </c>
      <c r="B1" s="23"/>
      <c r="C1" s="22"/>
      <c r="D1" s="22"/>
      <c r="E1" s="22"/>
      <c r="F1" s="22"/>
    </row>
    <row r="2" spans="1:15" ht="15.5" x14ac:dyDescent="0.35">
      <c r="A2" s="23" t="s">
        <v>28</v>
      </c>
      <c r="B2" s="23"/>
      <c r="C2" s="22"/>
      <c r="D2" s="22"/>
      <c r="E2" s="22"/>
      <c r="F2" s="22"/>
    </row>
    <row r="3" spans="1:15" x14ac:dyDescent="0.3">
      <c r="A3" s="19" t="s">
        <v>27</v>
      </c>
      <c r="B3" s="19"/>
      <c r="C3" s="19"/>
      <c r="D3" s="19"/>
      <c r="E3" s="19"/>
      <c r="F3" s="19"/>
      <c r="G3" s="49"/>
      <c r="H3" s="49"/>
      <c r="I3" s="49"/>
      <c r="K3" s="49"/>
      <c r="L3" s="49"/>
      <c r="M3" s="49"/>
      <c r="N3" s="49"/>
      <c r="O3" s="49"/>
    </row>
    <row r="4" spans="1:15" x14ac:dyDescent="0.3">
      <c r="A4" s="19" t="s">
        <v>26</v>
      </c>
      <c r="B4" s="19"/>
      <c r="C4" s="19"/>
      <c r="D4" s="19"/>
      <c r="E4" s="19"/>
      <c r="F4" s="19"/>
      <c r="G4" s="49"/>
      <c r="H4" s="49"/>
      <c r="I4" s="49"/>
      <c r="K4" s="49"/>
      <c r="L4" s="49"/>
      <c r="M4" s="49"/>
      <c r="N4" s="49"/>
      <c r="O4" s="49"/>
    </row>
    <row r="5" spans="1:15" x14ac:dyDescent="0.3">
      <c r="A5" s="19"/>
      <c r="B5" s="19"/>
      <c r="C5" s="19"/>
      <c r="D5" s="19"/>
      <c r="E5" s="19"/>
      <c r="F5" s="19"/>
    </row>
    <row r="6" spans="1:15" x14ac:dyDescent="0.3">
      <c r="A6" s="19"/>
      <c r="B6" s="19"/>
      <c r="C6" s="19"/>
      <c r="D6" s="19"/>
      <c r="E6" s="19"/>
      <c r="F6" s="19"/>
      <c r="G6" s="20" t="s">
        <v>22</v>
      </c>
      <c r="H6" s="20" t="s">
        <v>24</v>
      </c>
      <c r="I6" s="20" t="s">
        <v>25</v>
      </c>
      <c r="J6" s="21" t="s">
        <v>23</v>
      </c>
      <c r="K6" s="20" t="s">
        <v>22</v>
      </c>
      <c r="L6" s="20" t="s">
        <v>24</v>
      </c>
      <c r="M6" s="20" t="s">
        <v>25</v>
      </c>
      <c r="N6" s="21" t="s">
        <v>23</v>
      </c>
      <c r="O6" s="20" t="s">
        <v>22</v>
      </c>
    </row>
    <row r="7" spans="1:15" x14ac:dyDescent="0.3">
      <c r="A7" s="19"/>
      <c r="B7" s="19"/>
      <c r="C7" s="19"/>
      <c r="D7" s="19"/>
      <c r="E7" s="19"/>
      <c r="F7" s="19"/>
      <c r="G7" s="17">
        <v>2020</v>
      </c>
      <c r="H7" s="17">
        <v>2020</v>
      </c>
      <c r="I7" s="17">
        <v>2020</v>
      </c>
      <c r="J7" s="18">
        <v>2020</v>
      </c>
      <c r="K7" s="17">
        <v>2021</v>
      </c>
      <c r="L7" s="17">
        <v>2021</v>
      </c>
      <c r="M7" s="17">
        <v>2021</v>
      </c>
      <c r="N7" s="18">
        <v>2021</v>
      </c>
      <c r="O7" s="17">
        <v>2022</v>
      </c>
    </row>
    <row r="8" spans="1:15" x14ac:dyDescent="0.3">
      <c r="A8" s="4" t="s">
        <v>21</v>
      </c>
      <c r="B8" s="4"/>
      <c r="C8" s="2"/>
      <c r="D8" s="2"/>
      <c r="E8" s="2"/>
      <c r="F8" s="2"/>
      <c r="J8" s="16"/>
      <c r="N8" s="16"/>
    </row>
    <row r="9" spans="1:15" x14ac:dyDescent="0.3">
      <c r="A9" s="2" t="s">
        <v>20</v>
      </c>
      <c r="B9" s="2"/>
      <c r="C9" s="2"/>
      <c r="D9" s="2"/>
      <c r="E9" s="2"/>
      <c r="F9" s="2"/>
      <c r="J9" s="16"/>
      <c r="N9" s="16"/>
    </row>
    <row r="10" spans="1:15" x14ac:dyDescent="0.3">
      <c r="A10" s="2"/>
      <c r="C10" s="2" t="s">
        <v>19</v>
      </c>
      <c r="D10" s="2"/>
      <c r="E10" s="2"/>
      <c r="F10" s="2"/>
      <c r="G10" s="57">
        <v>5151884</v>
      </c>
      <c r="H10" s="57">
        <v>7153248</v>
      </c>
      <c r="I10" s="57">
        <v>8392391</v>
      </c>
      <c r="J10" s="58">
        <v>8205550</v>
      </c>
      <c r="K10" s="57">
        <v>8403705</v>
      </c>
      <c r="L10" s="57">
        <v>7777530</v>
      </c>
      <c r="M10" s="57">
        <v>7526681</v>
      </c>
      <c r="N10" s="58">
        <v>6027804</v>
      </c>
      <c r="O10" s="57">
        <v>6008946</v>
      </c>
    </row>
    <row r="11" spans="1:15" x14ac:dyDescent="0.3">
      <c r="A11" s="2"/>
      <c r="C11" s="2" t="s">
        <v>18</v>
      </c>
      <c r="D11" s="2"/>
      <c r="E11" s="2"/>
      <c r="F11" s="2"/>
      <c r="G11" s="41">
        <v>1295897</v>
      </c>
      <c r="H11" s="41">
        <v>1410891</v>
      </c>
      <c r="I11" s="41">
        <v>1434089</v>
      </c>
      <c r="J11" s="11">
        <v>1556030</v>
      </c>
      <c r="K11" s="41">
        <v>1703803</v>
      </c>
      <c r="L11" s="41">
        <v>1826746</v>
      </c>
      <c r="M11" s="41">
        <v>1889106</v>
      </c>
      <c r="N11" s="11">
        <v>2042021</v>
      </c>
      <c r="O11" s="41">
        <v>2089069</v>
      </c>
    </row>
    <row r="12" spans="1:15" x14ac:dyDescent="0.3">
      <c r="A12" s="2"/>
      <c r="B12" s="2"/>
      <c r="C12" s="2"/>
      <c r="D12" s="2"/>
      <c r="E12" s="2"/>
      <c r="F12" s="2" t="s">
        <v>17</v>
      </c>
      <c r="G12" s="8">
        <f t="shared" ref="G12:N12" si="0">SUM(G10:G11)</f>
        <v>6447781</v>
      </c>
      <c r="H12" s="8">
        <f t="shared" si="0"/>
        <v>8564139</v>
      </c>
      <c r="I12" s="8">
        <f t="shared" si="0"/>
        <v>9826480</v>
      </c>
      <c r="J12" s="9">
        <f t="shared" si="0"/>
        <v>9761580</v>
      </c>
      <c r="K12" s="8">
        <f t="shared" si="0"/>
        <v>10107508</v>
      </c>
      <c r="L12" s="8">
        <f t="shared" si="0"/>
        <v>9604276</v>
      </c>
      <c r="M12" s="8">
        <f t="shared" si="0"/>
        <v>9415787</v>
      </c>
      <c r="N12" s="9">
        <f t="shared" si="0"/>
        <v>8069825</v>
      </c>
      <c r="O12" s="8">
        <f t="shared" ref="O12" si="1">SUM(O10:O11)</f>
        <v>8098015</v>
      </c>
    </row>
    <row r="13" spans="1:15" x14ac:dyDescent="0.3">
      <c r="A13" s="13" t="s">
        <v>81</v>
      </c>
      <c r="B13" s="2"/>
      <c r="C13" s="2"/>
      <c r="D13" s="2"/>
      <c r="E13" s="2"/>
      <c r="F13" s="2"/>
      <c r="G13" s="39">
        <v>25266889</v>
      </c>
      <c r="H13" s="39">
        <v>25155117</v>
      </c>
      <c r="I13" s="39">
        <v>25067633</v>
      </c>
      <c r="J13" s="9">
        <v>25383950</v>
      </c>
      <c r="K13" s="39">
        <v>26043991</v>
      </c>
      <c r="L13" s="39">
        <v>27291640</v>
      </c>
      <c r="M13" s="39">
        <v>28974045</v>
      </c>
      <c r="N13" s="9">
        <v>30919539</v>
      </c>
      <c r="O13" s="39">
        <v>31191920</v>
      </c>
    </row>
    <row r="14" spans="1:15" x14ac:dyDescent="0.3">
      <c r="A14" s="2" t="s">
        <v>16</v>
      </c>
      <c r="B14" s="2"/>
      <c r="C14" s="2"/>
      <c r="D14" s="2"/>
      <c r="E14" s="2"/>
      <c r="F14" s="2"/>
      <c r="G14" s="39">
        <v>650455</v>
      </c>
      <c r="H14" s="39">
        <v>751941</v>
      </c>
      <c r="I14" s="39">
        <v>828118</v>
      </c>
      <c r="J14" s="9">
        <v>960183</v>
      </c>
      <c r="K14" s="39">
        <v>1015419</v>
      </c>
      <c r="L14" s="39">
        <v>1107437</v>
      </c>
      <c r="M14" s="39">
        <v>1220114</v>
      </c>
      <c r="N14" s="9">
        <v>1323453</v>
      </c>
      <c r="O14" s="39">
        <v>1383763</v>
      </c>
    </row>
    <row r="15" spans="1:15" x14ac:dyDescent="0.3">
      <c r="A15" s="2" t="s">
        <v>70</v>
      </c>
      <c r="B15" s="2"/>
      <c r="C15" s="2"/>
      <c r="D15" s="2"/>
      <c r="E15" s="2"/>
      <c r="F15" s="2"/>
      <c r="G15" s="41">
        <v>2694785</v>
      </c>
      <c r="H15" s="41">
        <v>2704084</v>
      </c>
      <c r="I15" s="41">
        <v>2900312</v>
      </c>
      <c r="J15" s="9">
        <v>3174646</v>
      </c>
      <c r="K15" s="41">
        <v>2956096</v>
      </c>
      <c r="L15" s="41">
        <v>2967616</v>
      </c>
      <c r="M15" s="41">
        <v>3129911</v>
      </c>
      <c r="N15" s="9">
        <v>4271846</v>
      </c>
      <c r="O15" s="41">
        <v>4657206</v>
      </c>
    </row>
    <row r="16" spans="1:15" s="6" customFormat="1" ht="13.5" thickBot="1" x14ac:dyDescent="0.35">
      <c r="A16" s="4"/>
      <c r="B16" s="4"/>
      <c r="C16" s="4"/>
      <c r="D16" s="4"/>
      <c r="E16" s="4"/>
      <c r="F16" s="4" t="s">
        <v>15</v>
      </c>
      <c r="G16" s="59">
        <f t="shared" ref="G16:N16" si="2">SUM(G12:G15)</f>
        <v>35059910</v>
      </c>
      <c r="H16" s="59">
        <f t="shared" si="2"/>
        <v>37175281</v>
      </c>
      <c r="I16" s="59">
        <f t="shared" si="2"/>
        <v>38622543</v>
      </c>
      <c r="J16" s="60">
        <f t="shared" si="2"/>
        <v>39280359</v>
      </c>
      <c r="K16" s="59">
        <f t="shared" si="2"/>
        <v>40123014</v>
      </c>
      <c r="L16" s="59">
        <f t="shared" si="2"/>
        <v>40970969</v>
      </c>
      <c r="M16" s="59">
        <f t="shared" si="2"/>
        <v>42739857</v>
      </c>
      <c r="N16" s="60">
        <f t="shared" si="2"/>
        <v>44584663</v>
      </c>
      <c r="O16" s="59">
        <f t="shared" ref="O16" si="3">SUM(O12:O15)</f>
        <v>45330904</v>
      </c>
    </row>
    <row r="17" spans="1:15" x14ac:dyDescent="0.3">
      <c r="A17" s="4" t="s">
        <v>14</v>
      </c>
      <c r="B17" s="4"/>
      <c r="C17" s="2"/>
      <c r="D17" s="2"/>
      <c r="E17" s="2"/>
      <c r="F17" s="2"/>
      <c r="G17" s="14"/>
      <c r="H17" s="14"/>
      <c r="I17" s="14"/>
      <c r="J17" s="15"/>
      <c r="K17" s="14"/>
      <c r="L17" s="14"/>
      <c r="M17" s="14"/>
      <c r="N17" s="15"/>
      <c r="O17" s="14"/>
    </row>
    <row r="18" spans="1:15" x14ac:dyDescent="0.3">
      <c r="A18" s="2" t="s">
        <v>13</v>
      </c>
      <c r="B18" s="2"/>
      <c r="C18" s="2"/>
      <c r="D18" s="2"/>
      <c r="E18" s="2"/>
      <c r="F18" s="2"/>
      <c r="G18" s="8"/>
      <c r="H18" s="8"/>
      <c r="I18" s="8"/>
      <c r="J18" s="9"/>
      <c r="K18" s="8"/>
      <c r="L18" s="8"/>
      <c r="M18" s="8"/>
      <c r="N18" s="9"/>
      <c r="O18" s="8"/>
    </row>
    <row r="19" spans="1:15" x14ac:dyDescent="0.3">
      <c r="A19" s="2"/>
      <c r="B19" s="2"/>
      <c r="C19" s="2" t="s">
        <v>69</v>
      </c>
      <c r="D19" s="2"/>
      <c r="E19" s="2"/>
      <c r="F19" s="2"/>
      <c r="G19" s="61">
        <v>4761585</v>
      </c>
      <c r="H19" s="61">
        <v>4664733</v>
      </c>
      <c r="I19" s="61">
        <v>4599654</v>
      </c>
      <c r="J19" s="58">
        <v>4429536</v>
      </c>
      <c r="K19" s="61">
        <v>4297957</v>
      </c>
      <c r="L19" s="61">
        <v>4197874</v>
      </c>
      <c r="M19" s="61">
        <v>4110962</v>
      </c>
      <c r="N19" s="58">
        <v>4292967</v>
      </c>
      <c r="O19" s="61">
        <v>4066289</v>
      </c>
    </row>
    <row r="20" spans="1:15" x14ac:dyDescent="0.3">
      <c r="A20" s="2"/>
      <c r="C20" s="2" t="s">
        <v>12</v>
      </c>
      <c r="D20" s="2"/>
      <c r="E20" s="2"/>
      <c r="F20" s="2"/>
      <c r="G20" s="39">
        <v>545488</v>
      </c>
      <c r="H20" s="39">
        <v>446668</v>
      </c>
      <c r="I20" s="39">
        <v>541298</v>
      </c>
      <c r="J20" s="9">
        <v>656183</v>
      </c>
      <c r="K20" s="39">
        <v>532942</v>
      </c>
      <c r="L20" s="39">
        <v>622931</v>
      </c>
      <c r="M20" s="39">
        <v>643059</v>
      </c>
      <c r="N20" s="9">
        <v>837483</v>
      </c>
      <c r="O20" s="39">
        <v>617202</v>
      </c>
    </row>
    <row r="21" spans="1:15" x14ac:dyDescent="0.3">
      <c r="A21" s="2"/>
      <c r="C21" s="2" t="s">
        <v>54</v>
      </c>
      <c r="D21" s="2"/>
      <c r="E21" s="2"/>
      <c r="F21" s="2"/>
      <c r="G21" s="56">
        <v>1061090</v>
      </c>
      <c r="H21" s="56">
        <v>986595</v>
      </c>
      <c r="I21" s="56">
        <v>1259124</v>
      </c>
      <c r="J21" s="9">
        <v>1102196</v>
      </c>
      <c r="K21" s="56">
        <v>1291812</v>
      </c>
      <c r="L21" s="56">
        <v>1125591</v>
      </c>
      <c r="M21" s="56">
        <v>1413120</v>
      </c>
      <c r="N21" s="9">
        <v>1449351</v>
      </c>
      <c r="O21" s="56">
        <v>1817117</v>
      </c>
    </row>
    <row r="22" spans="1:15" x14ac:dyDescent="0.3">
      <c r="A22" s="2"/>
      <c r="C22" s="2" t="s">
        <v>11</v>
      </c>
      <c r="D22" s="2"/>
      <c r="E22" s="2"/>
      <c r="F22" s="2"/>
      <c r="G22" s="56">
        <v>986753</v>
      </c>
      <c r="H22" s="56">
        <v>1029261</v>
      </c>
      <c r="I22" s="56">
        <v>1040202</v>
      </c>
      <c r="J22" s="9">
        <v>1117992</v>
      </c>
      <c r="K22" s="56">
        <v>1140271</v>
      </c>
      <c r="L22" s="56">
        <v>1187364</v>
      </c>
      <c r="M22" s="56">
        <v>1182632</v>
      </c>
      <c r="N22" s="9">
        <v>1209342</v>
      </c>
      <c r="O22" s="56">
        <v>1239048</v>
      </c>
    </row>
    <row r="23" spans="1:15" x14ac:dyDescent="0.3">
      <c r="A23" s="2"/>
      <c r="C23" s="2" t="s">
        <v>62</v>
      </c>
      <c r="D23" s="2"/>
      <c r="E23" s="2"/>
      <c r="F23" s="2"/>
      <c r="G23" s="41">
        <v>498809</v>
      </c>
      <c r="H23" s="41">
        <v>499161</v>
      </c>
      <c r="I23" s="41">
        <v>499517</v>
      </c>
      <c r="J23" s="11">
        <v>499878</v>
      </c>
      <c r="K23" s="41">
        <v>698788</v>
      </c>
      <c r="L23" s="41">
        <v>699128</v>
      </c>
      <c r="M23" s="41">
        <v>699473</v>
      </c>
      <c r="N23" s="11">
        <v>699823</v>
      </c>
      <c r="O23" s="41">
        <v>0</v>
      </c>
    </row>
    <row r="24" spans="1:15" x14ac:dyDescent="0.3">
      <c r="A24" s="2"/>
      <c r="B24" s="2"/>
      <c r="C24" s="2"/>
      <c r="D24" s="2"/>
      <c r="E24" s="2"/>
      <c r="F24" s="2" t="s">
        <v>10</v>
      </c>
      <c r="G24" s="8">
        <f t="shared" ref="G24:N24" si="4">SUM(G19:G23)</f>
        <v>7853725</v>
      </c>
      <c r="H24" s="8">
        <f t="shared" si="4"/>
        <v>7626418</v>
      </c>
      <c r="I24" s="8">
        <f t="shared" si="4"/>
        <v>7939795</v>
      </c>
      <c r="J24" s="9">
        <f t="shared" si="4"/>
        <v>7805785</v>
      </c>
      <c r="K24" s="8">
        <f t="shared" si="4"/>
        <v>7961770</v>
      </c>
      <c r="L24" s="8">
        <f t="shared" si="4"/>
        <v>7832888</v>
      </c>
      <c r="M24" s="8">
        <f t="shared" si="4"/>
        <v>8049246</v>
      </c>
      <c r="N24" s="9">
        <f t="shared" si="4"/>
        <v>8488966</v>
      </c>
      <c r="O24" s="8">
        <f t="shared" ref="O24" si="5">SUM(O19:O23)</f>
        <v>7739656</v>
      </c>
    </row>
    <row r="25" spans="1:15" x14ac:dyDescent="0.3">
      <c r="A25" s="13" t="s">
        <v>9</v>
      </c>
      <c r="B25" s="2"/>
      <c r="C25" s="2"/>
      <c r="D25" s="2"/>
      <c r="E25" s="2"/>
      <c r="F25" s="2"/>
      <c r="G25" s="8">
        <v>3206051</v>
      </c>
      <c r="H25" s="8">
        <v>3208164</v>
      </c>
      <c r="I25" s="8">
        <v>2926574</v>
      </c>
      <c r="J25" s="9">
        <v>2618084</v>
      </c>
      <c r="K25" s="8">
        <v>2465626</v>
      </c>
      <c r="L25" s="8">
        <v>2265286</v>
      </c>
      <c r="M25" s="8">
        <v>2301026</v>
      </c>
      <c r="N25" s="9">
        <v>3094213</v>
      </c>
      <c r="O25" s="8">
        <v>2945221</v>
      </c>
    </row>
    <row r="26" spans="1:15" x14ac:dyDescent="0.3">
      <c r="A26" s="2" t="s">
        <v>8</v>
      </c>
      <c r="B26" s="2"/>
      <c r="C26" s="2"/>
      <c r="D26" s="2"/>
      <c r="E26" s="2"/>
      <c r="F26" s="2"/>
      <c r="G26" s="8">
        <v>14170692</v>
      </c>
      <c r="H26" s="8">
        <v>15294998</v>
      </c>
      <c r="I26" s="8">
        <v>15547616</v>
      </c>
      <c r="J26" s="9">
        <v>15809095</v>
      </c>
      <c r="K26" s="8">
        <v>14860552</v>
      </c>
      <c r="L26" s="8">
        <v>14926889</v>
      </c>
      <c r="M26" s="8">
        <v>14793691</v>
      </c>
      <c r="N26" s="9">
        <v>14693072</v>
      </c>
      <c r="O26" s="8">
        <v>14534561</v>
      </c>
    </row>
    <row r="27" spans="1:15" x14ac:dyDescent="0.3">
      <c r="A27" s="2" t="s">
        <v>7</v>
      </c>
      <c r="B27" s="2"/>
      <c r="C27" s="2"/>
      <c r="D27" s="2"/>
      <c r="E27" s="2"/>
      <c r="F27" s="2"/>
      <c r="G27" s="10">
        <v>1420148</v>
      </c>
      <c r="H27" s="10">
        <v>1710948</v>
      </c>
      <c r="I27" s="10">
        <v>1875235</v>
      </c>
      <c r="J27" s="11">
        <v>1982155</v>
      </c>
      <c r="K27" s="10">
        <v>1950986</v>
      </c>
      <c r="L27" s="10">
        <v>2082035</v>
      </c>
      <c r="M27" s="10">
        <v>2281277</v>
      </c>
      <c r="N27" s="11">
        <v>2459164</v>
      </c>
      <c r="O27" s="10">
        <v>2567427</v>
      </c>
    </row>
    <row r="28" spans="1:15" x14ac:dyDescent="0.3">
      <c r="A28" s="2"/>
      <c r="B28" s="2"/>
      <c r="C28" s="2"/>
      <c r="D28" s="2"/>
      <c r="E28" s="2"/>
      <c r="F28" s="2" t="s">
        <v>6</v>
      </c>
      <c r="G28" s="8">
        <f t="shared" ref="G28:N28" si="6">SUM(G24:G27)</f>
        <v>26650616</v>
      </c>
      <c r="H28" s="8">
        <f t="shared" si="6"/>
        <v>27840528</v>
      </c>
      <c r="I28" s="8">
        <f t="shared" si="6"/>
        <v>28289220</v>
      </c>
      <c r="J28" s="9">
        <f t="shared" si="6"/>
        <v>28215119</v>
      </c>
      <c r="K28" s="8">
        <f t="shared" si="6"/>
        <v>27238934</v>
      </c>
      <c r="L28" s="8">
        <f t="shared" si="6"/>
        <v>27107098</v>
      </c>
      <c r="M28" s="8">
        <f t="shared" si="6"/>
        <v>27425240</v>
      </c>
      <c r="N28" s="9">
        <f t="shared" si="6"/>
        <v>28735415</v>
      </c>
      <c r="O28" s="8">
        <f t="shared" ref="O28" si="7">SUM(O24:O27)</f>
        <v>27786865</v>
      </c>
    </row>
    <row r="29" spans="1:15" x14ac:dyDescent="0.3">
      <c r="A29" s="2" t="s">
        <v>5</v>
      </c>
      <c r="B29" s="2"/>
      <c r="C29" s="2"/>
      <c r="D29" s="2"/>
      <c r="E29" s="2"/>
      <c r="F29" s="2"/>
      <c r="G29" s="8"/>
      <c r="H29" s="8"/>
      <c r="I29" s="8"/>
      <c r="J29" s="9"/>
      <c r="K29" s="8"/>
      <c r="L29" s="8"/>
      <c r="M29" s="8"/>
      <c r="N29" s="9"/>
      <c r="O29" s="8"/>
    </row>
    <row r="30" spans="1:15" ht="12.75" customHeight="1" x14ac:dyDescent="0.3">
      <c r="A30" s="2"/>
      <c r="B30" s="2" t="s">
        <v>4</v>
      </c>
      <c r="C30" s="12"/>
      <c r="D30" s="12"/>
      <c r="E30" s="12"/>
      <c r="F30" s="12"/>
      <c r="G30" s="8">
        <v>2935532</v>
      </c>
      <c r="H30" s="8">
        <v>3127813</v>
      </c>
      <c r="I30" s="8">
        <v>3303482</v>
      </c>
      <c r="J30" s="9">
        <v>3447698</v>
      </c>
      <c r="K30" s="8">
        <v>3600084</v>
      </c>
      <c r="L30" s="8">
        <v>3721246</v>
      </c>
      <c r="M30" s="8">
        <v>3852531</v>
      </c>
      <c r="N30" s="9">
        <v>4024561</v>
      </c>
      <c r="O30" s="8">
        <v>4155580</v>
      </c>
    </row>
    <row r="31" spans="1:15" ht="12.75" customHeight="1" x14ac:dyDescent="0.3">
      <c r="A31" s="2"/>
      <c r="B31" s="2" t="s">
        <v>85</v>
      </c>
      <c r="C31" s="12"/>
      <c r="D31" s="12"/>
      <c r="E31" s="12"/>
      <c r="F31" s="12"/>
      <c r="G31" s="8">
        <v>0</v>
      </c>
      <c r="H31" s="8">
        <v>0</v>
      </c>
      <c r="I31" s="8">
        <v>0</v>
      </c>
      <c r="J31" s="9">
        <v>0</v>
      </c>
      <c r="K31" s="8">
        <v>0</v>
      </c>
      <c r="L31" s="8">
        <v>-500022</v>
      </c>
      <c r="M31" s="8">
        <v>-600022</v>
      </c>
      <c r="N31" s="9">
        <v>-824190</v>
      </c>
      <c r="O31" s="8">
        <v>-824190</v>
      </c>
    </row>
    <row r="32" spans="1:15" x14ac:dyDescent="0.3">
      <c r="A32" s="2"/>
      <c r="B32" s="2" t="s">
        <v>3</v>
      </c>
      <c r="C32" s="2"/>
      <c r="D32" s="2"/>
      <c r="E32" s="2"/>
      <c r="F32" s="2"/>
      <c r="G32" s="8">
        <v>-47054</v>
      </c>
      <c r="H32" s="8">
        <v>-34072</v>
      </c>
      <c r="I32" s="8">
        <v>-1147</v>
      </c>
      <c r="J32" s="9">
        <v>44398</v>
      </c>
      <c r="K32" s="8">
        <v>4137</v>
      </c>
      <c r="L32" s="8">
        <v>9775</v>
      </c>
      <c r="M32" s="8">
        <v>-19835</v>
      </c>
      <c r="N32" s="9">
        <v>-40495</v>
      </c>
      <c r="O32" s="8">
        <v>-74170</v>
      </c>
    </row>
    <row r="33" spans="1:15" x14ac:dyDescent="0.3">
      <c r="A33" s="2"/>
      <c r="B33" s="2" t="s">
        <v>2</v>
      </c>
      <c r="C33" s="2"/>
      <c r="D33" s="2"/>
      <c r="E33" s="2"/>
      <c r="F33" s="2"/>
      <c r="G33" s="10">
        <v>5520816</v>
      </c>
      <c r="H33" s="10">
        <v>6241012</v>
      </c>
      <c r="I33" s="10">
        <v>7030988</v>
      </c>
      <c r="J33" s="11">
        <v>7573144</v>
      </c>
      <c r="K33" s="10">
        <v>9279859</v>
      </c>
      <c r="L33" s="10">
        <v>10632872</v>
      </c>
      <c r="M33" s="10">
        <v>12081943</v>
      </c>
      <c r="N33" s="11">
        <v>12689372</v>
      </c>
      <c r="O33" s="10">
        <v>14286819</v>
      </c>
    </row>
    <row r="34" spans="1:15" ht="13.5" customHeight="1" x14ac:dyDescent="0.3">
      <c r="A34" s="2"/>
      <c r="B34" s="2"/>
      <c r="C34" s="2"/>
      <c r="D34" s="2"/>
      <c r="E34" s="2"/>
      <c r="F34" s="2" t="s">
        <v>1</v>
      </c>
      <c r="G34" s="8">
        <f t="shared" ref="G34:N34" si="8">SUM(G30:G33)</f>
        <v>8409294</v>
      </c>
      <c r="H34" s="8">
        <f t="shared" si="8"/>
        <v>9334753</v>
      </c>
      <c r="I34" s="8">
        <f t="shared" si="8"/>
        <v>10333323</v>
      </c>
      <c r="J34" s="9">
        <f t="shared" si="8"/>
        <v>11065240</v>
      </c>
      <c r="K34" s="8">
        <f t="shared" si="8"/>
        <v>12884080</v>
      </c>
      <c r="L34" s="8">
        <f t="shared" si="8"/>
        <v>13863871</v>
      </c>
      <c r="M34" s="8">
        <f t="shared" si="8"/>
        <v>15314617</v>
      </c>
      <c r="N34" s="9">
        <f t="shared" si="8"/>
        <v>15849248</v>
      </c>
      <c r="O34" s="8">
        <f t="shared" ref="O34" si="9">SUM(O30:O33)</f>
        <v>17544039</v>
      </c>
    </row>
    <row r="35" spans="1:15" s="6" customFormat="1" ht="13.5" thickBot="1" x14ac:dyDescent="0.35">
      <c r="A35" s="4"/>
      <c r="B35" s="4"/>
      <c r="C35" s="4"/>
      <c r="D35" s="4"/>
      <c r="E35" s="4"/>
      <c r="F35" s="4" t="s">
        <v>0</v>
      </c>
      <c r="G35" s="59">
        <f t="shared" ref="G35:N35" si="10">G28+G34</f>
        <v>35059910</v>
      </c>
      <c r="H35" s="59">
        <f t="shared" si="10"/>
        <v>37175281</v>
      </c>
      <c r="I35" s="59">
        <f t="shared" si="10"/>
        <v>38622543</v>
      </c>
      <c r="J35" s="60">
        <f t="shared" si="10"/>
        <v>39280359</v>
      </c>
      <c r="K35" s="59">
        <f t="shared" si="10"/>
        <v>40123014</v>
      </c>
      <c r="L35" s="59">
        <f t="shared" si="10"/>
        <v>40970969</v>
      </c>
      <c r="M35" s="59">
        <f t="shared" si="10"/>
        <v>42739857</v>
      </c>
      <c r="N35" s="60">
        <f t="shared" si="10"/>
        <v>44584663</v>
      </c>
      <c r="O35" s="59">
        <f t="shared" ref="O35" si="11">O28+O34</f>
        <v>45330904</v>
      </c>
    </row>
    <row r="36" spans="1:15" s="6" customFormat="1" x14ac:dyDescent="0.3">
      <c r="A36" s="4"/>
      <c r="B36" s="4"/>
      <c r="C36" s="4"/>
      <c r="D36" s="4"/>
      <c r="E36" s="4"/>
      <c r="F36" s="4"/>
      <c r="G36" s="7"/>
      <c r="H36" s="7"/>
      <c r="I36" s="7"/>
      <c r="J36" s="7"/>
      <c r="K36" s="7"/>
      <c r="L36" s="7"/>
      <c r="M36" s="7"/>
      <c r="N36" s="7"/>
      <c r="O36" s="7"/>
    </row>
    <row r="37" spans="1:15" x14ac:dyDescent="0.3">
      <c r="A37" s="2"/>
      <c r="B37" s="2"/>
      <c r="C37" s="2"/>
      <c r="D37" s="2"/>
      <c r="E37" s="2"/>
      <c r="F37" s="3"/>
    </row>
    <row r="38" spans="1:15" x14ac:dyDescent="0.3">
      <c r="A38" s="2"/>
      <c r="B38" s="2"/>
      <c r="C38" s="2"/>
      <c r="D38" s="2"/>
      <c r="E38" s="2"/>
      <c r="F38" s="5"/>
    </row>
    <row r="39" spans="1:15" x14ac:dyDescent="0.3">
      <c r="A39" s="2"/>
      <c r="B39" s="2"/>
      <c r="C39" s="2"/>
      <c r="D39" s="2"/>
      <c r="E39" s="2"/>
      <c r="F39" s="3"/>
    </row>
    <row r="40" spans="1:15" x14ac:dyDescent="0.3">
      <c r="A40" s="2"/>
      <c r="B40" s="2"/>
      <c r="C40" s="2"/>
      <c r="D40" s="2"/>
      <c r="E40" s="2"/>
      <c r="F40" s="3"/>
    </row>
    <row r="41" spans="1:15" x14ac:dyDescent="0.3">
      <c r="A41" s="2"/>
      <c r="B41" s="2"/>
      <c r="C41" s="2"/>
      <c r="D41" s="2"/>
      <c r="E41" s="2"/>
      <c r="F41" s="3"/>
    </row>
    <row r="42" spans="1:15" x14ac:dyDescent="0.3">
      <c r="A42" s="2"/>
      <c r="B42" s="2"/>
      <c r="C42" s="2"/>
      <c r="D42" s="2"/>
      <c r="E42" s="2"/>
      <c r="F42" s="3"/>
    </row>
    <row r="43" spans="1:15" x14ac:dyDescent="0.3">
      <c r="A43" s="4"/>
      <c r="B43" s="4"/>
      <c r="C43" s="2"/>
      <c r="D43" s="2"/>
      <c r="E43" s="2"/>
      <c r="F43" s="3"/>
    </row>
    <row r="44" spans="1:15" x14ac:dyDescent="0.3">
      <c r="A44" s="2"/>
      <c r="B44" s="2"/>
      <c r="C44" s="2"/>
      <c r="D44" s="2"/>
      <c r="E44" s="2"/>
      <c r="F44" s="3"/>
    </row>
    <row r="45" spans="1:15" x14ac:dyDescent="0.3">
      <c r="A45" s="4"/>
      <c r="B45" s="4"/>
      <c r="C45" s="2"/>
      <c r="D45" s="2"/>
      <c r="E45" s="2"/>
      <c r="F45" s="3"/>
    </row>
    <row r="46" spans="1:15" x14ac:dyDescent="0.3">
      <c r="A46" s="2"/>
      <c r="B46" s="2"/>
      <c r="C46" s="2"/>
      <c r="D46" s="2"/>
      <c r="E46" s="2"/>
      <c r="F46" s="3"/>
    </row>
    <row r="47" spans="1:15" x14ac:dyDescent="0.3">
      <c r="A47" s="2"/>
      <c r="B47" s="2"/>
      <c r="C47" s="2"/>
      <c r="D47" s="2"/>
      <c r="E47" s="2"/>
      <c r="F47" s="3"/>
    </row>
    <row r="48" spans="1:15" x14ac:dyDescent="0.3">
      <c r="A48" s="2"/>
      <c r="B48" s="4"/>
      <c r="C48" s="2"/>
      <c r="D48" s="2"/>
      <c r="E48" s="2"/>
      <c r="F48" s="3"/>
    </row>
    <row r="49" spans="1:6" x14ac:dyDescent="0.3">
      <c r="A49" s="2"/>
      <c r="B49" s="2"/>
      <c r="C49" s="2"/>
      <c r="D49" s="2"/>
      <c r="E49" s="2"/>
      <c r="F49" s="3"/>
    </row>
    <row r="50" spans="1:6" x14ac:dyDescent="0.3">
      <c r="A50" s="2"/>
      <c r="B50" s="2"/>
      <c r="C50" s="2"/>
      <c r="D50" s="2"/>
      <c r="E50" s="2"/>
      <c r="F50" s="3"/>
    </row>
    <row r="51" spans="1:6" x14ac:dyDescent="0.3">
      <c r="A51" s="2"/>
      <c r="B51" s="2"/>
      <c r="C51" s="2"/>
      <c r="D51" s="2"/>
      <c r="E51" s="2"/>
      <c r="F51" s="2"/>
    </row>
    <row r="52" spans="1:6" x14ac:dyDescent="0.3">
      <c r="A52" s="2"/>
      <c r="B52" s="2"/>
      <c r="C52" s="2"/>
      <c r="D52" s="2"/>
      <c r="E52" s="2"/>
      <c r="F52" s="2"/>
    </row>
    <row r="53" spans="1:6" x14ac:dyDescent="0.3">
      <c r="A53" s="2"/>
      <c r="B53" s="2"/>
      <c r="C53" s="2"/>
      <c r="D53" s="2"/>
      <c r="E53" s="2"/>
      <c r="F53" s="2"/>
    </row>
    <row r="54" spans="1:6" x14ac:dyDescent="0.3">
      <c r="A54" s="2"/>
      <c r="B54" s="2"/>
      <c r="C54" s="2"/>
      <c r="D54" s="2"/>
      <c r="E54" s="2"/>
      <c r="F54" s="2"/>
    </row>
    <row r="55" spans="1:6" x14ac:dyDescent="0.3">
      <c r="A55" s="2"/>
      <c r="B55" s="2"/>
      <c r="C55" s="2"/>
      <c r="D55" s="2"/>
      <c r="E55" s="2"/>
      <c r="F55" s="2"/>
    </row>
    <row r="56" spans="1:6" x14ac:dyDescent="0.3">
      <c r="A56" s="2"/>
      <c r="B56" s="2"/>
      <c r="C56" s="2"/>
      <c r="D56" s="2"/>
      <c r="E56" s="2"/>
      <c r="F56" s="2"/>
    </row>
    <row r="57" spans="1:6" x14ac:dyDescent="0.3">
      <c r="A57" s="2"/>
      <c r="B57" s="2"/>
      <c r="C57" s="2"/>
      <c r="D57" s="2"/>
      <c r="E57" s="2"/>
      <c r="F57" s="2"/>
    </row>
    <row r="58" spans="1:6" x14ac:dyDescent="0.3">
      <c r="A58" s="2"/>
      <c r="B58" s="2"/>
      <c r="C58" s="2"/>
      <c r="D58" s="2"/>
      <c r="E58" s="2"/>
      <c r="F58" s="2"/>
    </row>
  </sheetData>
  <pageMargins left="0.2" right="0.17" top="0.5" bottom="0.75" header="0.5" footer="0.5"/>
  <pageSetup scale="77" orientation="landscape" r:id="rId1"/>
  <headerFooter alignWithMargins="0"/>
  <rowBreaks count="1" manualBreakCount="1">
    <brk id="34" max="16383" man="1"/>
  </rowBreaks>
  <colBreaks count="1" manualBreakCount="1">
    <brk id="9"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M48"/>
  <sheetViews>
    <sheetView topLeftCell="A10" zoomScaleNormal="100" zoomScaleSheetLayoutView="100" zoomScalePageLayoutView="150" workbookViewId="0">
      <selection activeCell="K24" sqref="K24"/>
    </sheetView>
  </sheetViews>
  <sheetFormatPr defaultColWidth="1.453125" defaultRowHeight="12.5" x14ac:dyDescent="0.25"/>
  <cols>
    <col min="1" max="1" width="1.453125" style="71" customWidth="1"/>
    <col min="2" max="2" width="10" style="71" customWidth="1"/>
    <col min="3" max="10" width="17.54296875" style="71" customWidth="1"/>
    <col min="11" max="12" width="18.81640625" style="71" customWidth="1"/>
    <col min="13" max="13" width="17.54296875" style="71" bestFit="1" customWidth="1"/>
    <col min="14" max="206" width="9.1796875" style="71" customWidth="1"/>
    <col min="207" max="16384" width="1.453125" style="71"/>
  </cols>
  <sheetData>
    <row r="1" spans="1:13" ht="13" x14ac:dyDescent="0.3">
      <c r="A1" s="79"/>
      <c r="B1" s="79"/>
    </row>
    <row r="2" spans="1:13" ht="13" x14ac:dyDescent="0.3">
      <c r="A2" s="79"/>
      <c r="B2" s="79"/>
    </row>
    <row r="3" spans="1:13" ht="13" x14ac:dyDescent="0.3">
      <c r="A3" s="95"/>
      <c r="B3" s="79"/>
    </row>
    <row r="4" spans="1:13" x14ac:dyDescent="0.25">
      <c r="A4" s="95"/>
      <c r="B4" s="72"/>
    </row>
    <row r="5" spans="1:13" ht="12.75" customHeight="1" x14ac:dyDescent="0.3">
      <c r="A5" s="95"/>
      <c r="B5" s="72"/>
      <c r="C5" s="130" t="s">
        <v>38</v>
      </c>
      <c r="D5" s="130"/>
      <c r="E5" s="130"/>
      <c r="F5" s="130"/>
      <c r="G5" s="131" t="s">
        <v>38</v>
      </c>
      <c r="H5" s="131"/>
      <c r="I5" s="131"/>
      <c r="J5" s="131"/>
      <c r="K5" s="99" t="s">
        <v>33</v>
      </c>
      <c r="L5" s="99" t="s">
        <v>33</v>
      </c>
      <c r="M5" s="100" t="s">
        <v>38</v>
      </c>
    </row>
    <row r="6" spans="1:13" ht="13" x14ac:dyDescent="0.3">
      <c r="A6" s="101"/>
      <c r="B6" s="72"/>
      <c r="C6" s="73" t="s">
        <v>22</v>
      </c>
      <c r="D6" s="73" t="s">
        <v>24</v>
      </c>
      <c r="E6" s="73" t="s">
        <v>25</v>
      </c>
      <c r="F6" s="73" t="s">
        <v>23</v>
      </c>
      <c r="G6" s="73" t="s">
        <v>22</v>
      </c>
      <c r="H6" s="73" t="s">
        <v>24</v>
      </c>
      <c r="I6" s="73" t="s">
        <v>25</v>
      </c>
      <c r="J6" s="73" t="s">
        <v>23</v>
      </c>
      <c r="K6" s="74" t="s">
        <v>23</v>
      </c>
      <c r="L6" s="74" t="s">
        <v>23</v>
      </c>
      <c r="M6" s="73" t="s">
        <v>22</v>
      </c>
    </row>
    <row r="7" spans="1:13" ht="13" x14ac:dyDescent="0.3">
      <c r="A7" s="101"/>
      <c r="B7" s="72"/>
      <c r="C7" s="75">
        <v>2020</v>
      </c>
      <c r="D7" s="75">
        <v>2020</v>
      </c>
      <c r="E7" s="75">
        <v>2020</v>
      </c>
      <c r="F7" s="75">
        <v>2020</v>
      </c>
      <c r="G7" s="75">
        <v>2021</v>
      </c>
      <c r="H7" s="75">
        <v>2021</v>
      </c>
      <c r="I7" s="75">
        <v>2021</v>
      </c>
      <c r="J7" s="75">
        <v>2021</v>
      </c>
      <c r="K7" s="102">
        <v>2020</v>
      </c>
      <c r="L7" s="102">
        <v>2021</v>
      </c>
      <c r="M7" s="75">
        <v>2022</v>
      </c>
    </row>
    <row r="8" spans="1:13" ht="13" x14ac:dyDescent="0.3">
      <c r="B8" s="87" t="s">
        <v>53</v>
      </c>
      <c r="K8" s="104"/>
      <c r="L8" s="104"/>
    </row>
    <row r="9" spans="1:13" ht="13" x14ac:dyDescent="0.3">
      <c r="A9" s="105"/>
      <c r="B9" s="103" t="s">
        <v>36</v>
      </c>
      <c r="C9" s="106">
        <v>709067</v>
      </c>
      <c r="D9" s="106">
        <v>720196</v>
      </c>
      <c r="E9" s="106">
        <v>789976</v>
      </c>
      <c r="F9" s="106">
        <v>542156</v>
      </c>
      <c r="G9" s="106">
        <v>1706715</v>
      </c>
      <c r="H9" s="106">
        <v>1353013</v>
      </c>
      <c r="I9" s="106">
        <v>1449071</v>
      </c>
      <c r="J9" s="106">
        <v>607429</v>
      </c>
      <c r="K9" s="80">
        <f t="shared" ref="K9:K17" si="0">SUM(C9:F9)</f>
        <v>2761395</v>
      </c>
      <c r="L9" s="80">
        <f>SUM(G9:J9)</f>
        <v>5116228</v>
      </c>
      <c r="M9" s="106">
        <v>1597447</v>
      </c>
    </row>
    <row r="10" spans="1:13" ht="13" x14ac:dyDescent="0.3">
      <c r="A10" s="101"/>
      <c r="B10" s="103" t="s">
        <v>65</v>
      </c>
      <c r="C10" s="107">
        <v>-3294275</v>
      </c>
      <c r="D10" s="107">
        <v>-2510782</v>
      </c>
      <c r="E10" s="107">
        <v>-2653886</v>
      </c>
      <c r="F10" s="107">
        <v>-3320341</v>
      </c>
      <c r="G10" s="107">
        <v>-3284576</v>
      </c>
      <c r="H10" s="107">
        <v>-4096750</v>
      </c>
      <c r="I10" s="107">
        <v>-4666237</v>
      </c>
      <c r="J10" s="107">
        <v>-5654639</v>
      </c>
      <c r="K10" s="81">
        <f t="shared" si="0"/>
        <v>-11779284</v>
      </c>
      <c r="L10" s="81">
        <f t="shared" ref="L10:L17" si="1">SUM(G10:J10)</f>
        <v>-17702202</v>
      </c>
      <c r="M10" s="107">
        <v>-3584164</v>
      </c>
    </row>
    <row r="11" spans="1:13" ht="13" x14ac:dyDescent="0.3">
      <c r="A11" s="101"/>
      <c r="B11" s="103" t="s">
        <v>66</v>
      </c>
      <c r="C11" s="107">
        <v>258945</v>
      </c>
      <c r="D11" s="107">
        <v>-108432</v>
      </c>
      <c r="E11" s="107">
        <v>-379458</v>
      </c>
      <c r="F11" s="107">
        <v>-528488</v>
      </c>
      <c r="G11" s="107">
        <v>-266040</v>
      </c>
      <c r="H11" s="107">
        <v>-312208</v>
      </c>
      <c r="I11" s="107">
        <v>-29246</v>
      </c>
      <c r="J11" s="107">
        <v>840392</v>
      </c>
      <c r="K11" s="81">
        <f t="shared" si="0"/>
        <v>-757433</v>
      </c>
      <c r="L11" s="81">
        <f t="shared" si="1"/>
        <v>232898</v>
      </c>
      <c r="M11" s="107">
        <v>-347149</v>
      </c>
    </row>
    <row r="12" spans="1:13" ht="13" x14ac:dyDescent="0.3">
      <c r="A12" s="101"/>
      <c r="B12" s="103" t="s">
        <v>67</v>
      </c>
      <c r="C12" s="107">
        <v>2483385</v>
      </c>
      <c r="D12" s="107">
        <v>2607159</v>
      </c>
      <c r="E12" s="107">
        <v>2733743</v>
      </c>
      <c r="F12" s="107">
        <v>2982625</v>
      </c>
      <c r="G12" s="107">
        <v>2719196</v>
      </c>
      <c r="H12" s="107">
        <v>2806803</v>
      </c>
      <c r="I12" s="107">
        <v>2963051</v>
      </c>
      <c r="J12" s="107">
        <v>3741317</v>
      </c>
      <c r="K12" s="81">
        <f t="shared" si="0"/>
        <v>10806912</v>
      </c>
      <c r="L12" s="81">
        <f t="shared" si="1"/>
        <v>12230367</v>
      </c>
      <c r="M12" s="107">
        <v>3166365</v>
      </c>
    </row>
    <row r="13" spans="1:13" ht="13" x14ac:dyDescent="0.3">
      <c r="A13" s="101"/>
      <c r="B13" s="103" t="s">
        <v>52</v>
      </c>
      <c r="C13" s="107">
        <v>28517</v>
      </c>
      <c r="D13" s="107">
        <v>26661</v>
      </c>
      <c r="E13" s="107">
        <v>28589</v>
      </c>
      <c r="F13" s="107">
        <v>31943</v>
      </c>
      <c r="G13" s="107">
        <v>35741</v>
      </c>
      <c r="H13" s="107">
        <v>38434</v>
      </c>
      <c r="I13" s="107">
        <v>70253</v>
      </c>
      <c r="J13" s="107">
        <v>63984</v>
      </c>
      <c r="K13" s="81">
        <f t="shared" si="0"/>
        <v>115710</v>
      </c>
      <c r="L13" s="81">
        <f t="shared" si="1"/>
        <v>208412</v>
      </c>
      <c r="M13" s="107">
        <v>74602</v>
      </c>
    </row>
    <row r="14" spans="1:13" ht="13" x14ac:dyDescent="0.3">
      <c r="A14" s="95"/>
      <c r="B14" s="103" t="s">
        <v>51</v>
      </c>
      <c r="C14" s="107">
        <v>97019</v>
      </c>
      <c r="D14" s="107">
        <v>104210</v>
      </c>
      <c r="E14" s="107">
        <v>106357</v>
      </c>
      <c r="F14" s="107">
        <v>107594</v>
      </c>
      <c r="G14" s="107">
        <v>107230</v>
      </c>
      <c r="H14" s="107">
        <v>101583</v>
      </c>
      <c r="I14" s="107">
        <v>95078</v>
      </c>
      <c r="J14" s="107">
        <v>99329</v>
      </c>
      <c r="K14" s="81">
        <f t="shared" si="0"/>
        <v>415180</v>
      </c>
      <c r="L14" s="81">
        <f t="shared" si="1"/>
        <v>403220</v>
      </c>
      <c r="M14" s="107">
        <v>119209</v>
      </c>
    </row>
    <row r="15" spans="1:13" ht="13" x14ac:dyDescent="0.3">
      <c r="A15" s="105"/>
      <c r="B15" s="103" t="s">
        <v>64</v>
      </c>
      <c r="C15" s="107">
        <v>-93060</v>
      </c>
      <c r="D15" s="107">
        <v>119161</v>
      </c>
      <c r="E15" s="107">
        <v>249194</v>
      </c>
      <c r="F15" s="107">
        <v>257983</v>
      </c>
      <c r="G15" s="107">
        <v>-253330</v>
      </c>
      <c r="H15" s="107">
        <v>63074</v>
      </c>
      <c r="I15" s="107">
        <v>-136488</v>
      </c>
      <c r="J15" s="107">
        <v>-103917</v>
      </c>
      <c r="K15" s="81">
        <f t="shared" si="0"/>
        <v>533278</v>
      </c>
      <c r="L15" s="81">
        <f t="shared" si="1"/>
        <v>-430661</v>
      </c>
      <c r="M15" s="107">
        <v>-161821</v>
      </c>
    </row>
    <row r="16" spans="1:13" ht="13" x14ac:dyDescent="0.3">
      <c r="A16" s="105"/>
      <c r="B16" s="103" t="s">
        <v>71</v>
      </c>
      <c r="C16" s="107">
        <v>65448</v>
      </c>
      <c r="D16" s="107">
        <v>70301</v>
      </c>
      <c r="E16" s="107">
        <v>83851</v>
      </c>
      <c r="F16" s="107">
        <v>73526</v>
      </c>
      <c r="G16" s="107">
        <v>72657</v>
      </c>
      <c r="H16" s="107">
        <v>108103</v>
      </c>
      <c r="I16" s="107">
        <v>102211</v>
      </c>
      <c r="J16" s="107">
        <v>93806</v>
      </c>
      <c r="K16" s="81">
        <f t="shared" si="0"/>
        <v>293126</v>
      </c>
      <c r="L16" s="81">
        <f t="shared" si="1"/>
        <v>376777</v>
      </c>
      <c r="M16" s="107">
        <v>101968</v>
      </c>
    </row>
    <row r="17" spans="1:13" ht="13" x14ac:dyDescent="0.3">
      <c r="A17" s="105"/>
      <c r="B17" s="103" t="s">
        <v>78</v>
      </c>
      <c r="C17" s="107">
        <v>46619</v>
      </c>
      <c r="D17" s="107">
        <v>223308</v>
      </c>
      <c r="E17" s="107">
        <v>-40277</v>
      </c>
      <c r="F17" s="107">
        <v>-159584</v>
      </c>
      <c r="G17" s="107">
        <v>159733</v>
      </c>
      <c r="H17" s="107">
        <v>51127</v>
      </c>
      <c r="I17" s="107">
        <v>50967</v>
      </c>
      <c r="J17" s="107">
        <v>-62279</v>
      </c>
      <c r="K17" s="81">
        <f t="shared" si="0"/>
        <v>70066</v>
      </c>
      <c r="L17" s="81">
        <f t="shared" si="1"/>
        <v>199548</v>
      </c>
      <c r="M17" s="107">
        <v>-68906</v>
      </c>
    </row>
    <row r="18" spans="1:13" ht="13" x14ac:dyDescent="0.3">
      <c r="A18" s="95"/>
      <c r="B18" s="103" t="s">
        <v>50</v>
      </c>
      <c r="C18" s="107"/>
      <c r="D18" s="107"/>
      <c r="E18" s="107"/>
      <c r="G18" s="107"/>
      <c r="H18" s="107"/>
      <c r="I18" s="107"/>
      <c r="J18" s="107"/>
      <c r="K18" s="81"/>
      <c r="L18" s="81"/>
      <c r="M18" s="107"/>
    </row>
    <row r="19" spans="1:13" ht="13" x14ac:dyDescent="0.3">
      <c r="A19" s="101"/>
      <c r="B19" s="103" t="s">
        <v>18</v>
      </c>
      <c r="C19" s="107">
        <v>-127353</v>
      </c>
      <c r="D19" s="107">
        <v>3066</v>
      </c>
      <c r="E19" s="107">
        <v>-22974</v>
      </c>
      <c r="F19" s="107">
        <v>-40362</v>
      </c>
      <c r="G19" s="107">
        <v>-221555</v>
      </c>
      <c r="H19" s="107">
        <v>-52373</v>
      </c>
      <c r="I19" s="107">
        <v>-95145</v>
      </c>
      <c r="J19" s="107">
        <v>-608</v>
      </c>
      <c r="K19" s="81">
        <f>SUM(C19:F19)</f>
        <v>-187623</v>
      </c>
      <c r="L19" s="81">
        <f t="shared" ref="L19:L23" si="2">SUM(G19:J19)</f>
        <v>-369681</v>
      </c>
      <c r="M19" s="107">
        <v>41157</v>
      </c>
    </row>
    <row r="20" spans="1:13" ht="13" x14ac:dyDescent="0.3">
      <c r="A20" s="95"/>
      <c r="B20" s="103" t="s">
        <v>12</v>
      </c>
      <c r="C20" s="107">
        <v>-149153</v>
      </c>
      <c r="D20" s="107">
        <v>-112027</v>
      </c>
      <c r="E20" s="107">
        <v>111677</v>
      </c>
      <c r="F20" s="107">
        <v>107898</v>
      </c>
      <c r="G20" s="107">
        <v>-137313</v>
      </c>
      <c r="H20" s="107">
        <v>72313</v>
      </c>
      <c r="I20" s="107">
        <v>24836</v>
      </c>
      <c r="J20" s="107">
        <v>185279</v>
      </c>
      <c r="K20" s="81">
        <f>SUM(C20:F20)</f>
        <v>-41605</v>
      </c>
      <c r="L20" s="81">
        <f t="shared" si="2"/>
        <v>145115</v>
      </c>
      <c r="M20" s="107">
        <v>-215444</v>
      </c>
    </row>
    <row r="21" spans="1:13" ht="13" x14ac:dyDescent="0.3">
      <c r="A21" s="95"/>
      <c r="B21" s="103" t="s">
        <v>54</v>
      </c>
      <c r="C21" s="107">
        <v>214191</v>
      </c>
      <c r="D21" s="107">
        <v>-105450</v>
      </c>
      <c r="E21" s="107">
        <v>266027</v>
      </c>
      <c r="F21" s="107">
        <v>-176585</v>
      </c>
      <c r="G21" s="107">
        <v>177897</v>
      </c>
      <c r="H21" s="107">
        <v>-171430</v>
      </c>
      <c r="I21" s="107">
        <v>269774</v>
      </c>
      <c r="J21" s="107">
        <v>-95903</v>
      </c>
      <c r="K21" s="81">
        <f>SUM(C21:F21)</f>
        <v>198183</v>
      </c>
      <c r="L21" s="81">
        <f t="shared" si="2"/>
        <v>180338</v>
      </c>
      <c r="M21" s="107">
        <v>350763</v>
      </c>
    </row>
    <row r="22" spans="1:13" ht="13" x14ac:dyDescent="0.3">
      <c r="A22" s="101"/>
      <c r="B22" s="103" t="s">
        <v>11</v>
      </c>
      <c r="C22" s="107">
        <v>62008</v>
      </c>
      <c r="D22" s="107">
        <v>42508</v>
      </c>
      <c r="E22" s="107">
        <v>10941</v>
      </c>
      <c r="F22" s="107">
        <v>77790</v>
      </c>
      <c r="G22" s="107">
        <v>22279</v>
      </c>
      <c r="H22" s="107">
        <v>47093</v>
      </c>
      <c r="I22" s="107">
        <v>-4732</v>
      </c>
      <c r="J22" s="107">
        <v>26710</v>
      </c>
      <c r="K22" s="81">
        <f>SUM(C22:F22)</f>
        <v>193247</v>
      </c>
      <c r="L22" s="81">
        <f t="shared" si="2"/>
        <v>91350</v>
      </c>
      <c r="M22" s="107">
        <v>16743</v>
      </c>
    </row>
    <row r="23" spans="1:13" ht="13" x14ac:dyDescent="0.3">
      <c r="A23" s="95"/>
      <c r="B23" s="103" t="s">
        <v>49</v>
      </c>
      <c r="C23" s="108">
        <v>-41446</v>
      </c>
      <c r="D23" s="108">
        <v>-38803</v>
      </c>
      <c r="E23" s="95">
        <v>-19999</v>
      </c>
      <c r="F23" s="95">
        <v>-93827</v>
      </c>
      <c r="G23" s="108">
        <v>-61368</v>
      </c>
      <c r="H23" s="108">
        <v>-72543</v>
      </c>
      <c r="I23" s="108">
        <v>-11014</v>
      </c>
      <c r="J23" s="95">
        <v>-144174</v>
      </c>
      <c r="K23" s="81">
        <f>SUM(C23:F23)</f>
        <v>-194075</v>
      </c>
      <c r="L23" s="81">
        <f t="shared" si="2"/>
        <v>-289099</v>
      </c>
      <c r="M23" s="108">
        <v>-167931</v>
      </c>
    </row>
    <row r="24" spans="1:13" ht="13" x14ac:dyDescent="0.3">
      <c r="A24" s="105"/>
      <c r="B24" s="103" t="s">
        <v>63</v>
      </c>
      <c r="C24" s="109">
        <f t="shared" ref="C24:M24" si="3">SUM(C9:C23)</f>
        <v>259912</v>
      </c>
      <c r="D24" s="109">
        <f t="shared" si="3"/>
        <v>1041076</v>
      </c>
      <c r="E24" s="109">
        <f t="shared" si="3"/>
        <v>1263761</v>
      </c>
      <c r="F24" s="109">
        <f t="shared" si="3"/>
        <v>-137672</v>
      </c>
      <c r="G24" s="109">
        <f t="shared" si="3"/>
        <v>777266</v>
      </c>
      <c r="H24" s="109">
        <f t="shared" si="3"/>
        <v>-63761</v>
      </c>
      <c r="I24" s="109">
        <f t="shared" si="3"/>
        <v>82379</v>
      </c>
      <c r="J24" s="109">
        <f t="shared" si="3"/>
        <v>-403274</v>
      </c>
      <c r="K24" s="110">
        <f t="shared" si="3"/>
        <v>2427077</v>
      </c>
      <c r="L24" s="110">
        <f t="shared" si="3"/>
        <v>392610</v>
      </c>
      <c r="M24" s="109">
        <f t="shared" si="3"/>
        <v>922839</v>
      </c>
    </row>
    <row r="25" spans="1:13" ht="13" x14ac:dyDescent="0.3">
      <c r="B25" s="111" t="s">
        <v>48</v>
      </c>
      <c r="K25" s="81"/>
      <c r="L25" s="81"/>
    </row>
    <row r="26" spans="1:13" ht="13" x14ac:dyDescent="0.3">
      <c r="A26" s="101"/>
      <c r="B26" s="103"/>
      <c r="C26" s="107">
        <v>-98015</v>
      </c>
      <c r="D26" s="107">
        <v>-141741</v>
      </c>
      <c r="E26" s="107">
        <v>-109811</v>
      </c>
      <c r="F26" s="107">
        <v>-148356</v>
      </c>
      <c r="G26" s="107">
        <v>-81001</v>
      </c>
      <c r="H26" s="107">
        <v>-110278</v>
      </c>
      <c r="I26" s="107">
        <v>-167327</v>
      </c>
      <c r="J26" s="107">
        <v>-165979</v>
      </c>
      <c r="K26" s="81">
        <f>SUM(C26:F26)</f>
        <v>-497923</v>
      </c>
      <c r="L26" s="81">
        <f t="shared" ref="L26:L28" si="4">SUM(G26:J26)</f>
        <v>-524585</v>
      </c>
      <c r="M26" s="107">
        <v>-121158</v>
      </c>
    </row>
    <row r="27" spans="1:13" ht="13" x14ac:dyDescent="0.3">
      <c r="A27" s="101"/>
      <c r="B27" s="103"/>
      <c r="C27" s="107">
        <v>-288</v>
      </c>
      <c r="D27" s="107">
        <v>-260</v>
      </c>
      <c r="E27" s="107">
        <v>-8840</v>
      </c>
      <c r="F27" s="107">
        <v>1957</v>
      </c>
      <c r="G27" s="107">
        <v>-4615</v>
      </c>
      <c r="H27" s="107">
        <v>-1000</v>
      </c>
      <c r="I27" s="107">
        <v>-21304</v>
      </c>
      <c r="J27" s="107">
        <v>0</v>
      </c>
      <c r="K27" s="81">
        <f>SUM(C27:F27)</f>
        <v>-7431</v>
      </c>
      <c r="L27" s="81">
        <f t="shared" si="4"/>
        <v>-26919</v>
      </c>
      <c r="M27" s="107">
        <v>0</v>
      </c>
    </row>
    <row r="28" spans="1:13" ht="13" x14ac:dyDescent="0.3">
      <c r="A28" s="101"/>
      <c r="B28" s="103"/>
      <c r="C28" s="107">
        <v>0</v>
      </c>
      <c r="D28" s="107">
        <v>0</v>
      </c>
      <c r="E28" s="107">
        <v>0</v>
      </c>
      <c r="F28" s="107">
        <v>0</v>
      </c>
      <c r="G28" s="107">
        <v>0</v>
      </c>
      <c r="H28" s="107">
        <v>0</v>
      </c>
      <c r="I28" s="107">
        <v>0</v>
      </c>
      <c r="J28" s="107">
        <v>-788349</v>
      </c>
      <c r="K28" s="81">
        <f>SUM(C28:F28)</f>
        <v>0</v>
      </c>
      <c r="L28" s="81">
        <f t="shared" si="4"/>
        <v>-788349</v>
      </c>
      <c r="M28" s="107">
        <v>-124521</v>
      </c>
    </row>
    <row r="29" spans="1:13" ht="13" x14ac:dyDescent="0.3">
      <c r="A29" s="95"/>
      <c r="B29" s="103" t="s">
        <v>68</v>
      </c>
      <c r="C29" s="109">
        <f t="shared" ref="C29:M29" si="5">SUM(C26:C28)</f>
        <v>-98303</v>
      </c>
      <c r="D29" s="109">
        <f t="shared" si="5"/>
        <v>-142001</v>
      </c>
      <c r="E29" s="109">
        <f t="shared" si="5"/>
        <v>-118651</v>
      </c>
      <c r="F29" s="109">
        <f t="shared" si="5"/>
        <v>-146399</v>
      </c>
      <c r="G29" s="109">
        <f t="shared" si="5"/>
        <v>-85616</v>
      </c>
      <c r="H29" s="109">
        <f t="shared" si="5"/>
        <v>-111278</v>
      </c>
      <c r="I29" s="109">
        <f t="shared" si="5"/>
        <v>-188631</v>
      </c>
      <c r="J29" s="109">
        <f t="shared" si="5"/>
        <v>-954328</v>
      </c>
      <c r="K29" s="110">
        <f>SUM(K26:K28)</f>
        <v>-505354</v>
      </c>
      <c r="L29" s="110">
        <f t="shared" si="5"/>
        <v>-1339853</v>
      </c>
      <c r="M29" s="109">
        <f t="shared" si="5"/>
        <v>-245679</v>
      </c>
    </row>
    <row r="30" spans="1:13" ht="13" x14ac:dyDescent="0.3">
      <c r="B30" s="111" t="s">
        <v>47</v>
      </c>
      <c r="K30" s="81"/>
      <c r="L30" s="81"/>
    </row>
    <row r="31" spans="1:13" ht="13" x14ac:dyDescent="0.3">
      <c r="A31" s="105"/>
      <c r="B31" s="103"/>
      <c r="C31" s="107">
        <v>0</v>
      </c>
      <c r="D31" s="107">
        <v>1009464</v>
      </c>
      <c r="E31" s="107">
        <v>0</v>
      </c>
      <c r="F31" s="107">
        <v>0</v>
      </c>
      <c r="G31" s="107">
        <v>0</v>
      </c>
      <c r="H31" s="107">
        <v>0</v>
      </c>
      <c r="I31" s="107">
        <v>0</v>
      </c>
      <c r="J31" s="107">
        <v>0</v>
      </c>
      <c r="K31" s="81">
        <f t="shared" ref="K31:K36" si="6">SUM(C31:F31)</f>
        <v>1009464</v>
      </c>
      <c r="L31" s="81">
        <f t="shared" ref="L31:L36" si="7">SUM(G31:J31)</f>
        <v>0</v>
      </c>
      <c r="M31" s="107">
        <v>0</v>
      </c>
    </row>
    <row r="32" spans="1:13" ht="13" x14ac:dyDescent="0.3">
      <c r="A32" s="105"/>
      <c r="B32" s="103"/>
      <c r="C32" s="107">
        <v>0</v>
      </c>
      <c r="D32" s="107">
        <v>-7559</v>
      </c>
      <c r="E32" s="107">
        <v>0</v>
      </c>
      <c r="F32" s="107">
        <v>0</v>
      </c>
      <c r="G32" s="107">
        <v>0</v>
      </c>
      <c r="H32" s="107">
        <v>0</v>
      </c>
      <c r="I32" s="107">
        <v>0</v>
      </c>
      <c r="J32" s="107">
        <v>0</v>
      </c>
      <c r="K32" s="81">
        <f t="shared" si="6"/>
        <v>-7559</v>
      </c>
      <c r="L32" s="81">
        <f t="shared" si="7"/>
        <v>0</v>
      </c>
      <c r="M32" s="107">
        <v>0</v>
      </c>
    </row>
    <row r="33" spans="1:13" ht="13" x14ac:dyDescent="0.3">
      <c r="A33" s="105"/>
      <c r="B33" s="103"/>
      <c r="C33" s="107">
        <v>0</v>
      </c>
      <c r="D33" s="107">
        <v>0</v>
      </c>
      <c r="E33" s="107">
        <v>0</v>
      </c>
      <c r="F33" s="107">
        <v>0</v>
      </c>
      <c r="G33" s="107">
        <v>-500000</v>
      </c>
      <c r="H33" s="107">
        <v>0</v>
      </c>
      <c r="I33" s="107">
        <v>0</v>
      </c>
      <c r="J33" s="107">
        <v>0</v>
      </c>
      <c r="K33" s="81">
        <f t="shared" si="6"/>
        <v>0</v>
      </c>
      <c r="L33" s="81">
        <f t="shared" si="7"/>
        <v>-500000</v>
      </c>
      <c r="M33" s="107">
        <v>-700000</v>
      </c>
    </row>
    <row r="34" spans="1:13" ht="13" x14ac:dyDescent="0.3">
      <c r="A34" s="105"/>
      <c r="B34" s="103"/>
      <c r="C34" s="107">
        <v>43694</v>
      </c>
      <c r="D34" s="107">
        <v>89060</v>
      </c>
      <c r="E34" s="107">
        <v>68665</v>
      </c>
      <c r="F34" s="107">
        <v>33987</v>
      </c>
      <c r="G34" s="107">
        <v>48071</v>
      </c>
      <c r="H34" s="107">
        <v>19749</v>
      </c>
      <c r="I34" s="107">
        <v>18445</v>
      </c>
      <c r="J34" s="107">
        <v>88149</v>
      </c>
      <c r="K34" s="81">
        <f t="shared" si="6"/>
        <v>235406</v>
      </c>
      <c r="L34" s="81">
        <f t="shared" si="7"/>
        <v>174414</v>
      </c>
      <c r="M34" s="107">
        <v>13678</v>
      </c>
    </row>
    <row r="35" spans="1:13" ht="13" x14ac:dyDescent="0.3">
      <c r="A35" s="105"/>
      <c r="B35" s="103"/>
      <c r="C35" s="107">
        <v>0</v>
      </c>
      <c r="D35" s="107">
        <v>0</v>
      </c>
      <c r="E35" s="107">
        <v>0</v>
      </c>
      <c r="F35" s="107">
        <v>0</v>
      </c>
      <c r="G35" s="107">
        <v>0</v>
      </c>
      <c r="H35" s="107">
        <v>-500022</v>
      </c>
      <c r="I35" s="107">
        <v>-100000</v>
      </c>
      <c r="J35" s="107">
        <v>0</v>
      </c>
      <c r="K35" s="81">
        <f t="shared" si="6"/>
        <v>0</v>
      </c>
      <c r="L35" s="81">
        <f t="shared" si="7"/>
        <v>-600022</v>
      </c>
      <c r="M35" s="107">
        <v>0</v>
      </c>
    </row>
    <row r="36" spans="1:13" ht="13" x14ac:dyDescent="0.3">
      <c r="A36" s="105"/>
      <c r="B36" s="103"/>
      <c r="C36" s="107">
        <v>0</v>
      </c>
      <c r="D36" s="107">
        <v>0</v>
      </c>
      <c r="E36" s="107">
        <v>0</v>
      </c>
      <c r="F36" s="107">
        <v>0</v>
      </c>
      <c r="G36" s="107">
        <v>0</v>
      </c>
      <c r="H36" s="107">
        <v>0</v>
      </c>
      <c r="I36" s="107">
        <v>0</v>
      </c>
      <c r="J36" s="107">
        <v>-224168</v>
      </c>
      <c r="K36" s="81">
        <f t="shared" si="6"/>
        <v>0</v>
      </c>
      <c r="L36" s="81">
        <f t="shared" si="7"/>
        <v>-224168</v>
      </c>
      <c r="M36" s="107">
        <v>0</v>
      </c>
    </row>
    <row r="37" spans="1:13" ht="13" x14ac:dyDescent="0.3">
      <c r="A37" s="105"/>
      <c r="B37" s="103" t="s">
        <v>80</v>
      </c>
      <c r="C37" s="109">
        <f t="shared" ref="C37:M37" si="8">SUM(C31:C36)</f>
        <v>43694</v>
      </c>
      <c r="D37" s="109">
        <f t="shared" si="8"/>
        <v>1090965</v>
      </c>
      <c r="E37" s="109">
        <f t="shared" si="8"/>
        <v>68665</v>
      </c>
      <c r="F37" s="109">
        <f t="shared" si="8"/>
        <v>33987</v>
      </c>
      <c r="G37" s="109">
        <f t="shared" si="8"/>
        <v>-451929</v>
      </c>
      <c r="H37" s="109">
        <f t="shared" si="8"/>
        <v>-480273</v>
      </c>
      <c r="I37" s="109">
        <f t="shared" si="8"/>
        <v>-81555</v>
      </c>
      <c r="J37" s="109">
        <f t="shared" si="8"/>
        <v>-136019</v>
      </c>
      <c r="K37" s="110">
        <f>SUM(K31:K36)</f>
        <v>1237311</v>
      </c>
      <c r="L37" s="110">
        <f t="shared" si="8"/>
        <v>-1149776</v>
      </c>
      <c r="M37" s="109">
        <f t="shared" si="8"/>
        <v>-686322</v>
      </c>
    </row>
    <row r="38" spans="1:13" ht="13" x14ac:dyDescent="0.3">
      <c r="A38" s="105"/>
      <c r="B38" s="103"/>
      <c r="C38" s="95"/>
      <c r="D38" s="95"/>
      <c r="E38" s="95"/>
      <c r="F38" s="95"/>
      <c r="G38" s="95"/>
      <c r="H38" s="95"/>
      <c r="I38" s="95"/>
      <c r="J38" s="95"/>
      <c r="K38" s="81"/>
      <c r="L38" s="81"/>
      <c r="M38" s="95"/>
    </row>
    <row r="39" spans="1:13" ht="13" x14ac:dyDescent="0.3">
      <c r="B39" s="105" t="s">
        <v>46</v>
      </c>
      <c r="C39" s="95">
        <v>-70902</v>
      </c>
      <c r="D39" s="95">
        <v>11819</v>
      </c>
      <c r="E39" s="95">
        <v>28459</v>
      </c>
      <c r="F39" s="95">
        <v>66674</v>
      </c>
      <c r="G39" s="95">
        <v>-42138</v>
      </c>
      <c r="H39" s="95">
        <v>23477</v>
      </c>
      <c r="I39" s="95">
        <v>-63843</v>
      </c>
      <c r="J39" s="95">
        <v>-4236</v>
      </c>
      <c r="K39" s="81">
        <f>SUM(C39:F39)</f>
        <v>36050</v>
      </c>
      <c r="L39" s="81">
        <f t="shared" ref="L39:L40" si="9">SUM(G39:J39)</f>
        <v>-86740</v>
      </c>
      <c r="M39" s="95">
        <v>-11448</v>
      </c>
    </row>
    <row r="40" spans="1:13" ht="13" x14ac:dyDescent="0.3">
      <c r="B40" s="105" t="s">
        <v>45</v>
      </c>
      <c r="C40" s="95">
        <v>134401</v>
      </c>
      <c r="D40" s="95">
        <v>2001859</v>
      </c>
      <c r="E40" s="95">
        <v>1242234</v>
      </c>
      <c r="F40" s="95">
        <v>-183410</v>
      </c>
      <c r="G40" s="95">
        <v>197583</v>
      </c>
      <c r="H40" s="95">
        <v>-631835</v>
      </c>
      <c r="I40" s="95">
        <v>-251650</v>
      </c>
      <c r="J40" s="95">
        <v>-1497857</v>
      </c>
      <c r="K40" s="81">
        <f>SUM(C40:F40)</f>
        <v>3195084</v>
      </c>
      <c r="L40" s="81">
        <f t="shared" si="9"/>
        <v>-2183759</v>
      </c>
      <c r="M40" s="95">
        <v>-20610</v>
      </c>
    </row>
    <row r="41" spans="1:13" ht="13" x14ac:dyDescent="0.3">
      <c r="B41" s="105" t="s">
        <v>44</v>
      </c>
      <c r="C41" s="95">
        <v>5043786</v>
      </c>
      <c r="D41" s="95">
        <v>5178187</v>
      </c>
      <c r="E41" s="95">
        <v>7180046</v>
      </c>
      <c r="F41" s="95">
        <v>8422280</v>
      </c>
      <c r="G41" s="95">
        <v>8238870</v>
      </c>
      <c r="H41" s="95">
        <v>8436453</v>
      </c>
      <c r="I41" s="95">
        <v>7804618</v>
      </c>
      <c r="J41" s="95">
        <v>7552968</v>
      </c>
      <c r="K41" s="81">
        <v>5043786</v>
      </c>
      <c r="L41" s="81">
        <f>K42</f>
        <v>8238870</v>
      </c>
      <c r="M41" s="95">
        <v>6055111</v>
      </c>
    </row>
    <row r="42" spans="1:13" ht="13.5" thickBot="1" x14ac:dyDescent="0.35">
      <c r="B42" s="112" t="s">
        <v>43</v>
      </c>
      <c r="C42" s="113">
        <f t="shared" ref="C42:M42" si="10">SUM(C40:C41)</f>
        <v>5178187</v>
      </c>
      <c r="D42" s="113">
        <f t="shared" si="10"/>
        <v>7180046</v>
      </c>
      <c r="E42" s="113">
        <f t="shared" si="10"/>
        <v>8422280</v>
      </c>
      <c r="F42" s="113">
        <f t="shared" si="10"/>
        <v>8238870</v>
      </c>
      <c r="G42" s="113">
        <f t="shared" si="10"/>
        <v>8436453</v>
      </c>
      <c r="H42" s="113">
        <f t="shared" si="10"/>
        <v>7804618</v>
      </c>
      <c r="I42" s="113">
        <f t="shared" si="10"/>
        <v>7552968</v>
      </c>
      <c r="J42" s="113">
        <f t="shared" si="10"/>
        <v>6055111</v>
      </c>
      <c r="K42" s="114">
        <f>SUM(K40:K41)</f>
        <v>8238870</v>
      </c>
      <c r="L42" s="114">
        <f t="shared" si="10"/>
        <v>6055111</v>
      </c>
      <c r="M42" s="113">
        <f t="shared" si="10"/>
        <v>6034501</v>
      </c>
    </row>
    <row r="43" spans="1:13" ht="13" x14ac:dyDescent="0.3">
      <c r="A43" s="115"/>
      <c r="B43" s="103"/>
      <c r="K43" s="81"/>
      <c r="L43" s="81"/>
    </row>
    <row r="44" spans="1:13" ht="13" x14ac:dyDescent="0.3">
      <c r="B44" s="116" t="s">
        <v>42</v>
      </c>
      <c r="K44" s="117"/>
      <c r="L44" s="117"/>
    </row>
    <row r="45" spans="1:13" ht="13" x14ac:dyDescent="0.3">
      <c r="A45" s="118"/>
      <c r="B45" s="103" t="s">
        <v>63</v>
      </c>
      <c r="C45" s="106">
        <f t="shared" ref="C45:J45" si="11">C24</f>
        <v>259912</v>
      </c>
      <c r="D45" s="106">
        <f t="shared" si="11"/>
        <v>1041076</v>
      </c>
      <c r="E45" s="106">
        <f t="shared" si="11"/>
        <v>1263761</v>
      </c>
      <c r="F45" s="106">
        <f t="shared" si="11"/>
        <v>-137672</v>
      </c>
      <c r="G45" s="106">
        <f t="shared" si="11"/>
        <v>777266</v>
      </c>
      <c r="H45" s="106">
        <f t="shared" si="11"/>
        <v>-63761</v>
      </c>
      <c r="I45" s="106">
        <f t="shared" si="11"/>
        <v>82379</v>
      </c>
      <c r="J45" s="106">
        <f t="shared" si="11"/>
        <v>-403274</v>
      </c>
      <c r="K45" s="80">
        <f>SUM(C45:F45)</f>
        <v>2427077</v>
      </c>
      <c r="L45" s="80">
        <f t="shared" ref="L45:L47" si="12">SUM(G45:J45)</f>
        <v>392610</v>
      </c>
      <c r="M45" s="106">
        <v>922839</v>
      </c>
    </row>
    <row r="46" spans="1:13" ht="13" x14ac:dyDescent="0.3">
      <c r="A46" s="101"/>
      <c r="B46" s="103" t="s">
        <v>41</v>
      </c>
      <c r="C46" s="107">
        <f t="shared" ref="C46:F46" si="13">C26</f>
        <v>-98015</v>
      </c>
      <c r="D46" s="107">
        <f t="shared" si="13"/>
        <v>-141741</v>
      </c>
      <c r="E46" s="107">
        <f t="shared" si="13"/>
        <v>-109811</v>
      </c>
      <c r="F46" s="107">
        <f t="shared" si="13"/>
        <v>-148356</v>
      </c>
      <c r="G46" s="107">
        <f t="shared" ref="G46:J47" si="14">G26</f>
        <v>-81001</v>
      </c>
      <c r="H46" s="107">
        <f t="shared" si="14"/>
        <v>-110278</v>
      </c>
      <c r="I46" s="107">
        <f t="shared" si="14"/>
        <v>-167327</v>
      </c>
      <c r="J46" s="107">
        <f t="shared" si="14"/>
        <v>-165979</v>
      </c>
      <c r="K46" s="81">
        <f>SUM(C46:F46)</f>
        <v>-497923</v>
      </c>
      <c r="L46" s="81">
        <f t="shared" si="12"/>
        <v>-524585</v>
      </c>
      <c r="M46" s="107">
        <v>-121158</v>
      </c>
    </row>
    <row r="47" spans="1:13" ht="13" x14ac:dyDescent="0.3">
      <c r="A47" s="101"/>
      <c r="B47" s="103" t="s">
        <v>40</v>
      </c>
      <c r="C47" s="107">
        <f t="shared" ref="C47:F47" si="15">C27</f>
        <v>-288</v>
      </c>
      <c r="D47" s="107">
        <f t="shared" si="15"/>
        <v>-260</v>
      </c>
      <c r="E47" s="107">
        <f t="shared" si="15"/>
        <v>-8840</v>
      </c>
      <c r="F47" s="107">
        <f t="shared" si="15"/>
        <v>1957</v>
      </c>
      <c r="G47" s="107">
        <f t="shared" ref="G47:I47" si="16">G27</f>
        <v>-4615</v>
      </c>
      <c r="H47" s="107">
        <f t="shared" si="16"/>
        <v>-1000</v>
      </c>
      <c r="I47" s="107">
        <f t="shared" si="16"/>
        <v>-21304</v>
      </c>
      <c r="J47" s="107">
        <f t="shared" si="14"/>
        <v>0</v>
      </c>
      <c r="K47" s="81">
        <f>SUM(C47:F47)</f>
        <v>-7431</v>
      </c>
      <c r="L47" s="81">
        <f t="shared" si="12"/>
        <v>-26919</v>
      </c>
      <c r="M47" s="107">
        <v>0</v>
      </c>
    </row>
    <row r="48" spans="1:13" ht="13.5" thickBot="1" x14ac:dyDescent="0.35">
      <c r="A48" s="119"/>
      <c r="B48" s="79" t="s">
        <v>39</v>
      </c>
      <c r="C48" s="120">
        <f t="shared" ref="C48:E48" si="17">SUM(C45:C47)</f>
        <v>161609</v>
      </c>
      <c r="D48" s="120">
        <f t="shared" si="17"/>
        <v>899075</v>
      </c>
      <c r="E48" s="120">
        <f t="shared" si="17"/>
        <v>1145110</v>
      </c>
      <c r="F48" s="120">
        <f>SUM(F45:F47)</f>
        <v>-284071</v>
      </c>
      <c r="G48" s="120">
        <f>SUM(G45:G47)</f>
        <v>691650</v>
      </c>
      <c r="H48" s="120">
        <f>SUM(H45:H47)</f>
        <v>-175039</v>
      </c>
      <c r="I48" s="120">
        <f>SUM(I45:I47)</f>
        <v>-106252</v>
      </c>
      <c r="J48" s="120">
        <f>SUM(J45:J47)</f>
        <v>-569253</v>
      </c>
      <c r="K48" s="121">
        <f t="shared" ref="K48" si="18">SUM(K45:K47)</f>
        <v>1921723</v>
      </c>
      <c r="L48" s="121">
        <f t="shared" ref="L48" si="19">SUM(L45:L47)</f>
        <v>-158894</v>
      </c>
      <c r="M48" s="120">
        <f>SUM(M45:M47)</f>
        <v>801681</v>
      </c>
    </row>
  </sheetData>
  <mergeCells count="2">
    <mergeCell ref="C5:F5"/>
    <mergeCell ref="G5:J5"/>
  </mergeCells>
  <pageMargins left="0.17" right="0.17" top="0.28000000000000003" bottom="0.75" header="0.17" footer="0.3"/>
  <pageSetup scale="67"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8F4654-D713-4777-A236-14BFF7F0B033}">
  <sheetPr>
    <pageSetUpPr fitToPage="1"/>
  </sheetPr>
  <dimension ref="A1:S179"/>
  <sheetViews>
    <sheetView view="pageBreakPreview" zoomScaleNormal="100" zoomScaleSheetLayoutView="100" zoomScalePageLayoutView="150" workbookViewId="0">
      <pane xSplit="6" ySplit="7" topLeftCell="N38" activePane="bottomRight" state="frozen"/>
      <selection pane="topRight" activeCell="G1" sqref="G1"/>
      <selection pane="bottomLeft" activeCell="A8" sqref="A8"/>
      <selection pane="bottomRight" activeCell="Q48" sqref="Q48"/>
    </sheetView>
  </sheetViews>
  <sheetFormatPr defaultColWidth="8.81640625" defaultRowHeight="13" x14ac:dyDescent="0.3"/>
  <cols>
    <col min="1" max="5" width="1.453125" style="24" customWidth="1"/>
    <col min="6" max="6" width="65.453125" style="24" customWidth="1"/>
    <col min="7" max="8" width="13.7265625" style="24" customWidth="1"/>
    <col min="9" max="10" width="12.7265625" style="24" customWidth="1"/>
    <col min="11" max="11" width="15.1796875" style="24" customWidth="1"/>
    <col min="12" max="15" width="13.7265625" style="24" customWidth="1"/>
    <col min="16" max="16" width="15.1796875" style="24" customWidth="1"/>
    <col min="17" max="18" width="13.7265625" style="24" customWidth="1"/>
    <col min="19" max="19" width="15.1796875" style="24" customWidth="1"/>
    <col min="20" max="238" width="8.81640625" style="24"/>
    <col min="239" max="243" width="1.453125" style="24" customWidth="1"/>
    <col min="244" max="244" width="37" style="24" customWidth="1"/>
    <col min="245" max="245" width="12.26953125" style="24" bestFit="1" customWidth="1"/>
    <col min="246" max="246" width="11" style="24" bestFit="1" customWidth="1"/>
    <col min="247" max="247" width="12.7265625" style="24" bestFit="1" customWidth="1"/>
    <col min="248" max="248" width="12" style="24" bestFit="1" customWidth="1"/>
    <col min="249" max="249" width="13.1796875" style="24" bestFit="1" customWidth="1"/>
    <col min="250" max="253" width="13.453125" style="24" customWidth="1"/>
    <col min="254" max="254" width="13.1796875" style="24" bestFit="1" customWidth="1"/>
    <col min="255" max="258" width="14.7265625" style="24" customWidth="1"/>
    <col min="259" max="259" width="13.1796875" style="24" bestFit="1" customWidth="1"/>
    <col min="260" max="494" width="8.81640625" style="24"/>
    <col min="495" max="499" width="1.453125" style="24" customWidth="1"/>
    <col min="500" max="500" width="37" style="24" customWidth="1"/>
    <col min="501" max="501" width="12.26953125" style="24" bestFit="1" customWidth="1"/>
    <col min="502" max="502" width="11" style="24" bestFit="1" customWidth="1"/>
    <col min="503" max="503" width="12.7265625" style="24" bestFit="1" customWidth="1"/>
    <col min="504" max="504" width="12" style="24" bestFit="1" customWidth="1"/>
    <col min="505" max="505" width="13.1796875" style="24" bestFit="1" customWidth="1"/>
    <col min="506" max="509" width="13.453125" style="24" customWidth="1"/>
    <col min="510" max="510" width="13.1796875" style="24" bestFit="1" customWidth="1"/>
    <col min="511" max="514" width="14.7265625" style="24" customWidth="1"/>
    <col min="515" max="515" width="13.1796875" style="24" bestFit="1" customWidth="1"/>
    <col min="516" max="750" width="8.81640625" style="24"/>
    <col min="751" max="755" width="1.453125" style="24" customWidth="1"/>
    <col min="756" max="756" width="37" style="24" customWidth="1"/>
    <col min="757" max="757" width="12.26953125" style="24" bestFit="1" customWidth="1"/>
    <col min="758" max="758" width="11" style="24" bestFit="1" customWidth="1"/>
    <col min="759" max="759" width="12.7265625" style="24" bestFit="1" customWidth="1"/>
    <col min="760" max="760" width="12" style="24" bestFit="1" customWidth="1"/>
    <col min="761" max="761" width="13.1796875" style="24" bestFit="1" customWidth="1"/>
    <col min="762" max="765" width="13.453125" style="24" customWidth="1"/>
    <col min="766" max="766" width="13.1796875" style="24" bestFit="1" customWidth="1"/>
    <col min="767" max="770" width="14.7265625" style="24" customWidth="1"/>
    <col min="771" max="771" width="13.1796875" style="24" bestFit="1" customWidth="1"/>
    <col min="772" max="1006" width="8.81640625" style="24"/>
    <col min="1007" max="1011" width="1.453125" style="24" customWidth="1"/>
    <col min="1012" max="1012" width="37" style="24" customWidth="1"/>
    <col min="1013" max="1013" width="12.26953125" style="24" bestFit="1" customWidth="1"/>
    <col min="1014" max="1014" width="11" style="24" bestFit="1" customWidth="1"/>
    <col min="1015" max="1015" width="12.7265625" style="24" bestFit="1" customWidth="1"/>
    <col min="1016" max="1016" width="12" style="24" bestFit="1" customWidth="1"/>
    <col min="1017" max="1017" width="13.1796875" style="24" bestFit="1" customWidth="1"/>
    <col min="1018" max="1021" width="13.453125" style="24" customWidth="1"/>
    <col min="1022" max="1022" width="13.1796875" style="24" bestFit="1" customWidth="1"/>
    <col min="1023" max="1026" width="14.7265625" style="24" customWidth="1"/>
    <col min="1027" max="1027" width="13.1796875" style="24" bestFit="1" customWidth="1"/>
    <col min="1028" max="1262" width="8.81640625" style="24"/>
    <col min="1263" max="1267" width="1.453125" style="24" customWidth="1"/>
    <col min="1268" max="1268" width="37" style="24" customWidth="1"/>
    <col min="1269" max="1269" width="12.26953125" style="24" bestFit="1" customWidth="1"/>
    <col min="1270" max="1270" width="11" style="24" bestFit="1" customWidth="1"/>
    <col min="1271" max="1271" width="12.7265625" style="24" bestFit="1" customWidth="1"/>
    <col min="1272" max="1272" width="12" style="24" bestFit="1" customWidth="1"/>
    <col min="1273" max="1273" width="13.1796875" style="24" bestFit="1" customWidth="1"/>
    <col min="1274" max="1277" width="13.453125" style="24" customWidth="1"/>
    <col min="1278" max="1278" width="13.1796875" style="24" bestFit="1" customWidth="1"/>
    <col min="1279" max="1282" width="14.7265625" style="24" customWidth="1"/>
    <col min="1283" max="1283" width="13.1796875" style="24" bestFit="1" customWidth="1"/>
    <col min="1284" max="1518" width="8.81640625" style="24"/>
    <col min="1519" max="1523" width="1.453125" style="24" customWidth="1"/>
    <col min="1524" max="1524" width="37" style="24" customWidth="1"/>
    <col min="1525" max="1525" width="12.26953125" style="24" bestFit="1" customWidth="1"/>
    <col min="1526" max="1526" width="11" style="24" bestFit="1" customWidth="1"/>
    <col min="1527" max="1527" width="12.7265625" style="24" bestFit="1" customWidth="1"/>
    <col min="1528" max="1528" width="12" style="24" bestFit="1" customWidth="1"/>
    <col min="1529" max="1529" width="13.1796875" style="24" bestFit="1" customWidth="1"/>
    <col min="1530" max="1533" width="13.453125" style="24" customWidth="1"/>
    <col min="1534" max="1534" width="13.1796875" style="24" bestFit="1" customWidth="1"/>
    <col min="1535" max="1538" width="14.7265625" style="24" customWidth="1"/>
    <col min="1539" max="1539" width="13.1796875" style="24" bestFit="1" customWidth="1"/>
    <col min="1540" max="1774" width="8.81640625" style="24"/>
    <col min="1775" max="1779" width="1.453125" style="24" customWidth="1"/>
    <col min="1780" max="1780" width="37" style="24" customWidth="1"/>
    <col min="1781" max="1781" width="12.26953125" style="24" bestFit="1" customWidth="1"/>
    <col min="1782" max="1782" width="11" style="24" bestFit="1" customWidth="1"/>
    <col min="1783" max="1783" width="12.7265625" style="24" bestFit="1" customWidth="1"/>
    <col min="1784" max="1784" width="12" style="24" bestFit="1" customWidth="1"/>
    <col min="1785" max="1785" width="13.1796875" style="24" bestFit="1" customWidth="1"/>
    <col min="1786" max="1789" width="13.453125" style="24" customWidth="1"/>
    <col min="1790" max="1790" width="13.1796875" style="24" bestFit="1" customWidth="1"/>
    <col min="1791" max="1794" width="14.7265625" style="24" customWidth="1"/>
    <col min="1795" max="1795" width="13.1796875" style="24" bestFit="1" customWidth="1"/>
    <col min="1796" max="2030" width="8.81640625" style="24"/>
    <col min="2031" max="2035" width="1.453125" style="24" customWidth="1"/>
    <col min="2036" max="2036" width="37" style="24" customWidth="1"/>
    <col min="2037" max="2037" width="12.26953125" style="24" bestFit="1" customWidth="1"/>
    <col min="2038" max="2038" width="11" style="24" bestFit="1" customWidth="1"/>
    <col min="2039" max="2039" width="12.7265625" style="24" bestFit="1" customWidth="1"/>
    <col min="2040" max="2040" width="12" style="24" bestFit="1" customWidth="1"/>
    <col min="2041" max="2041" width="13.1796875" style="24" bestFit="1" customWidth="1"/>
    <col min="2042" max="2045" width="13.453125" style="24" customWidth="1"/>
    <col min="2046" max="2046" width="13.1796875" style="24" bestFit="1" customWidth="1"/>
    <col min="2047" max="2050" width="14.7265625" style="24" customWidth="1"/>
    <col min="2051" max="2051" width="13.1796875" style="24" bestFit="1" customWidth="1"/>
    <col min="2052" max="2286" width="8.81640625" style="24"/>
    <col min="2287" max="2291" width="1.453125" style="24" customWidth="1"/>
    <col min="2292" max="2292" width="37" style="24" customWidth="1"/>
    <col min="2293" max="2293" width="12.26953125" style="24" bestFit="1" customWidth="1"/>
    <col min="2294" max="2294" width="11" style="24" bestFit="1" customWidth="1"/>
    <col min="2295" max="2295" width="12.7265625" style="24" bestFit="1" customWidth="1"/>
    <col min="2296" max="2296" width="12" style="24" bestFit="1" customWidth="1"/>
    <col min="2297" max="2297" width="13.1796875" style="24" bestFit="1" customWidth="1"/>
    <col min="2298" max="2301" width="13.453125" style="24" customWidth="1"/>
    <col min="2302" max="2302" width="13.1796875" style="24" bestFit="1" customWidth="1"/>
    <col min="2303" max="2306" width="14.7265625" style="24" customWidth="1"/>
    <col min="2307" max="2307" width="13.1796875" style="24" bestFit="1" customWidth="1"/>
    <col min="2308" max="2542" width="8.81640625" style="24"/>
    <col min="2543" max="2547" width="1.453125" style="24" customWidth="1"/>
    <col min="2548" max="2548" width="37" style="24" customWidth="1"/>
    <col min="2549" max="2549" width="12.26953125" style="24" bestFit="1" customWidth="1"/>
    <col min="2550" max="2550" width="11" style="24" bestFit="1" customWidth="1"/>
    <col min="2551" max="2551" width="12.7265625" style="24" bestFit="1" customWidth="1"/>
    <col min="2552" max="2552" width="12" style="24" bestFit="1" customWidth="1"/>
    <col min="2553" max="2553" width="13.1796875" style="24" bestFit="1" customWidth="1"/>
    <col min="2554" max="2557" width="13.453125" style="24" customWidth="1"/>
    <col min="2558" max="2558" width="13.1796875" style="24" bestFit="1" customWidth="1"/>
    <col min="2559" max="2562" width="14.7265625" style="24" customWidth="1"/>
    <col min="2563" max="2563" width="13.1796875" style="24" bestFit="1" customWidth="1"/>
    <col min="2564" max="2798" width="8.81640625" style="24"/>
    <col min="2799" max="2803" width="1.453125" style="24" customWidth="1"/>
    <col min="2804" max="2804" width="37" style="24" customWidth="1"/>
    <col min="2805" max="2805" width="12.26953125" style="24" bestFit="1" customWidth="1"/>
    <col min="2806" max="2806" width="11" style="24" bestFit="1" customWidth="1"/>
    <col min="2807" max="2807" width="12.7265625" style="24" bestFit="1" customWidth="1"/>
    <col min="2808" max="2808" width="12" style="24" bestFit="1" customWidth="1"/>
    <col min="2809" max="2809" width="13.1796875" style="24" bestFit="1" customWidth="1"/>
    <col min="2810" max="2813" width="13.453125" style="24" customWidth="1"/>
    <col min="2814" max="2814" width="13.1796875" style="24" bestFit="1" customWidth="1"/>
    <col min="2815" max="2818" width="14.7265625" style="24" customWidth="1"/>
    <col min="2819" max="2819" width="13.1796875" style="24" bestFit="1" customWidth="1"/>
    <col min="2820" max="3054" width="8.81640625" style="24"/>
    <col min="3055" max="3059" width="1.453125" style="24" customWidth="1"/>
    <col min="3060" max="3060" width="37" style="24" customWidth="1"/>
    <col min="3061" max="3061" width="12.26953125" style="24" bestFit="1" customWidth="1"/>
    <col min="3062" max="3062" width="11" style="24" bestFit="1" customWidth="1"/>
    <col min="3063" max="3063" width="12.7265625" style="24" bestFit="1" customWidth="1"/>
    <col min="3064" max="3064" width="12" style="24" bestFit="1" customWidth="1"/>
    <col min="3065" max="3065" width="13.1796875" style="24" bestFit="1" customWidth="1"/>
    <col min="3066" max="3069" width="13.453125" style="24" customWidth="1"/>
    <col min="3070" max="3070" width="13.1796875" style="24" bestFit="1" customWidth="1"/>
    <col min="3071" max="3074" width="14.7265625" style="24" customWidth="1"/>
    <col min="3075" max="3075" width="13.1796875" style="24" bestFit="1" customWidth="1"/>
    <col min="3076" max="3310" width="8.81640625" style="24"/>
    <col min="3311" max="3315" width="1.453125" style="24" customWidth="1"/>
    <col min="3316" max="3316" width="37" style="24" customWidth="1"/>
    <col min="3317" max="3317" width="12.26953125" style="24" bestFit="1" customWidth="1"/>
    <col min="3318" max="3318" width="11" style="24" bestFit="1" customWidth="1"/>
    <col min="3319" max="3319" width="12.7265625" style="24" bestFit="1" customWidth="1"/>
    <col min="3320" max="3320" width="12" style="24" bestFit="1" customWidth="1"/>
    <col min="3321" max="3321" width="13.1796875" style="24" bestFit="1" customWidth="1"/>
    <col min="3322" max="3325" width="13.453125" style="24" customWidth="1"/>
    <col min="3326" max="3326" width="13.1796875" style="24" bestFit="1" customWidth="1"/>
    <col min="3327" max="3330" width="14.7265625" style="24" customWidth="1"/>
    <col min="3331" max="3331" width="13.1796875" style="24" bestFit="1" customWidth="1"/>
    <col min="3332" max="3566" width="8.81640625" style="24"/>
    <col min="3567" max="3571" width="1.453125" style="24" customWidth="1"/>
    <col min="3572" max="3572" width="37" style="24" customWidth="1"/>
    <col min="3573" max="3573" width="12.26953125" style="24" bestFit="1" customWidth="1"/>
    <col min="3574" max="3574" width="11" style="24" bestFit="1" customWidth="1"/>
    <col min="3575" max="3575" width="12.7265625" style="24" bestFit="1" customWidth="1"/>
    <col min="3576" max="3576" width="12" style="24" bestFit="1" customWidth="1"/>
    <col min="3577" max="3577" width="13.1796875" style="24" bestFit="1" customWidth="1"/>
    <col min="3578" max="3581" width="13.453125" style="24" customWidth="1"/>
    <col min="3582" max="3582" width="13.1796875" style="24" bestFit="1" customWidth="1"/>
    <col min="3583" max="3586" width="14.7265625" style="24" customWidth="1"/>
    <col min="3587" max="3587" width="13.1796875" style="24" bestFit="1" customWidth="1"/>
    <col min="3588" max="3822" width="8.81640625" style="24"/>
    <col min="3823" max="3827" width="1.453125" style="24" customWidth="1"/>
    <col min="3828" max="3828" width="37" style="24" customWidth="1"/>
    <col min="3829" max="3829" width="12.26953125" style="24" bestFit="1" customWidth="1"/>
    <col min="3830" max="3830" width="11" style="24" bestFit="1" customWidth="1"/>
    <col min="3831" max="3831" width="12.7265625" style="24" bestFit="1" customWidth="1"/>
    <col min="3832" max="3832" width="12" style="24" bestFit="1" customWidth="1"/>
    <col min="3833" max="3833" width="13.1796875" style="24" bestFit="1" customWidth="1"/>
    <col min="3834" max="3837" width="13.453125" style="24" customWidth="1"/>
    <col min="3838" max="3838" width="13.1796875" style="24" bestFit="1" customWidth="1"/>
    <col min="3839" max="3842" width="14.7265625" style="24" customWidth="1"/>
    <col min="3843" max="3843" width="13.1796875" style="24" bestFit="1" customWidth="1"/>
    <col min="3844" max="4078" width="8.81640625" style="24"/>
    <col min="4079" max="4083" width="1.453125" style="24" customWidth="1"/>
    <col min="4084" max="4084" width="37" style="24" customWidth="1"/>
    <col min="4085" max="4085" width="12.26953125" style="24" bestFit="1" customWidth="1"/>
    <col min="4086" max="4086" width="11" style="24" bestFit="1" customWidth="1"/>
    <col min="4087" max="4087" width="12.7265625" style="24" bestFit="1" customWidth="1"/>
    <col min="4088" max="4088" width="12" style="24" bestFit="1" customWidth="1"/>
    <col min="4089" max="4089" width="13.1796875" style="24" bestFit="1" customWidth="1"/>
    <col min="4090" max="4093" width="13.453125" style="24" customWidth="1"/>
    <col min="4094" max="4094" width="13.1796875" style="24" bestFit="1" customWidth="1"/>
    <col min="4095" max="4098" width="14.7265625" style="24" customWidth="1"/>
    <col min="4099" max="4099" width="13.1796875" style="24" bestFit="1" customWidth="1"/>
    <col min="4100" max="4334" width="8.81640625" style="24"/>
    <col min="4335" max="4339" width="1.453125" style="24" customWidth="1"/>
    <col min="4340" max="4340" width="37" style="24" customWidth="1"/>
    <col min="4341" max="4341" width="12.26953125" style="24" bestFit="1" customWidth="1"/>
    <col min="4342" max="4342" width="11" style="24" bestFit="1" customWidth="1"/>
    <col min="4343" max="4343" width="12.7265625" style="24" bestFit="1" customWidth="1"/>
    <col min="4344" max="4344" width="12" style="24" bestFit="1" customWidth="1"/>
    <col min="4345" max="4345" width="13.1796875" style="24" bestFit="1" customWidth="1"/>
    <col min="4346" max="4349" width="13.453125" style="24" customWidth="1"/>
    <col min="4350" max="4350" width="13.1796875" style="24" bestFit="1" customWidth="1"/>
    <col min="4351" max="4354" width="14.7265625" style="24" customWidth="1"/>
    <col min="4355" max="4355" width="13.1796875" style="24" bestFit="1" customWidth="1"/>
    <col min="4356" max="4590" width="8.81640625" style="24"/>
    <col min="4591" max="4595" width="1.453125" style="24" customWidth="1"/>
    <col min="4596" max="4596" width="37" style="24" customWidth="1"/>
    <col min="4597" max="4597" width="12.26953125" style="24" bestFit="1" customWidth="1"/>
    <col min="4598" max="4598" width="11" style="24" bestFit="1" customWidth="1"/>
    <col min="4599" max="4599" width="12.7265625" style="24" bestFit="1" customWidth="1"/>
    <col min="4600" max="4600" width="12" style="24" bestFit="1" customWidth="1"/>
    <col min="4601" max="4601" width="13.1796875" style="24" bestFit="1" customWidth="1"/>
    <col min="4602" max="4605" width="13.453125" style="24" customWidth="1"/>
    <col min="4606" max="4606" width="13.1796875" style="24" bestFit="1" customWidth="1"/>
    <col min="4607" max="4610" width="14.7265625" style="24" customWidth="1"/>
    <col min="4611" max="4611" width="13.1796875" style="24" bestFit="1" customWidth="1"/>
    <col min="4612" max="4846" width="8.81640625" style="24"/>
    <col min="4847" max="4851" width="1.453125" style="24" customWidth="1"/>
    <col min="4852" max="4852" width="37" style="24" customWidth="1"/>
    <col min="4853" max="4853" width="12.26953125" style="24" bestFit="1" customWidth="1"/>
    <col min="4854" max="4854" width="11" style="24" bestFit="1" customWidth="1"/>
    <col min="4855" max="4855" width="12.7265625" style="24" bestFit="1" customWidth="1"/>
    <col min="4856" max="4856" width="12" style="24" bestFit="1" customWidth="1"/>
    <col min="4857" max="4857" width="13.1796875" style="24" bestFit="1" customWidth="1"/>
    <col min="4858" max="4861" width="13.453125" style="24" customWidth="1"/>
    <col min="4862" max="4862" width="13.1796875" style="24" bestFit="1" customWidth="1"/>
    <col min="4863" max="4866" width="14.7265625" style="24" customWidth="1"/>
    <col min="4867" max="4867" width="13.1796875" style="24" bestFit="1" customWidth="1"/>
    <col min="4868" max="5102" width="8.81640625" style="24"/>
    <col min="5103" max="5107" width="1.453125" style="24" customWidth="1"/>
    <col min="5108" max="5108" width="37" style="24" customWidth="1"/>
    <col min="5109" max="5109" width="12.26953125" style="24" bestFit="1" customWidth="1"/>
    <col min="5110" max="5110" width="11" style="24" bestFit="1" customWidth="1"/>
    <col min="5111" max="5111" width="12.7265625" style="24" bestFit="1" customWidth="1"/>
    <col min="5112" max="5112" width="12" style="24" bestFit="1" customWidth="1"/>
    <col min="5113" max="5113" width="13.1796875" style="24" bestFit="1" customWidth="1"/>
    <col min="5114" max="5117" width="13.453125" style="24" customWidth="1"/>
    <col min="5118" max="5118" width="13.1796875" style="24" bestFit="1" customWidth="1"/>
    <col min="5119" max="5122" width="14.7265625" style="24" customWidth="1"/>
    <col min="5123" max="5123" width="13.1796875" style="24" bestFit="1" customWidth="1"/>
    <col min="5124" max="5358" width="8.81640625" style="24"/>
    <col min="5359" max="5363" width="1.453125" style="24" customWidth="1"/>
    <col min="5364" max="5364" width="37" style="24" customWidth="1"/>
    <col min="5365" max="5365" width="12.26953125" style="24" bestFit="1" customWidth="1"/>
    <col min="5366" max="5366" width="11" style="24" bestFit="1" customWidth="1"/>
    <col min="5367" max="5367" width="12.7265625" style="24" bestFit="1" customWidth="1"/>
    <col min="5368" max="5368" width="12" style="24" bestFit="1" customWidth="1"/>
    <col min="5369" max="5369" width="13.1796875" style="24" bestFit="1" customWidth="1"/>
    <col min="5370" max="5373" width="13.453125" style="24" customWidth="1"/>
    <col min="5374" max="5374" width="13.1796875" style="24" bestFit="1" customWidth="1"/>
    <col min="5375" max="5378" width="14.7265625" style="24" customWidth="1"/>
    <col min="5379" max="5379" width="13.1796875" style="24" bestFit="1" customWidth="1"/>
    <col min="5380" max="5614" width="8.81640625" style="24"/>
    <col min="5615" max="5619" width="1.453125" style="24" customWidth="1"/>
    <col min="5620" max="5620" width="37" style="24" customWidth="1"/>
    <col min="5621" max="5621" width="12.26953125" style="24" bestFit="1" customWidth="1"/>
    <col min="5622" max="5622" width="11" style="24" bestFit="1" customWidth="1"/>
    <col min="5623" max="5623" width="12.7265625" style="24" bestFit="1" customWidth="1"/>
    <col min="5624" max="5624" width="12" style="24" bestFit="1" customWidth="1"/>
    <col min="5625" max="5625" width="13.1796875" style="24" bestFit="1" customWidth="1"/>
    <col min="5626" max="5629" width="13.453125" style="24" customWidth="1"/>
    <col min="5630" max="5630" width="13.1796875" style="24" bestFit="1" customWidth="1"/>
    <col min="5631" max="5634" width="14.7265625" style="24" customWidth="1"/>
    <col min="5635" max="5635" width="13.1796875" style="24" bestFit="1" customWidth="1"/>
    <col min="5636" max="5870" width="8.81640625" style="24"/>
    <col min="5871" max="5875" width="1.453125" style="24" customWidth="1"/>
    <col min="5876" max="5876" width="37" style="24" customWidth="1"/>
    <col min="5877" max="5877" width="12.26953125" style="24" bestFit="1" customWidth="1"/>
    <col min="5878" max="5878" width="11" style="24" bestFit="1" customWidth="1"/>
    <col min="5879" max="5879" width="12.7265625" style="24" bestFit="1" customWidth="1"/>
    <col min="5880" max="5880" width="12" style="24" bestFit="1" customWidth="1"/>
    <col min="5881" max="5881" width="13.1796875" style="24" bestFit="1" customWidth="1"/>
    <col min="5882" max="5885" width="13.453125" style="24" customWidth="1"/>
    <col min="5886" max="5886" width="13.1796875" style="24" bestFit="1" customWidth="1"/>
    <col min="5887" max="5890" width="14.7265625" style="24" customWidth="1"/>
    <col min="5891" max="5891" width="13.1796875" style="24" bestFit="1" customWidth="1"/>
    <col min="5892" max="6126" width="8.81640625" style="24"/>
    <col min="6127" max="6131" width="1.453125" style="24" customWidth="1"/>
    <col min="6132" max="6132" width="37" style="24" customWidth="1"/>
    <col min="6133" max="6133" width="12.26953125" style="24" bestFit="1" customWidth="1"/>
    <col min="6134" max="6134" width="11" style="24" bestFit="1" customWidth="1"/>
    <col min="6135" max="6135" width="12.7265625" style="24" bestFit="1" customWidth="1"/>
    <col min="6136" max="6136" width="12" style="24" bestFit="1" customWidth="1"/>
    <col min="6137" max="6137" width="13.1796875" style="24" bestFit="1" customWidth="1"/>
    <col min="6138" max="6141" width="13.453125" style="24" customWidth="1"/>
    <col min="6142" max="6142" width="13.1796875" style="24" bestFit="1" customWidth="1"/>
    <col min="6143" max="6146" width="14.7265625" style="24" customWidth="1"/>
    <col min="6147" max="6147" width="13.1796875" style="24" bestFit="1" customWidth="1"/>
    <col min="6148" max="6382" width="8.81640625" style="24"/>
    <col min="6383" max="6387" width="1.453125" style="24" customWidth="1"/>
    <col min="6388" max="6388" width="37" style="24" customWidth="1"/>
    <col min="6389" max="6389" width="12.26953125" style="24" bestFit="1" customWidth="1"/>
    <col min="6390" max="6390" width="11" style="24" bestFit="1" customWidth="1"/>
    <col min="6391" max="6391" width="12.7265625" style="24" bestFit="1" customWidth="1"/>
    <col min="6392" max="6392" width="12" style="24" bestFit="1" customWidth="1"/>
    <col min="6393" max="6393" width="13.1796875" style="24" bestFit="1" customWidth="1"/>
    <col min="6394" max="6397" width="13.453125" style="24" customWidth="1"/>
    <col min="6398" max="6398" width="13.1796875" style="24" bestFit="1" customWidth="1"/>
    <col min="6399" max="6402" width="14.7265625" style="24" customWidth="1"/>
    <col min="6403" max="6403" width="13.1796875" style="24" bestFit="1" customWidth="1"/>
    <col min="6404" max="6638" width="8.81640625" style="24"/>
    <col min="6639" max="6643" width="1.453125" style="24" customWidth="1"/>
    <col min="6644" max="6644" width="37" style="24" customWidth="1"/>
    <col min="6645" max="6645" width="12.26953125" style="24" bestFit="1" customWidth="1"/>
    <col min="6646" max="6646" width="11" style="24" bestFit="1" customWidth="1"/>
    <col min="6647" max="6647" width="12.7265625" style="24" bestFit="1" customWidth="1"/>
    <col min="6648" max="6648" width="12" style="24" bestFit="1" customWidth="1"/>
    <col min="6649" max="6649" width="13.1796875" style="24" bestFit="1" customWidth="1"/>
    <col min="6650" max="6653" width="13.453125" style="24" customWidth="1"/>
    <col min="6654" max="6654" width="13.1796875" style="24" bestFit="1" customWidth="1"/>
    <col min="6655" max="6658" width="14.7265625" style="24" customWidth="1"/>
    <col min="6659" max="6659" width="13.1796875" style="24" bestFit="1" customWidth="1"/>
    <col min="6660" max="6894" width="8.81640625" style="24"/>
    <col min="6895" max="6899" width="1.453125" style="24" customWidth="1"/>
    <col min="6900" max="6900" width="37" style="24" customWidth="1"/>
    <col min="6901" max="6901" width="12.26953125" style="24" bestFit="1" customWidth="1"/>
    <col min="6902" max="6902" width="11" style="24" bestFit="1" customWidth="1"/>
    <col min="6903" max="6903" width="12.7265625" style="24" bestFit="1" customWidth="1"/>
    <col min="6904" max="6904" width="12" style="24" bestFit="1" customWidth="1"/>
    <col min="6905" max="6905" width="13.1796875" style="24" bestFit="1" customWidth="1"/>
    <col min="6906" max="6909" width="13.453125" style="24" customWidth="1"/>
    <col min="6910" max="6910" width="13.1796875" style="24" bestFit="1" customWidth="1"/>
    <col min="6911" max="6914" width="14.7265625" style="24" customWidth="1"/>
    <col min="6915" max="6915" width="13.1796875" style="24" bestFit="1" customWidth="1"/>
    <col min="6916" max="7150" width="8.81640625" style="24"/>
    <col min="7151" max="7155" width="1.453125" style="24" customWidth="1"/>
    <col min="7156" max="7156" width="37" style="24" customWidth="1"/>
    <col min="7157" max="7157" width="12.26953125" style="24" bestFit="1" customWidth="1"/>
    <col min="7158" max="7158" width="11" style="24" bestFit="1" customWidth="1"/>
    <col min="7159" max="7159" width="12.7265625" style="24" bestFit="1" customWidth="1"/>
    <col min="7160" max="7160" width="12" style="24" bestFit="1" customWidth="1"/>
    <col min="7161" max="7161" width="13.1796875" style="24" bestFit="1" customWidth="1"/>
    <col min="7162" max="7165" width="13.453125" style="24" customWidth="1"/>
    <col min="7166" max="7166" width="13.1796875" style="24" bestFit="1" customWidth="1"/>
    <col min="7167" max="7170" width="14.7265625" style="24" customWidth="1"/>
    <col min="7171" max="7171" width="13.1796875" style="24" bestFit="1" customWidth="1"/>
    <col min="7172" max="7406" width="8.81640625" style="24"/>
    <col min="7407" max="7411" width="1.453125" style="24" customWidth="1"/>
    <col min="7412" max="7412" width="37" style="24" customWidth="1"/>
    <col min="7413" max="7413" width="12.26953125" style="24" bestFit="1" customWidth="1"/>
    <col min="7414" max="7414" width="11" style="24" bestFit="1" customWidth="1"/>
    <col min="7415" max="7415" width="12.7265625" style="24" bestFit="1" customWidth="1"/>
    <col min="7416" max="7416" width="12" style="24" bestFit="1" customWidth="1"/>
    <col min="7417" max="7417" width="13.1796875" style="24" bestFit="1" customWidth="1"/>
    <col min="7418" max="7421" width="13.453125" style="24" customWidth="1"/>
    <col min="7422" max="7422" width="13.1796875" style="24" bestFit="1" customWidth="1"/>
    <col min="7423" max="7426" width="14.7265625" style="24" customWidth="1"/>
    <col min="7427" max="7427" width="13.1796875" style="24" bestFit="1" customWidth="1"/>
    <col min="7428" max="7662" width="8.81640625" style="24"/>
    <col min="7663" max="7667" width="1.453125" style="24" customWidth="1"/>
    <col min="7668" max="7668" width="37" style="24" customWidth="1"/>
    <col min="7669" max="7669" width="12.26953125" style="24" bestFit="1" customWidth="1"/>
    <col min="7670" max="7670" width="11" style="24" bestFit="1" customWidth="1"/>
    <col min="7671" max="7671" width="12.7265625" style="24" bestFit="1" customWidth="1"/>
    <col min="7672" max="7672" width="12" style="24" bestFit="1" customWidth="1"/>
    <col min="7673" max="7673" width="13.1796875" style="24" bestFit="1" customWidth="1"/>
    <col min="7674" max="7677" width="13.453125" style="24" customWidth="1"/>
    <col min="7678" max="7678" width="13.1796875" style="24" bestFit="1" customWidth="1"/>
    <col min="7679" max="7682" width="14.7265625" style="24" customWidth="1"/>
    <col min="7683" max="7683" width="13.1796875" style="24" bestFit="1" customWidth="1"/>
    <col min="7684" max="7918" width="8.81640625" style="24"/>
    <col min="7919" max="7923" width="1.453125" style="24" customWidth="1"/>
    <col min="7924" max="7924" width="37" style="24" customWidth="1"/>
    <col min="7925" max="7925" width="12.26953125" style="24" bestFit="1" customWidth="1"/>
    <col min="7926" max="7926" width="11" style="24" bestFit="1" customWidth="1"/>
    <col min="7927" max="7927" width="12.7265625" style="24" bestFit="1" customWidth="1"/>
    <col min="7928" max="7928" width="12" style="24" bestFit="1" customWidth="1"/>
    <col min="7929" max="7929" width="13.1796875" style="24" bestFit="1" customWidth="1"/>
    <col min="7930" max="7933" width="13.453125" style="24" customWidth="1"/>
    <col min="7934" max="7934" width="13.1796875" style="24" bestFit="1" customWidth="1"/>
    <col min="7935" max="7938" width="14.7265625" style="24" customWidth="1"/>
    <col min="7939" max="7939" width="13.1796875" style="24" bestFit="1" customWidth="1"/>
    <col min="7940" max="8174" width="8.81640625" style="24"/>
    <col min="8175" max="8179" width="1.453125" style="24" customWidth="1"/>
    <col min="8180" max="8180" width="37" style="24" customWidth="1"/>
    <col min="8181" max="8181" width="12.26953125" style="24" bestFit="1" customWidth="1"/>
    <col min="8182" max="8182" width="11" style="24" bestFit="1" customWidth="1"/>
    <col min="8183" max="8183" width="12.7265625" style="24" bestFit="1" customWidth="1"/>
    <col min="8184" max="8184" width="12" style="24" bestFit="1" customWidth="1"/>
    <col min="8185" max="8185" width="13.1796875" style="24" bestFit="1" customWidth="1"/>
    <col min="8186" max="8189" width="13.453125" style="24" customWidth="1"/>
    <col min="8190" max="8190" width="13.1796875" style="24" bestFit="1" customWidth="1"/>
    <col min="8191" max="8194" width="14.7265625" style="24" customWidth="1"/>
    <col min="8195" max="8195" width="13.1796875" style="24" bestFit="1" customWidth="1"/>
    <col min="8196" max="8430" width="8.81640625" style="24"/>
    <col min="8431" max="8435" width="1.453125" style="24" customWidth="1"/>
    <col min="8436" max="8436" width="37" style="24" customWidth="1"/>
    <col min="8437" max="8437" width="12.26953125" style="24" bestFit="1" customWidth="1"/>
    <col min="8438" max="8438" width="11" style="24" bestFit="1" customWidth="1"/>
    <col min="8439" max="8439" width="12.7265625" style="24" bestFit="1" customWidth="1"/>
    <col min="8440" max="8440" width="12" style="24" bestFit="1" customWidth="1"/>
    <col min="8441" max="8441" width="13.1796875" style="24" bestFit="1" customWidth="1"/>
    <col min="8442" max="8445" width="13.453125" style="24" customWidth="1"/>
    <col min="8446" max="8446" width="13.1796875" style="24" bestFit="1" customWidth="1"/>
    <col min="8447" max="8450" width="14.7265625" style="24" customWidth="1"/>
    <col min="8451" max="8451" width="13.1796875" style="24" bestFit="1" customWidth="1"/>
    <col min="8452" max="8686" width="8.81640625" style="24"/>
    <col min="8687" max="8691" width="1.453125" style="24" customWidth="1"/>
    <col min="8692" max="8692" width="37" style="24" customWidth="1"/>
    <col min="8693" max="8693" width="12.26953125" style="24" bestFit="1" customWidth="1"/>
    <col min="8694" max="8694" width="11" style="24" bestFit="1" customWidth="1"/>
    <col min="8695" max="8695" width="12.7265625" style="24" bestFit="1" customWidth="1"/>
    <col min="8696" max="8696" width="12" style="24" bestFit="1" customWidth="1"/>
    <col min="8697" max="8697" width="13.1796875" style="24" bestFit="1" customWidth="1"/>
    <col min="8698" max="8701" width="13.453125" style="24" customWidth="1"/>
    <col min="8702" max="8702" width="13.1796875" style="24" bestFit="1" customWidth="1"/>
    <col min="8703" max="8706" width="14.7265625" style="24" customWidth="1"/>
    <col min="8707" max="8707" width="13.1796875" style="24" bestFit="1" customWidth="1"/>
    <col min="8708" max="8942" width="8.81640625" style="24"/>
    <col min="8943" max="8947" width="1.453125" style="24" customWidth="1"/>
    <col min="8948" max="8948" width="37" style="24" customWidth="1"/>
    <col min="8949" max="8949" width="12.26953125" style="24" bestFit="1" customWidth="1"/>
    <col min="8950" max="8950" width="11" style="24" bestFit="1" customWidth="1"/>
    <col min="8951" max="8951" width="12.7265625" style="24" bestFit="1" customWidth="1"/>
    <col min="8952" max="8952" width="12" style="24" bestFit="1" customWidth="1"/>
    <col min="8953" max="8953" width="13.1796875" style="24" bestFit="1" customWidth="1"/>
    <col min="8954" max="8957" width="13.453125" style="24" customWidth="1"/>
    <col min="8958" max="8958" width="13.1796875" style="24" bestFit="1" customWidth="1"/>
    <col min="8959" max="8962" width="14.7265625" style="24" customWidth="1"/>
    <col min="8963" max="8963" width="13.1796875" style="24" bestFit="1" customWidth="1"/>
    <col min="8964" max="9198" width="8.81640625" style="24"/>
    <col min="9199" max="9203" width="1.453125" style="24" customWidth="1"/>
    <col min="9204" max="9204" width="37" style="24" customWidth="1"/>
    <col min="9205" max="9205" width="12.26953125" style="24" bestFit="1" customWidth="1"/>
    <col min="9206" max="9206" width="11" style="24" bestFit="1" customWidth="1"/>
    <col min="9207" max="9207" width="12.7265625" style="24" bestFit="1" customWidth="1"/>
    <col min="9208" max="9208" width="12" style="24" bestFit="1" customWidth="1"/>
    <col min="9209" max="9209" width="13.1796875" style="24" bestFit="1" customWidth="1"/>
    <col min="9210" max="9213" width="13.453125" style="24" customWidth="1"/>
    <col min="9214" max="9214" width="13.1796875" style="24" bestFit="1" customWidth="1"/>
    <col min="9215" max="9218" width="14.7265625" style="24" customWidth="1"/>
    <col min="9219" max="9219" width="13.1796875" style="24" bestFit="1" customWidth="1"/>
    <col min="9220" max="9454" width="8.81640625" style="24"/>
    <col min="9455" max="9459" width="1.453125" style="24" customWidth="1"/>
    <col min="9460" max="9460" width="37" style="24" customWidth="1"/>
    <col min="9461" max="9461" width="12.26953125" style="24" bestFit="1" customWidth="1"/>
    <col min="9462" max="9462" width="11" style="24" bestFit="1" customWidth="1"/>
    <col min="9463" max="9463" width="12.7265625" style="24" bestFit="1" customWidth="1"/>
    <col min="9464" max="9464" width="12" style="24" bestFit="1" customWidth="1"/>
    <col min="9465" max="9465" width="13.1796875" style="24" bestFit="1" customWidth="1"/>
    <col min="9466" max="9469" width="13.453125" style="24" customWidth="1"/>
    <col min="9470" max="9470" width="13.1796875" style="24" bestFit="1" customWidth="1"/>
    <col min="9471" max="9474" width="14.7265625" style="24" customWidth="1"/>
    <col min="9475" max="9475" width="13.1796875" style="24" bestFit="1" customWidth="1"/>
    <col min="9476" max="9710" width="8.81640625" style="24"/>
    <col min="9711" max="9715" width="1.453125" style="24" customWidth="1"/>
    <col min="9716" max="9716" width="37" style="24" customWidth="1"/>
    <col min="9717" max="9717" width="12.26953125" style="24" bestFit="1" customWidth="1"/>
    <col min="9718" max="9718" width="11" style="24" bestFit="1" customWidth="1"/>
    <col min="9719" max="9719" width="12.7265625" style="24" bestFit="1" customWidth="1"/>
    <col min="9720" max="9720" width="12" style="24" bestFit="1" customWidth="1"/>
    <col min="9721" max="9721" width="13.1796875" style="24" bestFit="1" customWidth="1"/>
    <col min="9722" max="9725" width="13.453125" style="24" customWidth="1"/>
    <col min="9726" max="9726" width="13.1796875" style="24" bestFit="1" customWidth="1"/>
    <col min="9727" max="9730" width="14.7265625" style="24" customWidth="1"/>
    <col min="9731" max="9731" width="13.1796875" style="24" bestFit="1" customWidth="1"/>
    <col min="9732" max="9966" width="8.81640625" style="24"/>
    <col min="9967" max="9971" width="1.453125" style="24" customWidth="1"/>
    <col min="9972" max="9972" width="37" style="24" customWidth="1"/>
    <col min="9973" max="9973" width="12.26953125" style="24" bestFit="1" customWidth="1"/>
    <col min="9974" max="9974" width="11" style="24" bestFit="1" customWidth="1"/>
    <col min="9975" max="9975" width="12.7265625" style="24" bestFit="1" customWidth="1"/>
    <col min="9976" max="9976" width="12" style="24" bestFit="1" customWidth="1"/>
    <col min="9977" max="9977" width="13.1796875" style="24" bestFit="1" customWidth="1"/>
    <col min="9978" max="9981" width="13.453125" style="24" customWidth="1"/>
    <col min="9982" max="9982" width="13.1796875" style="24" bestFit="1" customWidth="1"/>
    <col min="9983" max="9986" width="14.7265625" style="24" customWidth="1"/>
    <col min="9987" max="9987" width="13.1796875" style="24" bestFit="1" customWidth="1"/>
    <col min="9988" max="10222" width="8.81640625" style="24"/>
    <col min="10223" max="10227" width="1.453125" style="24" customWidth="1"/>
    <col min="10228" max="10228" width="37" style="24" customWidth="1"/>
    <col min="10229" max="10229" width="12.26953125" style="24" bestFit="1" customWidth="1"/>
    <col min="10230" max="10230" width="11" style="24" bestFit="1" customWidth="1"/>
    <col min="10231" max="10231" width="12.7265625" style="24" bestFit="1" customWidth="1"/>
    <col min="10232" max="10232" width="12" style="24" bestFit="1" customWidth="1"/>
    <col min="10233" max="10233" width="13.1796875" style="24" bestFit="1" customWidth="1"/>
    <col min="10234" max="10237" width="13.453125" style="24" customWidth="1"/>
    <col min="10238" max="10238" width="13.1796875" style="24" bestFit="1" customWidth="1"/>
    <col min="10239" max="10242" width="14.7265625" style="24" customWidth="1"/>
    <col min="10243" max="10243" width="13.1796875" style="24" bestFit="1" customWidth="1"/>
    <col min="10244" max="10478" width="8.81640625" style="24"/>
    <col min="10479" max="10483" width="1.453125" style="24" customWidth="1"/>
    <col min="10484" max="10484" width="37" style="24" customWidth="1"/>
    <col min="10485" max="10485" width="12.26953125" style="24" bestFit="1" customWidth="1"/>
    <col min="10486" max="10486" width="11" style="24" bestFit="1" customWidth="1"/>
    <col min="10487" max="10487" width="12.7265625" style="24" bestFit="1" customWidth="1"/>
    <col min="10488" max="10488" width="12" style="24" bestFit="1" customWidth="1"/>
    <col min="10489" max="10489" width="13.1796875" style="24" bestFit="1" customWidth="1"/>
    <col min="10490" max="10493" width="13.453125" style="24" customWidth="1"/>
    <col min="10494" max="10494" width="13.1796875" style="24" bestFit="1" customWidth="1"/>
    <col min="10495" max="10498" width="14.7265625" style="24" customWidth="1"/>
    <col min="10499" max="10499" width="13.1796875" style="24" bestFit="1" customWidth="1"/>
    <col min="10500" max="10734" width="8.81640625" style="24"/>
    <col min="10735" max="10739" width="1.453125" style="24" customWidth="1"/>
    <col min="10740" max="10740" width="37" style="24" customWidth="1"/>
    <col min="10741" max="10741" width="12.26953125" style="24" bestFit="1" customWidth="1"/>
    <col min="10742" max="10742" width="11" style="24" bestFit="1" customWidth="1"/>
    <col min="10743" max="10743" width="12.7265625" style="24" bestFit="1" customWidth="1"/>
    <col min="10744" max="10744" width="12" style="24" bestFit="1" customWidth="1"/>
    <col min="10745" max="10745" width="13.1796875" style="24" bestFit="1" customWidth="1"/>
    <col min="10746" max="10749" width="13.453125" style="24" customWidth="1"/>
    <col min="10750" max="10750" width="13.1796875" style="24" bestFit="1" customWidth="1"/>
    <col min="10751" max="10754" width="14.7265625" style="24" customWidth="1"/>
    <col min="10755" max="10755" width="13.1796875" style="24" bestFit="1" customWidth="1"/>
    <col min="10756" max="10990" width="8.81640625" style="24"/>
    <col min="10991" max="10995" width="1.453125" style="24" customWidth="1"/>
    <col min="10996" max="10996" width="37" style="24" customWidth="1"/>
    <col min="10997" max="10997" width="12.26953125" style="24" bestFit="1" customWidth="1"/>
    <col min="10998" max="10998" width="11" style="24" bestFit="1" customWidth="1"/>
    <col min="10999" max="10999" width="12.7265625" style="24" bestFit="1" customWidth="1"/>
    <col min="11000" max="11000" width="12" style="24" bestFit="1" customWidth="1"/>
    <col min="11001" max="11001" width="13.1796875" style="24" bestFit="1" customWidth="1"/>
    <col min="11002" max="11005" width="13.453125" style="24" customWidth="1"/>
    <col min="11006" max="11006" width="13.1796875" style="24" bestFit="1" customWidth="1"/>
    <col min="11007" max="11010" width="14.7265625" style="24" customWidth="1"/>
    <col min="11011" max="11011" width="13.1796875" style="24" bestFit="1" customWidth="1"/>
    <col min="11012" max="11246" width="8.81640625" style="24"/>
    <col min="11247" max="11251" width="1.453125" style="24" customWidth="1"/>
    <col min="11252" max="11252" width="37" style="24" customWidth="1"/>
    <col min="11253" max="11253" width="12.26953125" style="24" bestFit="1" customWidth="1"/>
    <col min="11254" max="11254" width="11" style="24" bestFit="1" customWidth="1"/>
    <col min="11255" max="11255" width="12.7265625" style="24" bestFit="1" customWidth="1"/>
    <col min="11256" max="11256" width="12" style="24" bestFit="1" customWidth="1"/>
    <col min="11257" max="11257" width="13.1796875" style="24" bestFit="1" customWidth="1"/>
    <col min="11258" max="11261" width="13.453125" style="24" customWidth="1"/>
    <col min="11262" max="11262" width="13.1796875" style="24" bestFit="1" customWidth="1"/>
    <col min="11263" max="11266" width="14.7265625" style="24" customWidth="1"/>
    <col min="11267" max="11267" width="13.1796875" style="24" bestFit="1" customWidth="1"/>
    <col min="11268" max="11502" width="8.81640625" style="24"/>
    <col min="11503" max="11507" width="1.453125" style="24" customWidth="1"/>
    <col min="11508" max="11508" width="37" style="24" customWidth="1"/>
    <col min="11509" max="11509" width="12.26953125" style="24" bestFit="1" customWidth="1"/>
    <col min="11510" max="11510" width="11" style="24" bestFit="1" customWidth="1"/>
    <col min="11511" max="11511" width="12.7265625" style="24" bestFit="1" customWidth="1"/>
    <col min="11512" max="11512" width="12" style="24" bestFit="1" customWidth="1"/>
    <col min="11513" max="11513" width="13.1796875" style="24" bestFit="1" customWidth="1"/>
    <col min="11514" max="11517" width="13.453125" style="24" customWidth="1"/>
    <col min="11518" max="11518" width="13.1796875" style="24" bestFit="1" customWidth="1"/>
    <col min="11519" max="11522" width="14.7265625" style="24" customWidth="1"/>
    <col min="11523" max="11523" width="13.1796875" style="24" bestFit="1" customWidth="1"/>
    <col min="11524" max="11758" width="8.81640625" style="24"/>
    <col min="11759" max="11763" width="1.453125" style="24" customWidth="1"/>
    <col min="11764" max="11764" width="37" style="24" customWidth="1"/>
    <col min="11765" max="11765" width="12.26953125" style="24" bestFit="1" customWidth="1"/>
    <col min="11766" max="11766" width="11" style="24" bestFit="1" customWidth="1"/>
    <col min="11767" max="11767" width="12.7265625" style="24" bestFit="1" customWidth="1"/>
    <col min="11768" max="11768" width="12" style="24" bestFit="1" customWidth="1"/>
    <col min="11769" max="11769" width="13.1796875" style="24" bestFit="1" customWidth="1"/>
    <col min="11770" max="11773" width="13.453125" style="24" customWidth="1"/>
    <col min="11774" max="11774" width="13.1796875" style="24" bestFit="1" customWidth="1"/>
    <col min="11775" max="11778" width="14.7265625" style="24" customWidth="1"/>
    <col min="11779" max="11779" width="13.1796875" style="24" bestFit="1" customWidth="1"/>
    <col min="11780" max="12014" width="8.81640625" style="24"/>
    <col min="12015" max="12019" width="1.453125" style="24" customWidth="1"/>
    <col min="12020" max="12020" width="37" style="24" customWidth="1"/>
    <col min="12021" max="12021" width="12.26953125" style="24" bestFit="1" customWidth="1"/>
    <col min="12022" max="12022" width="11" style="24" bestFit="1" customWidth="1"/>
    <col min="12023" max="12023" width="12.7265625" style="24" bestFit="1" customWidth="1"/>
    <col min="12024" max="12024" width="12" style="24" bestFit="1" customWidth="1"/>
    <col min="12025" max="12025" width="13.1796875" style="24" bestFit="1" customWidth="1"/>
    <col min="12026" max="12029" width="13.453125" style="24" customWidth="1"/>
    <col min="12030" max="12030" width="13.1796875" style="24" bestFit="1" customWidth="1"/>
    <col min="12031" max="12034" width="14.7265625" style="24" customWidth="1"/>
    <col min="12035" max="12035" width="13.1796875" style="24" bestFit="1" customWidth="1"/>
    <col min="12036" max="12270" width="8.81640625" style="24"/>
    <col min="12271" max="12275" width="1.453125" style="24" customWidth="1"/>
    <col min="12276" max="12276" width="37" style="24" customWidth="1"/>
    <col min="12277" max="12277" width="12.26953125" style="24" bestFit="1" customWidth="1"/>
    <col min="12278" max="12278" width="11" style="24" bestFit="1" customWidth="1"/>
    <col min="12279" max="12279" width="12.7265625" style="24" bestFit="1" customWidth="1"/>
    <col min="12280" max="12280" width="12" style="24" bestFit="1" customWidth="1"/>
    <col min="12281" max="12281" width="13.1796875" style="24" bestFit="1" customWidth="1"/>
    <col min="12282" max="12285" width="13.453125" style="24" customWidth="1"/>
    <col min="12286" max="12286" width="13.1796875" style="24" bestFit="1" customWidth="1"/>
    <col min="12287" max="12290" width="14.7265625" style="24" customWidth="1"/>
    <col min="12291" max="12291" width="13.1796875" style="24" bestFit="1" customWidth="1"/>
    <col min="12292" max="12526" width="8.81640625" style="24"/>
    <col min="12527" max="12531" width="1.453125" style="24" customWidth="1"/>
    <col min="12532" max="12532" width="37" style="24" customWidth="1"/>
    <col min="12533" max="12533" width="12.26953125" style="24" bestFit="1" customWidth="1"/>
    <col min="12534" max="12534" width="11" style="24" bestFit="1" customWidth="1"/>
    <col min="12535" max="12535" width="12.7265625" style="24" bestFit="1" customWidth="1"/>
    <col min="12536" max="12536" width="12" style="24" bestFit="1" customWidth="1"/>
    <col min="12537" max="12537" width="13.1796875" style="24" bestFit="1" customWidth="1"/>
    <col min="12538" max="12541" width="13.453125" style="24" customWidth="1"/>
    <col min="12542" max="12542" width="13.1796875" style="24" bestFit="1" customWidth="1"/>
    <col min="12543" max="12546" width="14.7265625" style="24" customWidth="1"/>
    <col min="12547" max="12547" width="13.1796875" style="24" bestFit="1" customWidth="1"/>
    <col min="12548" max="12782" width="8.81640625" style="24"/>
    <col min="12783" max="12787" width="1.453125" style="24" customWidth="1"/>
    <col min="12788" max="12788" width="37" style="24" customWidth="1"/>
    <col min="12789" max="12789" width="12.26953125" style="24" bestFit="1" customWidth="1"/>
    <col min="12790" max="12790" width="11" style="24" bestFit="1" customWidth="1"/>
    <col min="12791" max="12791" width="12.7265625" style="24" bestFit="1" customWidth="1"/>
    <col min="12792" max="12792" width="12" style="24" bestFit="1" customWidth="1"/>
    <col min="12793" max="12793" width="13.1796875" style="24" bestFit="1" customWidth="1"/>
    <col min="12794" max="12797" width="13.453125" style="24" customWidth="1"/>
    <col min="12798" max="12798" width="13.1796875" style="24" bestFit="1" customWidth="1"/>
    <col min="12799" max="12802" width="14.7265625" style="24" customWidth="1"/>
    <col min="12803" max="12803" width="13.1796875" style="24" bestFit="1" customWidth="1"/>
    <col min="12804" max="13038" width="8.81640625" style="24"/>
    <col min="13039" max="13043" width="1.453125" style="24" customWidth="1"/>
    <col min="13044" max="13044" width="37" style="24" customWidth="1"/>
    <col min="13045" max="13045" width="12.26953125" style="24" bestFit="1" customWidth="1"/>
    <col min="13046" max="13046" width="11" style="24" bestFit="1" customWidth="1"/>
    <col min="13047" max="13047" width="12.7265625" style="24" bestFit="1" customWidth="1"/>
    <col min="13048" max="13048" width="12" style="24" bestFit="1" customWidth="1"/>
    <col min="13049" max="13049" width="13.1796875" style="24" bestFit="1" customWidth="1"/>
    <col min="13050" max="13053" width="13.453125" style="24" customWidth="1"/>
    <col min="13054" max="13054" width="13.1796875" style="24" bestFit="1" customWidth="1"/>
    <col min="13055" max="13058" width="14.7265625" style="24" customWidth="1"/>
    <col min="13059" max="13059" width="13.1796875" style="24" bestFit="1" customWidth="1"/>
    <col min="13060" max="13294" width="8.81640625" style="24"/>
    <col min="13295" max="13299" width="1.453125" style="24" customWidth="1"/>
    <col min="13300" max="13300" width="37" style="24" customWidth="1"/>
    <col min="13301" max="13301" width="12.26953125" style="24" bestFit="1" customWidth="1"/>
    <col min="13302" max="13302" width="11" style="24" bestFit="1" customWidth="1"/>
    <col min="13303" max="13303" width="12.7265625" style="24" bestFit="1" customWidth="1"/>
    <col min="13304" max="13304" width="12" style="24" bestFit="1" customWidth="1"/>
    <col min="13305" max="13305" width="13.1796875" style="24" bestFit="1" customWidth="1"/>
    <col min="13306" max="13309" width="13.453125" style="24" customWidth="1"/>
    <col min="13310" max="13310" width="13.1796875" style="24" bestFit="1" customWidth="1"/>
    <col min="13311" max="13314" width="14.7265625" style="24" customWidth="1"/>
    <col min="13315" max="13315" width="13.1796875" style="24" bestFit="1" customWidth="1"/>
    <col min="13316" max="13550" width="8.81640625" style="24"/>
    <col min="13551" max="13555" width="1.453125" style="24" customWidth="1"/>
    <col min="13556" max="13556" width="37" style="24" customWidth="1"/>
    <col min="13557" max="13557" width="12.26953125" style="24" bestFit="1" customWidth="1"/>
    <col min="13558" max="13558" width="11" style="24" bestFit="1" customWidth="1"/>
    <col min="13559" max="13559" width="12.7265625" style="24" bestFit="1" customWidth="1"/>
    <col min="13560" max="13560" width="12" style="24" bestFit="1" customWidth="1"/>
    <col min="13561" max="13561" width="13.1796875" style="24" bestFit="1" customWidth="1"/>
    <col min="13562" max="13565" width="13.453125" style="24" customWidth="1"/>
    <col min="13566" max="13566" width="13.1796875" style="24" bestFit="1" customWidth="1"/>
    <col min="13567" max="13570" width="14.7265625" style="24" customWidth="1"/>
    <col min="13571" max="13571" width="13.1796875" style="24" bestFit="1" customWidth="1"/>
    <col min="13572" max="13806" width="8.81640625" style="24"/>
    <col min="13807" max="13811" width="1.453125" style="24" customWidth="1"/>
    <col min="13812" max="13812" width="37" style="24" customWidth="1"/>
    <col min="13813" max="13813" width="12.26953125" style="24" bestFit="1" customWidth="1"/>
    <col min="13814" max="13814" width="11" style="24" bestFit="1" customWidth="1"/>
    <col min="13815" max="13815" width="12.7265625" style="24" bestFit="1" customWidth="1"/>
    <col min="13816" max="13816" width="12" style="24" bestFit="1" customWidth="1"/>
    <col min="13817" max="13817" width="13.1796875" style="24" bestFit="1" customWidth="1"/>
    <col min="13818" max="13821" width="13.453125" style="24" customWidth="1"/>
    <col min="13822" max="13822" width="13.1796875" style="24" bestFit="1" customWidth="1"/>
    <col min="13823" max="13826" width="14.7265625" style="24" customWidth="1"/>
    <col min="13827" max="13827" width="13.1796875" style="24" bestFit="1" customWidth="1"/>
    <col min="13828" max="14062" width="8.81640625" style="24"/>
    <col min="14063" max="14067" width="1.453125" style="24" customWidth="1"/>
    <col min="14068" max="14068" width="37" style="24" customWidth="1"/>
    <col min="14069" max="14069" width="12.26953125" style="24" bestFit="1" customWidth="1"/>
    <col min="14070" max="14070" width="11" style="24" bestFit="1" customWidth="1"/>
    <col min="14071" max="14071" width="12.7265625" style="24" bestFit="1" customWidth="1"/>
    <col min="14072" max="14072" width="12" style="24" bestFit="1" customWidth="1"/>
    <col min="14073" max="14073" width="13.1796875" style="24" bestFit="1" customWidth="1"/>
    <col min="14074" max="14077" width="13.453125" style="24" customWidth="1"/>
    <col min="14078" max="14078" width="13.1796875" style="24" bestFit="1" customWidth="1"/>
    <col min="14079" max="14082" width="14.7265625" style="24" customWidth="1"/>
    <col min="14083" max="14083" width="13.1796875" style="24" bestFit="1" customWidth="1"/>
    <col min="14084" max="14318" width="8.81640625" style="24"/>
    <col min="14319" max="14323" width="1.453125" style="24" customWidth="1"/>
    <col min="14324" max="14324" width="37" style="24" customWidth="1"/>
    <col min="14325" max="14325" width="12.26953125" style="24" bestFit="1" customWidth="1"/>
    <col min="14326" max="14326" width="11" style="24" bestFit="1" customWidth="1"/>
    <col min="14327" max="14327" width="12.7265625" style="24" bestFit="1" customWidth="1"/>
    <col min="14328" max="14328" width="12" style="24" bestFit="1" customWidth="1"/>
    <col min="14329" max="14329" width="13.1796875" style="24" bestFit="1" customWidth="1"/>
    <col min="14330" max="14333" width="13.453125" style="24" customWidth="1"/>
    <col min="14334" max="14334" width="13.1796875" style="24" bestFit="1" customWidth="1"/>
    <col min="14335" max="14338" width="14.7265625" style="24" customWidth="1"/>
    <col min="14339" max="14339" width="13.1796875" style="24" bestFit="1" customWidth="1"/>
    <col min="14340" max="14574" width="8.81640625" style="24"/>
    <col min="14575" max="14579" width="1.453125" style="24" customWidth="1"/>
    <col min="14580" max="14580" width="37" style="24" customWidth="1"/>
    <col min="14581" max="14581" width="12.26953125" style="24" bestFit="1" customWidth="1"/>
    <col min="14582" max="14582" width="11" style="24" bestFit="1" customWidth="1"/>
    <col min="14583" max="14583" width="12.7265625" style="24" bestFit="1" customWidth="1"/>
    <col min="14584" max="14584" width="12" style="24" bestFit="1" customWidth="1"/>
    <col min="14585" max="14585" width="13.1796875" style="24" bestFit="1" customWidth="1"/>
    <col min="14586" max="14589" width="13.453125" style="24" customWidth="1"/>
    <col min="14590" max="14590" width="13.1796875" style="24" bestFit="1" customWidth="1"/>
    <col min="14591" max="14594" width="14.7265625" style="24" customWidth="1"/>
    <col min="14595" max="14595" width="13.1796875" style="24" bestFit="1" customWidth="1"/>
    <col min="14596" max="14830" width="8.81640625" style="24"/>
    <col min="14831" max="14835" width="1.453125" style="24" customWidth="1"/>
    <col min="14836" max="14836" width="37" style="24" customWidth="1"/>
    <col min="14837" max="14837" width="12.26953125" style="24" bestFit="1" customWidth="1"/>
    <col min="14838" max="14838" width="11" style="24" bestFit="1" customWidth="1"/>
    <col min="14839" max="14839" width="12.7265625" style="24" bestFit="1" customWidth="1"/>
    <col min="14840" max="14840" width="12" style="24" bestFit="1" customWidth="1"/>
    <col min="14841" max="14841" width="13.1796875" style="24" bestFit="1" customWidth="1"/>
    <col min="14842" max="14845" width="13.453125" style="24" customWidth="1"/>
    <col min="14846" max="14846" width="13.1796875" style="24" bestFit="1" customWidth="1"/>
    <col min="14847" max="14850" width="14.7265625" style="24" customWidth="1"/>
    <col min="14851" max="14851" width="13.1796875" style="24" bestFit="1" customWidth="1"/>
    <col min="14852" max="15086" width="8.81640625" style="24"/>
    <col min="15087" max="15091" width="1.453125" style="24" customWidth="1"/>
    <col min="15092" max="15092" width="37" style="24" customWidth="1"/>
    <col min="15093" max="15093" width="12.26953125" style="24" bestFit="1" customWidth="1"/>
    <col min="15094" max="15094" width="11" style="24" bestFit="1" customWidth="1"/>
    <col min="15095" max="15095" width="12.7265625" style="24" bestFit="1" customWidth="1"/>
    <col min="15096" max="15096" width="12" style="24" bestFit="1" customWidth="1"/>
    <col min="15097" max="15097" width="13.1796875" style="24" bestFit="1" customWidth="1"/>
    <col min="15098" max="15101" width="13.453125" style="24" customWidth="1"/>
    <col min="15102" max="15102" width="13.1796875" style="24" bestFit="1" customWidth="1"/>
    <col min="15103" max="15106" width="14.7265625" style="24" customWidth="1"/>
    <col min="15107" max="15107" width="13.1796875" style="24" bestFit="1" customWidth="1"/>
    <col min="15108" max="15342" width="8.81640625" style="24"/>
    <col min="15343" max="15347" width="1.453125" style="24" customWidth="1"/>
    <col min="15348" max="15348" width="37" style="24" customWidth="1"/>
    <col min="15349" max="15349" width="12.26953125" style="24" bestFit="1" customWidth="1"/>
    <col min="15350" max="15350" width="11" style="24" bestFit="1" customWidth="1"/>
    <col min="15351" max="15351" width="12.7265625" style="24" bestFit="1" customWidth="1"/>
    <col min="15352" max="15352" width="12" style="24" bestFit="1" customWidth="1"/>
    <col min="15353" max="15353" width="13.1796875" style="24" bestFit="1" customWidth="1"/>
    <col min="15354" max="15357" width="13.453125" style="24" customWidth="1"/>
    <col min="15358" max="15358" width="13.1796875" style="24" bestFit="1" customWidth="1"/>
    <col min="15359" max="15362" width="14.7265625" style="24" customWidth="1"/>
    <col min="15363" max="15363" width="13.1796875" style="24" bestFit="1" customWidth="1"/>
    <col min="15364" max="15598" width="8.81640625" style="24"/>
    <col min="15599" max="15603" width="1.453125" style="24" customWidth="1"/>
    <col min="15604" max="15604" width="37" style="24" customWidth="1"/>
    <col min="15605" max="15605" width="12.26953125" style="24" bestFit="1" customWidth="1"/>
    <col min="15606" max="15606" width="11" style="24" bestFit="1" customWidth="1"/>
    <col min="15607" max="15607" width="12.7265625" style="24" bestFit="1" customWidth="1"/>
    <col min="15608" max="15608" width="12" style="24" bestFit="1" customWidth="1"/>
    <col min="15609" max="15609" width="13.1796875" style="24" bestFit="1" customWidth="1"/>
    <col min="15610" max="15613" width="13.453125" style="24" customWidth="1"/>
    <col min="15614" max="15614" width="13.1796875" style="24" bestFit="1" customWidth="1"/>
    <col min="15615" max="15618" width="14.7265625" style="24" customWidth="1"/>
    <col min="15619" max="15619" width="13.1796875" style="24" bestFit="1" customWidth="1"/>
    <col min="15620" max="15854" width="8.81640625" style="24"/>
    <col min="15855" max="15859" width="1.453125" style="24" customWidth="1"/>
    <col min="15860" max="15860" width="37" style="24" customWidth="1"/>
    <col min="15861" max="15861" width="12.26953125" style="24" bestFit="1" customWidth="1"/>
    <col min="15862" max="15862" width="11" style="24" bestFit="1" customWidth="1"/>
    <col min="15863" max="15863" width="12.7265625" style="24" bestFit="1" customWidth="1"/>
    <col min="15864" max="15864" width="12" style="24" bestFit="1" customWidth="1"/>
    <col min="15865" max="15865" width="13.1796875" style="24" bestFit="1" customWidth="1"/>
    <col min="15866" max="15869" width="13.453125" style="24" customWidth="1"/>
    <col min="15870" max="15870" width="13.1796875" style="24" bestFit="1" customWidth="1"/>
    <col min="15871" max="15874" width="14.7265625" style="24" customWidth="1"/>
    <col min="15875" max="15875" width="13.1796875" style="24" bestFit="1" customWidth="1"/>
    <col min="15876" max="16110" width="8.81640625" style="24"/>
    <col min="16111" max="16115" width="1.453125" style="24" customWidth="1"/>
    <col min="16116" max="16116" width="37" style="24" customWidth="1"/>
    <col min="16117" max="16117" width="12.26953125" style="24" bestFit="1" customWidth="1"/>
    <col min="16118" max="16118" width="11" style="24" bestFit="1" customWidth="1"/>
    <col min="16119" max="16119" width="12.7265625" style="24" bestFit="1" customWidth="1"/>
    <col min="16120" max="16120" width="12" style="24" bestFit="1" customWidth="1"/>
    <col min="16121" max="16121" width="13.1796875" style="24" bestFit="1" customWidth="1"/>
    <col min="16122" max="16125" width="13.453125" style="24" customWidth="1"/>
    <col min="16126" max="16126" width="13.1796875" style="24" bestFit="1" customWidth="1"/>
    <col min="16127" max="16130" width="14.7265625" style="24" customWidth="1"/>
    <col min="16131" max="16131" width="13.1796875" style="24" bestFit="1" customWidth="1"/>
    <col min="16132" max="16384" width="8.81640625" style="24"/>
  </cols>
  <sheetData>
    <row r="1" spans="1:19" s="32" customFormat="1" ht="14.5" x14ac:dyDescent="0.35">
      <c r="A1" s="38" t="s">
        <v>29</v>
      </c>
      <c r="B1" s="38"/>
      <c r="C1" s="38"/>
      <c r="D1" s="38"/>
    </row>
    <row r="2" spans="1:19" s="32" customFormat="1" ht="14.5" x14ac:dyDescent="0.35">
      <c r="A2" s="38" t="s">
        <v>55</v>
      </c>
      <c r="B2" s="38"/>
      <c r="C2" s="38"/>
      <c r="D2" s="38"/>
    </row>
    <row r="3" spans="1:19" s="32" customFormat="1" ht="14.5" x14ac:dyDescent="0.35">
      <c r="A3" s="19" t="s">
        <v>27</v>
      </c>
      <c r="B3" s="38"/>
      <c r="C3" s="38"/>
      <c r="D3" s="38"/>
    </row>
    <row r="4" spans="1:19" s="32" customFormat="1" x14ac:dyDescent="0.3">
      <c r="A4" s="133" t="s">
        <v>79</v>
      </c>
      <c r="B4" s="134"/>
      <c r="C4" s="134"/>
      <c r="D4" s="134"/>
      <c r="E4" s="134"/>
      <c r="F4" s="134"/>
    </row>
    <row r="5" spans="1:19" s="32" customFormat="1" ht="33.75" customHeight="1" x14ac:dyDescent="0.3">
      <c r="A5" s="19"/>
      <c r="B5" s="19"/>
      <c r="C5" s="19"/>
      <c r="D5" s="19"/>
      <c r="F5" s="46"/>
      <c r="G5" s="135" t="s">
        <v>32</v>
      </c>
      <c r="H5" s="135"/>
      <c r="I5" s="135"/>
      <c r="J5" s="135"/>
      <c r="K5" s="47" t="s">
        <v>57</v>
      </c>
      <c r="L5" s="132" t="s">
        <v>32</v>
      </c>
      <c r="M5" s="132"/>
      <c r="N5" s="132"/>
      <c r="O5" s="132"/>
      <c r="P5" s="47" t="s">
        <v>57</v>
      </c>
      <c r="Q5" s="70" t="s">
        <v>32</v>
      </c>
      <c r="R5" s="63"/>
      <c r="S5" s="64"/>
    </row>
    <row r="6" spans="1:19" s="32" customFormat="1" x14ac:dyDescent="0.3">
      <c r="A6" s="19"/>
      <c r="B6" s="19"/>
      <c r="C6" s="19"/>
      <c r="D6" s="19"/>
      <c r="E6" s="48"/>
      <c r="F6" s="48"/>
      <c r="G6" s="48" t="s">
        <v>22</v>
      </c>
      <c r="H6" s="48" t="s">
        <v>24</v>
      </c>
      <c r="I6" s="48" t="s">
        <v>25</v>
      </c>
      <c r="J6" s="48" t="s">
        <v>23</v>
      </c>
      <c r="K6" s="21" t="s">
        <v>23</v>
      </c>
      <c r="L6" s="48" t="s">
        <v>22</v>
      </c>
      <c r="M6" s="48" t="s">
        <v>24</v>
      </c>
      <c r="N6" s="48" t="s">
        <v>25</v>
      </c>
      <c r="O6" s="48" t="s">
        <v>23</v>
      </c>
      <c r="P6" s="21" t="s">
        <v>23</v>
      </c>
      <c r="Q6" s="48" t="s">
        <v>22</v>
      </c>
      <c r="R6" s="48"/>
      <c r="S6" s="48"/>
    </row>
    <row r="7" spans="1:19" s="32" customFormat="1" x14ac:dyDescent="0.3">
      <c r="A7" s="19"/>
      <c r="B7" s="19"/>
      <c r="C7" s="19"/>
      <c r="D7" s="19"/>
      <c r="E7" s="17"/>
      <c r="F7" s="17"/>
      <c r="G7" s="17">
        <v>2020</v>
      </c>
      <c r="H7" s="17">
        <v>2020</v>
      </c>
      <c r="I7" s="17">
        <v>2020</v>
      </c>
      <c r="J7" s="17">
        <v>2020</v>
      </c>
      <c r="K7" s="18">
        <v>2020</v>
      </c>
      <c r="L7" s="17">
        <v>2021</v>
      </c>
      <c r="M7" s="17">
        <v>2021</v>
      </c>
      <c r="N7" s="17">
        <v>2021</v>
      </c>
      <c r="O7" s="17">
        <v>2021</v>
      </c>
      <c r="P7" s="18">
        <v>2021</v>
      </c>
      <c r="Q7" s="17">
        <v>2022</v>
      </c>
      <c r="R7" s="17"/>
      <c r="S7" s="17"/>
    </row>
    <row r="8" spans="1:19" x14ac:dyDescent="0.3">
      <c r="A8" s="19"/>
      <c r="B8" s="19"/>
      <c r="C8" s="19"/>
      <c r="D8" s="19"/>
      <c r="E8" s="17"/>
      <c r="F8" s="17"/>
      <c r="G8" s="17"/>
      <c r="H8" s="17"/>
      <c r="I8" s="17"/>
      <c r="J8" s="17"/>
      <c r="K8" s="18"/>
      <c r="L8" s="17"/>
      <c r="M8" s="17"/>
      <c r="N8" s="17"/>
      <c r="O8" s="17"/>
      <c r="P8" s="18"/>
      <c r="Q8" s="17"/>
      <c r="R8" s="17"/>
      <c r="S8" s="17"/>
    </row>
    <row r="9" spans="1:19" x14ac:dyDescent="0.3">
      <c r="A9" s="25" t="s">
        <v>56</v>
      </c>
      <c r="B9" s="25"/>
      <c r="G9" s="34"/>
      <c r="H9" s="34"/>
      <c r="I9" s="34"/>
      <c r="J9" s="34"/>
      <c r="K9" s="33"/>
      <c r="L9" s="34"/>
      <c r="M9" s="34"/>
      <c r="N9" s="34"/>
      <c r="O9" s="34"/>
      <c r="P9" s="33"/>
      <c r="Q9" s="34"/>
      <c r="R9" s="34"/>
      <c r="S9" s="25"/>
    </row>
    <row r="10" spans="1:19" s="42" customFormat="1" x14ac:dyDescent="0.3">
      <c r="B10" s="45" t="s">
        <v>58</v>
      </c>
      <c r="G10" s="43">
        <v>2702776</v>
      </c>
      <c r="H10" s="43">
        <v>2839670</v>
      </c>
      <c r="I10" s="43">
        <v>2933445</v>
      </c>
      <c r="J10" s="43">
        <v>2979505</v>
      </c>
      <c r="K10" s="44">
        <f>SUM(G10:J10)</f>
        <v>11455396</v>
      </c>
      <c r="L10" s="43">
        <v>3170972</v>
      </c>
      <c r="M10" s="43">
        <v>3234643</v>
      </c>
      <c r="N10" s="43">
        <v>3257697</v>
      </c>
      <c r="O10" s="43">
        <v>3308788</v>
      </c>
      <c r="P10" s="44">
        <f>SUM(L10:O10)</f>
        <v>12972100</v>
      </c>
      <c r="Q10" s="43">
        <v>3350424</v>
      </c>
      <c r="R10" s="43"/>
      <c r="S10" s="65"/>
    </row>
    <row r="11" spans="1:19" x14ac:dyDescent="0.3">
      <c r="A11" s="25"/>
      <c r="B11" s="31" t="s">
        <v>72</v>
      </c>
      <c r="G11" s="29">
        <v>2307</v>
      </c>
      <c r="H11" s="29">
        <v>2935</v>
      </c>
      <c r="I11" s="29">
        <v>177</v>
      </c>
      <c r="J11" s="29">
        <v>855</v>
      </c>
      <c r="K11" s="27">
        <f>SUM(G11:J11)</f>
        <v>6274</v>
      </c>
      <c r="L11" s="29">
        <v>448</v>
      </c>
      <c r="M11" s="29">
        <v>-433</v>
      </c>
      <c r="N11" s="29">
        <v>73</v>
      </c>
      <c r="O11" s="29">
        <v>1191</v>
      </c>
      <c r="P11" s="27">
        <f>SUM(L11:O11)</f>
        <v>1279</v>
      </c>
      <c r="Q11" s="29">
        <v>-636</v>
      </c>
      <c r="R11" s="29"/>
      <c r="S11" s="40"/>
    </row>
    <row r="12" spans="1:19" x14ac:dyDescent="0.3">
      <c r="A12" s="25"/>
      <c r="B12" s="31" t="s">
        <v>74</v>
      </c>
      <c r="G12" s="29">
        <v>69969</v>
      </c>
      <c r="H12" s="29">
        <v>72904</v>
      </c>
      <c r="I12" s="29">
        <v>73081</v>
      </c>
      <c r="J12" s="29">
        <v>73936</v>
      </c>
      <c r="K12" s="27">
        <f>J12</f>
        <v>73936</v>
      </c>
      <c r="L12" s="29">
        <v>74384</v>
      </c>
      <c r="M12" s="29">
        <v>73951</v>
      </c>
      <c r="N12" s="29">
        <v>74024</v>
      </c>
      <c r="O12" s="29">
        <v>75215</v>
      </c>
      <c r="P12" s="27">
        <f>O12</f>
        <v>75215</v>
      </c>
      <c r="Q12" s="29">
        <v>74579</v>
      </c>
      <c r="R12" s="29"/>
      <c r="S12" s="40"/>
    </row>
    <row r="13" spans="1:19" x14ac:dyDescent="0.3">
      <c r="A13" s="25"/>
      <c r="B13" s="31" t="s">
        <v>75</v>
      </c>
      <c r="G13" s="29">
        <v>68816</v>
      </c>
      <c r="H13" s="29">
        <v>71437</v>
      </c>
      <c r="I13" s="29">
        <v>72993</v>
      </c>
      <c r="J13" s="29">
        <v>73509</v>
      </c>
      <c r="K13" s="27">
        <v>71689</v>
      </c>
      <c r="L13" s="29">
        <v>74160</v>
      </c>
      <c r="M13" s="29">
        <v>74168</v>
      </c>
      <c r="N13" s="29">
        <v>73988</v>
      </c>
      <c r="O13" s="29">
        <v>74620</v>
      </c>
      <c r="P13" s="27">
        <v>74234</v>
      </c>
      <c r="Q13" s="29">
        <v>74897</v>
      </c>
      <c r="R13" s="29"/>
      <c r="S13" s="40"/>
    </row>
    <row r="14" spans="1:19" s="42" customFormat="1" x14ac:dyDescent="0.3">
      <c r="B14" s="45" t="s">
        <v>83</v>
      </c>
      <c r="G14" s="50">
        <v>13.09</v>
      </c>
      <c r="H14" s="50">
        <v>13.25</v>
      </c>
      <c r="I14" s="50">
        <v>13.4</v>
      </c>
      <c r="J14" s="50">
        <v>13.51</v>
      </c>
      <c r="K14" s="51">
        <v>13.32</v>
      </c>
      <c r="L14" s="50">
        <v>14.25</v>
      </c>
      <c r="M14" s="50">
        <v>14.54</v>
      </c>
      <c r="N14" s="50">
        <v>14.68</v>
      </c>
      <c r="O14" s="50">
        <v>14.78</v>
      </c>
      <c r="P14" s="51">
        <v>14.56</v>
      </c>
      <c r="Q14" s="50">
        <v>14.91</v>
      </c>
      <c r="R14" s="50"/>
      <c r="S14" s="66"/>
    </row>
    <row r="15" spans="1:19" s="42" customFormat="1" x14ac:dyDescent="0.3">
      <c r="B15" s="45" t="s">
        <v>76</v>
      </c>
      <c r="G15" s="52">
        <v>0.14000000000000001</v>
      </c>
      <c r="H15" s="52">
        <v>0.06</v>
      </c>
      <c r="I15" s="52">
        <v>0.02</v>
      </c>
      <c r="J15" s="52">
        <v>0.02</v>
      </c>
      <c r="K15" s="53">
        <v>0.06</v>
      </c>
      <c r="L15" s="52">
        <v>0.09</v>
      </c>
      <c r="M15" s="52">
        <v>0.1</v>
      </c>
      <c r="N15" s="52">
        <v>0.1</v>
      </c>
      <c r="O15" s="52">
        <v>0.09</v>
      </c>
      <c r="P15" s="53">
        <v>0.09</v>
      </c>
      <c r="Q15" s="52">
        <v>4.5999999999999999E-2</v>
      </c>
      <c r="R15" s="52"/>
      <c r="S15" s="67"/>
    </row>
    <row r="16" spans="1:19" s="42" customFormat="1" x14ac:dyDescent="0.3">
      <c r="B16" s="45" t="s">
        <v>77</v>
      </c>
      <c r="G16" s="52">
        <v>0.14000000000000001</v>
      </c>
      <c r="H16" s="52">
        <v>0.06</v>
      </c>
      <c r="I16" s="52">
        <v>0.03</v>
      </c>
      <c r="J16" s="52">
        <v>0.02</v>
      </c>
      <c r="K16" s="53">
        <v>0.06</v>
      </c>
      <c r="L16" s="52">
        <v>0.09</v>
      </c>
      <c r="M16" s="52">
        <v>0.09</v>
      </c>
      <c r="N16" s="52">
        <v>0.09</v>
      </c>
      <c r="O16" s="52">
        <v>0.09</v>
      </c>
      <c r="P16" s="53">
        <v>0.09</v>
      </c>
      <c r="Q16" s="52">
        <v>4.5999999999999999E-2</v>
      </c>
      <c r="R16" s="52"/>
      <c r="S16" s="67"/>
    </row>
    <row r="17" spans="1:19" x14ac:dyDescent="0.3">
      <c r="G17" s="35"/>
      <c r="H17" s="35"/>
      <c r="I17" s="35"/>
      <c r="J17" s="35"/>
      <c r="K17" s="33"/>
      <c r="L17" s="35"/>
      <c r="M17" s="35"/>
      <c r="N17" s="35"/>
      <c r="O17" s="35"/>
      <c r="P17" s="33"/>
      <c r="Q17" s="35"/>
      <c r="R17" s="35"/>
      <c r="S17" s="25"/>
    </row>
    <row r="18" spans="1:19" x14ac:dyDescent="0.3">
      <c r="A18" s="25" t="s">
        <v>59</v>
      </c>
      <c r="B18" s="25"/>
      <c r="G18" s="37"/>
      <c r="H18" s="37"/>
      <c r="I18" s="37"/>
      <c r="J18" s="37"/>
      <c r="K18" s="36"/>
      <c r="L18" s="37"/>
      <c r="M18" s="37"/>
      <c r="N18" s="37"/>
      <c r="O18" s="37"/>
      <c r="P18" s="36"/>
      <c r="Q18" s="37"/>
      <c r="R18" s="37"/>
      <c r="S18" s="68"/>
    </row>
    <row r="19" spans="1:19" s="42" customFormat="1" x14ac:dyDescent="0.3">
      <c r="B19" s="45" t="s">
        <v>31</v>
      </c>
      <c r="G19" s="43">
        <v>1723474</v>
      </c>
      <c r="H19" s="43">
        <v>1892537</v>
      </c>
      <c r="I19" s="43">
        <v>2019083</v>
      </c>
      <c r="J19" s="43">
        <v>2137158</v>
      </c>
      <c r="K19" s="44">
        <f>SUM(G19:J19)</f>
        <v>7772252</v>
      </c>
      <c r="L19" s="43">
        <v>2343674</v>
      </c>
      <c r="M19" s="43">
        <v>2400480</v>
      </c>
      <c r="N19" s="43">
        <v>2432239</v>
      </c>
      <c r="O19" s="43">
        <v>2523426</v>
      </c>
      <c r="P19" s="44">
        <f>SUM(L19:O19)</f>
        <v>9699819</v>
      </c>
      <c r="Q19" s="43">
        <v>2561831</v>
      </c>
      <c r="R19" s="43"/>
      <c r="S19" s="65"/>
    </row>
    <row r="20" spans="1:19" x14ac:dyDescent="0.3">
      <c r="A20" s="25"/>
      <c r="B20" s="31" t="s">
        <v>72</v>
      </c>
      <c r="D20" s="32"/>
      <c r="E20" s="32"/>
      <c r="G20" s="29">
        <v>6956</v>
      </c>
      <c r="H20" s="29">
        <v>2749</v>
      </c>
      <c r="I20" s="29">
        <v>759</v>
      </c>
      <c r="J20" s="29">
        <v>4456</v>
      </c>
      <c r="K20" s="27">
        <f>SUM(G20:J20)</f>
        <v>14920</v>
      </c>
      <c r="L20" s="29">
        <v>1810</v>
      </c>
      <c r="M20" s="29">
        <v>188</v>
      </c>
      <c r="N20" s="29">
        <v>1804</v>
      </c>
      <c r="O20" s="29">
        <v>3536</v>
      </c>
      <c r="P20" s="27">
        <f>SUM(L20:O20)</f>
        <v>7338</v>
      </c>
      <c r="Q20" s="29">
        <v>-303</v>
      </c>
      <c r="R20" s="29"/>
      <c r="S20" s="40"/>
    </row>
    <row r="21" spans="1:19" x14ac:dyDescent="0.3">
      <c r="A21" s="25"/>
      <c r="B21" s="31" t="s">
        <v>74</v>
      </c>
      <c r="D21" s="32"/>
      <c r="E21" s="32"/>
      <c r="G21" s="29">
        <v>58734</v>
      </c>
      <c r="H21" s="29">
        <v>61483</v>
      </c>
      <c r="I21" s="29">
        <v>62242</v>
      </c>
      <c r="J21" s="29">
        <v>66698</v>
      </c>
      <c r="K21" s="27">
        <f>J21</f>
        <v>66698</v>
      </c>
      <c r="L21" s="29">
        <v>68508</v>
      </c>
      <c r="M21" s="29">
        <v>68696</v>
      </c>
      <c r="N21" s="29">
        <v>70500</v>
      </c>
      <c r="O21" s="29">
        <v>74036</v>
      </c>
      <c r="P21" s="27">
        <f>O21</f>
        <v>74036</v>
      </c>
      <c r="Q21" s="29">
        <v>73733</v>
      </c>
      <c r="R21" s="29"/>
      <c r="S21" s="40"/>
    </row>
    <row r="22" spans="1:19" x14ac:dyDescent="0.3">
      <c r="A22" s="25"/>
      <c r="B22" s="31" t="s">
        <v>75</v>
      </c>
      <c r="D22" s="32"/>
      <c r="E22" s="32"/>
      <c r="G22" s="29">
        <v>55256</v>
      </c>
      <c r="H22" s="29">
        <v>60109</v>
      </c>
      <c r="I22" s="29">
        <v>61863</v>
      </c>
      <c r="J22" s="29">
        <v>64470</v>
      </c>
      <c r="K22" s="27">
        <v>60425</v>
      </c>
      <c r="L22" s="29">
        <v>67603</v>
      </c>
      <c r="M22" s="29">
        <v>68602</v>
      </c>
      <c r="N22" s="29">
        <v>69598</v>
      </c>
      <c r="O22" s="29">
        <v>72268</v>
      </c>
      <c r="P22" s="27">
        <v>69518</v>
      </c>
      <c r="Q22" s="29">
        <v>73885</v>
      </c>
      <c r="R22" s="29"/>
      <c r="S22" s="40"/>
    </row>
    <row r="23" spans="1:19" s="42" customFormat="1" x14ac:dyDescent="0.3">
      <c r="B23" s="45" t="s">
        <v>83</v>
      </c>
      <c r="G23" s="50">
        <v>10.4</v>
      </c>
      <c r="H23" s="50">
        <v>10.5</v>
      </c>
      <c r="I23" s="50">
        <v>10.88</v>
      </c>
      <c r="J23" s="50">
        <v>11.05</v>
      </c>
      <c r="K23" s="51">
        <v>10.72</v>
      </c>
      <c r="L23" s="50">
        <v>11.56</v>
      </c>
      <c r="M23" s="50">
        <v>11.66</v>
      </c>
      <c r="N23" s="50">
        <v>11.65</v>
      </c>
      <c r="O23" s="50">
        <v>11.64</v>
      </c>
      <c r="P23" s="51">
        <v>11.63</v>
      </c>
      <c r="Q23" s="50">
        <v>11.56</v>
      </c>
      <c r="R23" s="50"/>
      <c r="S23" s="66"/>
    </row>
    <row r="24" spans="1:19" s="42" customFormat="1" x14ac:dyDescent="0.3">
      <c r="B24" s="45" t="s">
        <v>76</v>
      </c>
      <c r="G24" s="52">
        <v>0.02</v>
      </c>
      <c r="H24" s="52">
        <v>0.04</v>
      </c>
      <c r="I24" s="52">
        <v>0.05</v>
      </c>
      <c r="J24" s="52">
        <v>0.05</v>
      </c>
      <c r="K24" s="53">
        <v>0.04</v>
      </c>
      <c r="L24" s="52">
        <v>0.11</v>
      </c>
      <c r="M24" s="52">
        <v>0.11</v>
      </c>
      <c r="N24" s="52">
        <v>7.0000000000000007E-2</v>
      </c>
      <c r="O24" s="52">
        <v>0.05</v>
      </c>
      <c r="P24" s="53">
        <v>0.08</v>
      </c>
      <c r="Q24" s="52">
        <v>0</v>
      </c>
      <c r="R24" s="52"/>
      <c r="S24" s="67"/>
    </row>
    <row r="25" spans="1:19" s="42" customFormat="1" x14ac:dyDescent="0.3">
      <c r="B25" s="45" t="s">
        <v>77</v>
      </c>
      <c r="G25" s="52">
        <v>0.04</v>
      </c>
      <c r="H25" s="52">
        <v>0.08</v>
      </c>
      <c r="I25" s="52">
        <v>0.03</v>
      </c>
      <c r="J25" s="52">
        <v>0</v>
      </c>
      <c r="K25" s="53">
        <v>0.03</v>
      </c>
      <c r="L25" s="52">
        <v>0.04</v>
      </c>
      <c r="M25" s="52">
        <v>0.02</v>
      </c>
      <c r="N25" s="52">
        <v>0.03</v>
      </c>
      <c r="O25" s="52">
        <v>0.06</v>
      </c>
      <c r="P25" s="53">
        <v>0.04</v>
      </c>
      <c r="Q25" s="52">
        <v>6.2E-2</v>
      </c>
      <c r="R25" s="52"/>
      <c r="S25" s="67"/>
    </row>
    <row r="26" spans="1:19" ht="12.75" customHeight="1" x14ac:dyDescent="0.3">
      <c r="G26" s="28"/>
      <c r="H26" s="28"/>
      <c r="I26" s="28"/>
      <c r="J26" s="28"/>
      <c r="K26" s="30"/>
      <c r="L26" s="28"/>
      <c r="M26" s="28"/>
      <c r="N26" s="28"/>
      <c r="O26" s="28"/>
      <c r="P26" s="30"/>
      <c r="Q26" s="28"/>
      <c r="R26" s="28"/>
      <c r="S26" s="69"/>
    </row>
    <row r="27" spans="1:19" x14ac:dyDescent="0.3">
      <c r="A27" s="25" t="s">
        <v>60</v>
      </c>
      <c r="B27" s="25"/>
      <c r="G27" s="37"/>
      <c r="H27" s="37"/>
      <c r="I27" s="37"/>
      <c r="J27" s="37"/>
      <c r="K27" s="36"/>
      <c r="L27" s="37"/>
      <c r="M27" s="37"/>
      <c r="N27" s="37"/>
      <c r="O27" s="37"/>
      <c r="P27" s="36"/>
      <c r="Q27" s="37"/>
      <c r="R27" s="37"/>
      <c r="S27" s="68"/>
    </row>
    <row r="28" spans="1:19" s="42" customFormat="1" x14ac:dyDescent="0.3">
      <c r="B28" s="45" t="s">
        <v>31</v>
      </c>
      <c r="G28" s="43">
        <v>793453</v>
      </c>
      <c r="H28" s="43">
        <v>785368</v>
      </c>
      <c r="I28" s="43">
        <v>789384</v>
      </c>
      <c r="J28" s="43">
        <v>788522</v>
      </c>
      <c r="K28" s="44">
        <f>SUM(G28:J28)</f>
        <v>3156727</v>
      </c>
      <c r="L28" s="43">
        <v>836647</v>
      </c>
      <c r="M28" s="43">
        <v>860882</v>
      </c>
      <c r="N28" s="43">
        <v>915297</v>
      </c>
      <c r="O28" s="43">
        <v>964150</v>
      </c>
      <c r="P28" s="44">
        <f>SUM(L28:O28)</f>
        <v>3576976</v>
      </c>
      <c r="Q28" s="43">
        <v>998948</v>
      </c>
      <c r="R28" s="43"/>
      <c r="S28" s="65"/>
    </row>
    <row r="29" spans="1:19" x14ac:dyDescent="0.3">
      <c r="A29" s="25"/>
      <c r="B29" s="31" t="s">
        <v>72</v>
      </c>
      <c r="D29" s="32"/>
      <c r="E29" s="32"/>
      <c r="G29" s="29">
        <v>2901</v>
      </c>
      <c r="H29" s="29">
        <v>1750</v>
      </c>
      <c r="I29" s="29">
        <v>256</v>
      </c>
      <c r="J29" s="29">
        <v>1213</v>
      </c>
      <c r="K29" s="27">
        <f>SUM(G29:J29)</f>
        <v>6120</v>
      </c>
      <c r="L29" s="29">
        <v>357</v>
      </c>
      <c r="M29" s="29">
        <v>764</v>
      </c>
      <c r="N29" s="29">
        <v>330</v>
      </c>
      <c r="O29" s="29">
        <v>973</v>
      </c>
      <c r="P29" s="27">
        <f>SUM(L29:O29)</f>
        <v>2424</v>
      </c>
      <c r="Q29" s="29">
        <v>-351</v>
      </c>
      <c r="R29" s="29"/>
      <c r="S29" s="40"/>
    </row>
    <row r="30" spans="1:19" x14ac:dyDescent="0.3">
      <c r="A30" s="25"/>
      <c r="B30" s="31" t="s">
        <v>74</v>
      </c>
      <c r="D30" s="32"/>
      <c r="E30" s="32"/>
      <c r="G30" s="29">
        <v>34318</v>
      </c>
      <c r="H30" s="29">
        <v>36068</v>
      </c>
      <c r="I30" s="29">
        <v>36324</v>
      </c>
      <c r="J30" s="29">
        <v>37537</v>
      </c>
      <c r="K30" s="27">
        <f>J30</f>
        <v>37537</v>
      </c>
      <c r="L30" s="29">
        <v>37894</v>
      </c>
      <c r="M30" s="29">
        <v>38658</v>
      </c>
      <c r="N30" s="29">
        <v>38988</v>
      </c>
      <c r="O30" s="29">
        <v>39961</v>
      </c>
      <c r="P30" s="27">
        <f>O30</f>
        <v>39961</v>
      </c>
      <c r="Q30" s="29">
        <v>39610</v>
      </c>
      <c r="R30" s="29"/>
      <c r="S30" s="40"/>
    </row>
    <row r="31" spans="1:19" x14ac:dyDescent="0.3">
      <c r="A31" s="25"/>
      <c r="B31" s="31" t="s">
        <v>75</v>
      </c>
      <c r="D31" s="32"/>
      <c r="E31" s="32"/>
      <c r="G31" s="29">
        <v>32868</v>
      </c>
      <c r="H31" s="29">
        <v>35193</v>
      </c>
      <c r="I31" s="29">
        <v>36196</v>
      </c>
      <c r="J31" s="29">
        <v>36931</v>
      </c>
      <c r="K31" s="27">
        <v>35297</v>
      </c>
      <c r="L31" s="29">
        <v>37716</v>
      </c>
      <c r="M31" s="29">
        <v>38276</v>
      </c>
      <c r="N31" s="29">
        <v>38823</v>
      </c>
      <c r="O31" s="29">
        <v>39475</v>
      </c>
      <c r="P31" s="27">
        <v>38573</v>
      </c>
      <c r="Q31" s="29">
        <v>39786</v>
      </c>
      <c r="R31" s="29"/>
      <c r="S31" s="40"/>
    </row>
    <row r="32" spans="1:19" s="42" customFormat="1" x14ac:dyDescent="0.3">
      <c r="B32" s="45" t="s">
        <v>83</v>
      </c>
      <c r="G32" s="50">
        <v>8.0500000000000007</v>
      </c>
      <c r="H32" s="50">
        <v>7.44</v>
      </c>
      <c r="I32" s="50">
        <v>7.27</v>
      </c>
      <c r="J32" s="50">
        <v>7.12</v>
      </c>
      <c r="K32" s="51">
        <v>7.45</v>
      </c>
      <c r="L32" s="50">
        <v>7.39</v>
      </c>
      <c r="M32" s="50">
        <v>7.5</v>
      </c>
      <c r="N32" s="50">
        <v>7.86</v>
      </c>
      <c r="O32" s="50">
        <v>8.14</v>
      </c>
      <c r="P32" s="51">
        <v>7.73</v>
      </c>
      <c r="Q32" s="50">
        <v>8.3699999999999992</v>
      </c>
      <c r="R32" s="50"/>
      <c r="S32" s="66"/>
    </row>
    <row r="33" spans="1:19" s="42" customFormat="1" x14ac:dyDescent="0.3">
      <c r="B33" s="45" t="s">
        <v>76</v>
      </c>
      <c r="G33" s="52">
        <v>0.03</v>
      </c>
      <c r="H33" s="52">
        <v>-0.09</v>
      </c>
      <c r="I33" s="52">
        <v>-0.16</v>
      </c>
      <c r="J33" s="52">
        <v>-0.13</v>
      </c>
      <c r="K33" s="53">
        <v>-0.09</v>
      </c>
      <c r="L33" s="52">
        <v>-0.08</v>
      </c>
      <c r="M33" s="52">
        <v>0.01</v>
      </c>
      <c r="N33" s="52">
        <v>0.08</v>
      </c>
      <c r="O33" s="52">
        <v>0.14000000000000001</v>
      </c>
      <c r="P33" s="53">
        <v>0.04</v>
      </c>
      <c r="Q33" s="52">
        <v>0.13300000000000001</v>
      </c>
      <c r="R33" s="52"/>
      <c r="S33" s="67"/>
    </row>
    <row r="34" spans="1:19" s="42" customFormat="1" x14ac:dyDescent="0.3">
      <c r="B34" s="45" t="s">
        <v>77</v>
      </c>
      <c r="G34" s="52">
        <v>0.12</v>
      </c>
      <c r="H34" s="52">
        <v>0.13</v>
      </c>
      <c r="I34" s="52">
        <v>0.05</v>
      </c>
      <c r="J34" s="52">
        <v>0.04</v>
      </c>
      <c r="K34" s="53">
        <v>0.08</v>
      </c>
      <c r="L34" s="52">
        <v>0.05</v>
      </c>
      <c r="M34" s="52">
        <v>0.02</v>
      </c>
      <c r="N34" s="52">
        <v>0.08</v>
      </c>
      <c r="O34" s="52">
        <v>0.17</v>
      </c>
      <c r="P34" s="53">
        <v>0.08</v>
      </c>
      <c r="Q34" s="52">
        <v>0.2</v>
      </c>
      <c r="R34" s="52"/>
      <c r="S34" s="67"/>
    </row>
    <row r="35" spans="1:19" x14ac:dyDescent="0.3">
      <c r="G35" s="35"/>
      <c r="H35" s="35"/>
      <c r="I35" s="35"/>
      <c r="J35" s="35"/>
      <c r="K35" s="33"/>
      <c r="L35" s="35"/>
      <c r="M35" s="35"/>
      <c r="N35" s="35"/>
      <c r="O35" s="35"/>
      <c r="P35" s="33"/>
      <c r="Q35" s="35"/>
      <c r="R35" s="35"/>
      <c r="S35" s="25"/>
    </row>
    <row r="36" spans="1:19" x14ac:dyDescent="0.3">
      <c r="A36" s="25" t="s">
        <v>61</v>
      </c>
      <c r="B36" s="25"/>
      <c r="G36" s="37"/>
      <c r="H36" s="37"/>
      <c r="I36" s="37"/>
      <c r="J36" s="37"/>
      <c r="K36" s="36"/>
      <c r="L36" s="37"/>
      <c r="M36" s="37"/>
      <c r="N36" s="37"/>
      <c r="O36" s="37"/>
      <c r="P36" s="36"/>
      <c r="Q36" s="37"/>
      <c r="R36" s="37"/>
      <c r="S36" s="68"/>
    </row>
    <row r="37" spans="1:19" s="42" customFormat="1" x14ac:dyDescent="0.3">
      <c r="B37" s="45" t="s">
        <v>31</v>
      </c>
      <c r="G37" s="43">
        <v>483660</v>
      </c>
      <c r="H37" s="43">
        <v>569140</v>
      </c>
      <c r="I37" s="43">
        <v>634891</v>
      </c>
      <c r="J37" s="43">
        <v>684609</v>
      </c>
      <c r="K37" s="44">
        <f>SUM(G37:J37)</f>
        <v>2372300</v>
      </c>
      <c r="L37" s="43">
        <v>762414</v>
      </c>
      <c r="M37" s="43">
        <v>799480</v>
      </c>
      <c r="N37" s="43">
        <v>834002</v>
      </c>
      <c r="O37" s="43">
        <v>870705</v>
      </c>
      <c r="P37" s="44">
        <f>SUM(L37:O37)</f>
        <v>3266601</v>
      </c>
      <c r="Q37" s="43">
        <v>916754</v>
      </c>
      <c r="R37" s="43"/>
      <c r="S37" s="65"/>
    </row>
    <row r="38" spans="1:19" x14ac:dyDescent="0.3">
      <c r="A38" s="25"/>
      <c r="B38" s="31" t="s">
        <v>73</v>
      </c>
      <c r="D38" s="32"/>
      <c r="E38" s="32"/>
      <c r="G38" s="29">
        <v>3602</v>
      </c>
      <c r="H38" s="29">
        <v>2657</v>
      </c>
      <c r="I38" s="29">
        <v>1012</v>
      </c>
      <c r="J38" s="29">
        <v>1988</v>
      </c>
      <c r="K38" s="27">
        <f>SUM(G38:J38)</f>
        <v>9259</v>
      </c>
      <c r="L38" s="29">
        <v>1361</v>
      </c>
      <c r="M38" s="29">
        <v>1022</v>
      </c>
      <c r="N38" s="29">
        <v>2176</v>
      </c>
      <c r="O38" s="29">
        <v>2581</v>
      </c>
      <c r="P38" s="27">
        <f>SUM(L38:O38)</f>
        <v>7140</v>
      </c>
      <c r="Q38" s="29">
        <v>1087</v>
      </c>
      <c r="R38" s="29"/>
      <c r="S38" s="40"/>
    </row>
    <row r="39" spans="1:19" x14ac:dyDescent="0.3">
      <c r="A39" s="25"/>
      <c r="B39" s="31" t="s">
        <v>74</v>
      </c>
      <c r="D39" s="32"/>
      <c r="E39" s="32"/>
      <c r="G39" s="29">
        <v>19835</v>
      </c>
      <c r="H39" s="29">
        <v>22492</v>
      </c>
      <c r="I39" s="29">
        <v>23504</v>
      </c>
      <c r="J39" s="29">
        <v>25492</v>
      </c>
      <c r="K39" s="27">
        <f>J39</f>
        <v>25492</v>
      </c>
      <c r="L39" s="29">
        <v>26853</v>
      </c>
      <c r="M39" s="29">
        <v>27875</v>
      </c>
      <c r="N39" s="29">
        <v>30051</v>
      </c>
      <c r="O39" s="29">
        <v>32632</v>
      </c>
      <c r="P39" s="27">
        <f>O39</f>
        <v>32632</v>
      </c>
      <c r="Q39" s="29">
        <v>33719</v>
      </c>
      <c r="R39" s="29"/>
      <c r="S39" s="40"/>
    </row>
    <row r="40" spans="1:19" x14ac:dyDescent="0.3">
      <c r="A40" s="25"/>
      <c r="B40" s="31" t="s">
        <v>75</v>
      </c>
      <c r="D40" s="32"/>
      <c r="E40" s="32"/>
      <c r="G40" s="29">
        <v>18034</v>
      </c>
      <c r="H40" s="29">
        <v>21164</v>
      </c>
      <c r="I40" s="29">
        <v>22998</v>
      </c>
      <c r="J40" s="29">
        <v>24498</v>
      </c>
      <c r="K40" s="27">
        <v>21674</v>
      </c>
      <c r="L40" s="29">
        <v>26173</v>
      </c>
      <c r="M40" s="29">
        <v>27364</v>
      </c>
      <c r="N40" s="29">
        <v>28963</v>
      </c>
      <c r="O40" s="29">
        <v>31342</v>
      </c>
      <c r="P40" s="27">
        <v>28461</v>
      </c>
      <c r="Q40" s="29">
        <v>33176</v>
      </c>
      <c r="R40" s="29"/>
      <c r="S40" s="40"/>
    </row>
    <row r="41" spans="1:19" s="42" customFormat="1" x14ac:dyDescent="0.3">
      <c r="B41" s="45" t="s">
        <v>83</v>
      </c>
      <c r="G41" s="50">
        <v>8.94</v>
      </c>
      <c r="H41" s="50">
        <v>8.9600000000000009</v>
      </c>
      <c r="I41" s="50">
        <v>9.1999999999999993</v>
      </c>
      <c r="J41" s="50">
        <v>9.32</v>
      </c>
      <c r="K41" s="51">
        <v>9.1199999999999992</v>
      </c>
      <c r="L41" s="50">
        <v>9.7100000000000009</v>
      </c>
      <c r="M41" s="50">
        <v>9.74</v>
      </c>
      <c r="N41" s="50">
        <v>9.6</v>
      </c>
      <c r="O41" s="50">
        <v>9.26</v>
      </c>
      <c r="P41" s="51">
        <v>9.56</v>
      </c>
      <c r="Q41" s="50">
        <v>9.2100000000000009</v>
      </c>
      <c r="R41" s="50"/>
      <c r="S41" s="66"/>
    </row>
    <row r="42" spans="1:19" s="42" customFormat="1" x14ac:dyDescent="0.3">
      <c r="B42" s="45" t="s">
        <v>76</v>
      </c>
      <c r="G42" s="52">
        <v>-0.05</v>
      </c>
      <c r="H42" s="52">
        <v>-0.04</v>
      </c>
      <c r="I42" s="52">
        <v>-0.01</v>
      </c>
      <c r="J42" s="52">
        <v>0.03</v>
      </c>
      <c r="K42" s="53">
        <v>-0.01</v>
      </c>
      <c r="L42" s="52">
        <v>0.09</v>
      </c>
      <c r="M42" s="52">
        <v>0.09</v>
      </c>
      <c r="N42" s="52">
        <v>0.04</v>
      </c>
      <c r="O42" s="52">
        <v>-0.01</v>
      </c>
      <c r="P42" s="53">
        <v>0.05</v>
      </c>
      <c r="Q42" s="52">
        <v>-5.0999999999999997E-2</v>
      </c>
      <c r="R42" s="52"/>
      <c r="S42" s="67"/>
    </row>
    <row r="43" spans="1:19" s="42" customFormat="1" x14ac:dyDescent="0.3">
      <c r="B43" s="45" t="s">
        <v>77</v>
      </c>
      <c r="G43" s="52">
        <v>-0.03</v>
      </c>
      <c r="H43" s="52">
        <v>0.01</v>
      </c>
      <c r="I43" s="52">
        <v>-0.01</v>
      </c>
      <c r="J43" s="52">
        <v>0</v>
      </c>
      <c r="K43" s="53">
        <v>-0.01</v>
      </c>
      <c r="L43" s="52">
        <v>0.03</v>
      </c>
      <c r="M43" s="52">
        <v>0.01</v>
      </c>
      <c r="N43" s="52">
        <v>0.02</v>
      </c>
      <c r="O43" s="52">
        <v>0.02</v>
      </c>
      <c r="P43" s="53">
        <v>0.02</v>
      </c>
      <c r="Q43" s="52">
        <v>0.01</v>
      </c>
      <c r="R43" s="52"/>
      <c r="S43" s="67"/>
    </row>
    <row r="44" spans="1:19" x14ac:dyDescent="0.3">
      <c r="B44" s="26"/>
      <c r="G44" s="35"/>
      <c r="H44" s="35"/>
      <c r="I44" s="35"/>
      <c r="J44" s="35"/>
      <c r="K44" s="25"/>
      <c r="L44" s="35"/>
      <c r="M44" s="35"/>
      <c r="N44" s="35"/>
      <c r="O44" s="35"/>
      <c r="P44" s="25"/>
      <c r="Q44" s="35"/>
      <c r="R44" s="35"/>
      <c r="S44" s="25"/>
    </row>
    <row r="45" spans="1:19" ht="26.15" customHeight="1" x14ac:dyDescent="0.3">
      <c r="A45" s="25"/>
      <c r="F45" s="136" t="s">
        <v>86</v>
      </c>
      <c r="G45" s="136"/>
      <c r="H45" s="136"/>
      <c r="I45" s="136"/>
      <c r="J45" s="136"/>
      <c r="K45" s="136"/>
      <c r="L45" s="136"/>
      <c r="M45" s="136"/>
      <c r="N45" s="136"/>
      <c r="O45" s="136"/>
      <c r="P45" s="136"/>
      <c r="Q45" s="136"/>
      <c r="R45" s="62"/>
      <c r="S45" s="62"/>
    </row>
    <row r="46" spans="1:19" ht="12.75" customHeight="1" x14ac:dyDescent="0.3">
      <c r="A46" s="25"/>
      <c r="F46" s="136" t="s">
        <v>84</v>
      </c>
      <c r="G46" s="136"/>
      <c r="H46" s="136"/>
      <c r="I46" s="136"/>
      <c r="J46" s="136"/>
      <c r="K46" s="136"/>
      <c r="L46" s="136"/>
      <c r="M46" s="136"/>
      <c r="N46" s="136"/>
      <c r="O46" s="136"/>
      <c r="P46" s="136"/>
      <c r="Q46" s="136"/>
      <c r="R46" s="62"/>
      <c r="S46" s="62"/>
    </row>
    <row r="47" spans="1:19" ht="26.25" customHeight="1" x14ac:dyDescent="0.3">
      <c r="B47" s="26"/>
      <c r="F47" s="136" t="s">
        <v>82</v>
      </c>
      <c r="G47" s="136"/>
      <c r="H47" s="136"/>
      <c r="I47" s="136"/>
      <c r="J47" s="136"/>
      <c r="K47" s="136"/>
      <c r="L47" s="136"/>
      <c r="M47" s="136"/>
      <c r="N47" s="136"/>
      <c r="O47" s="136"/>
      <c r="P47" s="136"/>
      <c r="Q47" s="136"/>
      <c r="R47" s="62"/>
      <c r="S47" s="62"/>
    </row>
    <row r="48" spans="1:19" x14ac:dyDescent="0.3">
      <c r="B48" s="26"/>
      <c r="G48" s="29"/>
      <c r="H48" s="29"/>
      <c r="I48" s="29"/>
      <c r="J48" s="29"/>
      <c r="K48" s="54"/>
      <c r="L48" s="29"/>
      <c r="M48" s="29"/>
      <c r="N48" s="29"/>
      <c r="O48" s="29"/>
      <c r="P48" s="54"/>
      <c r="Q48" s="29"/>
      <c r="R48" s="29"/>
      <c r="S48" s="54"/>
    </row>
    <row r="49" spans="2:19" x14ac:dyDescent="0.3">
      <c r="B49" s="55"/>
      <c r="G49" s="29"/>
      <c r="H49" s="29"/>
      <c r="I49" s="29"/>
      <c r="J49" s="29"/>
      <c r="K49" s="54"/>
      <c r="L49" s="29"/>
      <c r="M49" s="29"/>
      <c r="N49" s="29"/>
      <c r="O49" s="29"/>
      <c r="P49" s="54"/>
      <c r="Q49" s="29"/>
      <c r="R49" s="29"/>
      <c r="S49" s="54"/>
    </row>
    <row r="50" spans="2:19" s="32" customFormat="1" x14ac:dyDescent="0.3"/>
    <row r="51" spans="2:19" s="32" customFormat="1" x14ac:dyDescent="0.3"/>
    <row r="52" spans="2:19" s="32" customFormat="1" x14ac:dyDescent="0.3"/>
    <row r="53" spans="2:19" s="32" customFormat="1" x14ac:dyDescent="0.3"/>
    <row r="54" spans="2:19" s="32" customFormat="1" x14ac:dyDescent="0.3"/>
    <row r="55" spans="2:19" s="32" customFormat="1" x14ac:dyDescent="0.3"/>
    <row r="56" spans="2:19" s="32" customFormat="1" x14ac:dyDescent="0.3"/>
    <row r="57" spans="2:19" s="32" customFormat="1" x14ac:dyDescent="0.3"/>
    <row r="58" spans="2:19" s="32" customFormat="1" x14ac:dyDescent="0.3"/>
    <row r="59" spans="2:19" s="32" customFormat="1" x14ac:dyDescent="0.3"/>
    <row r="60" spans="2:19" s="32" customFormat="1" x14ac:dyDescent="0.3"/>
    <row r="61" spans="2:19" s="32" customFormat="1" x14ac:dyDescent="0.3"/>
    <row r="62" spans="2:19" s="32" customFormat="1" x14ac:dyDescent="0.3"/>
    <row r="63" spans="2:19" s="32" customFormat="1" x14ac:dyDescent="0.3"/>
    <row r="64" spans="2:19" s="32" customFormat="1" x14ac:dyDescent="0.3"/>
    <row r="65" s="32" customFormat="1" x14ac:dyDescent="0.3"/>
    <row r="66" s="32" customFormat="1" x14ac:dyDescent="0.3"/>
    <row r="67" s="32" customFormat="1" x14ac:dyDescent="0.3"/>
    <row r="68" s="32" customFormat="1" x14ac:dyDescent="0.3"/>
    <row r="69" s="32" customFormat="1" x14ac:dyDescent="0.3"/>
    <row r="70" s="32" customFormat="1" x14ac:dyDescent="0.3"/>
    <row r="71" s="32" customFormat="1" x14ac:dyDescent="0.3"/>
    <row r="72" s="32" customFormat="1" x14ac:dyDescent="0.3"/>
    <row r="73" s="32" customFormat="1" x14ac:dyDescent="0.3"/>
    <row r="74" s="32" customFormat="1" x14ac:dyDescent="0.3"/>
    <row r="75" s="32" customFormat="1" x14ac:dyDescent="0.3"/>
    <row r="76" s="32" customFormat="1" x14ac:dyDescent="0.3"/>
    <row r="77" s="32" customFormat="1" x14ac:dyDescent="0.3"/>
    <row r="78" s="32" customFormat="1" x14ac:dyDescent="0.3"/>
    <row r="79" s="32" customFormat="1" x14ac:dyDescent="0.3"/>
    <row r="80" s="32" customFormat="1" x14ac:dyDescent="0.3"/>
    <row r="81" s="32" customFormat="1" x14ac:dyDescent="0.3"/>
    <row r="82" s="32" customFormat="1" x14ac:dyDescent="0.3"/>
    <row r="83" s="32" customFormat="1" x14ac:dyDescent="0.3"/>
    <row r="84" s="32" customFormat="1" x14ac:dyDescent="0.3"/>
    <row r="85" s="32" customFormat="1" x14ac:dyDescent="0.3"/>
    <row r="86" s="32" customFormat="1" x14ac:dyDescent="0.3"/>
    <row r="87" s="32" customFormat="1" x14ac:dyDescent="0.3"/>
    <row r="88" s="32" customFormat="1" x14ac:dyDescent="0.3"/>
    <row r="89" s="32" customFormat="1" x14ac:dyDescent="0.3"/>
    <row r="90" s="32" customFormat="1" x14ac:dyDescent="0.3"/>
    <row r="91" s="32" customFormat="1" x14ac:dyDescent="0.3"/>
    <row r="92" s="32" customFormat="1" x14ac:dyDescent="0.3"/>
    <row r="93" s="32" customFormat="1" x14ac:dyDescent="0.3"/>
    <row r="94" s="32" customFormat="1" x14ac:dyDescent="0.3"/>
    <row r="95" s="32" customFormat="1" x14ac:dyDescent="0.3"/>
    <row r="96" s="32" customFormat="1" x14ac:dyDescent="0.3"/>
    <row r="97" s="32" customFormat="1" x14ac:dyDescent="0.3"/>
    <row r="98" s="32" customFormat="1" x14ac:dyDescent="0.3"/>
    <row r="99" s="32" customFormat="1" x14ac:dyDescent="0.3"/>
    <row r="100" s="32" customFormat="1" x14ac:dyDescent="0.3"/>
    <row r="101" s="32" customFormat="1" x14ac:dyDescent="0.3"/>
    <row r="102" s="32" customFormat="1" x14ac:dyDescent="0.3"/>
    <row r="103" s="32" customFormat="1" x14ac:dyDescent="0.3"/>
    <row r="104" s="32" customFormat="1" x14ac:dyDescent="0.3"/>
    <row r="105" s="32" customFormat="1" x14ac:dyDescent="0.3"/>
    <row r="106" s="32" customFormat="1" x14ac:dyDescent="0.3"/>
    <row r="107" s="32" customFormat="1" x14ac:dyDescent="0.3"/>
    <row r="108" s="32" customFormat="1" x14ac:dyDescent="0.3"/>
    <row r="109" s="32" customFormat="1" x14ac:dyDescent="0.3"/>
    <row r="110" s="32" customFormat="1" x14ac:dyDescent="0.3"/>
    <row r="111" s="32" customFormat="1" x14ac:dyDescent="0.3"/>
    <row r="112" s="32" customFormat="1" x14ac:dyDescent="0.3"/>
    <row r="113" s="32" customFormat="1" x14ac:dyDescent="0.3"/>
    <row r="114" s="32" customFormat="1" x14ac:dyDescent="0.3"/>
    <row r="115" s="32" customFormat="1" x14ac:dyDescent="0.3"/>
    <row r="116" s="32" customFormat="1" x14ac:dyDescent="0.3"/>
    <row r="117" s="32" customFormat="1" x14ac:dyDescent="0.3"/>
    <row r="118" s="32" customFormat="1" x14ac:dyDescent="0.3"/>
    <row r="119" s="32" customFormat="1" x14ac:dyDescent="0.3"/>
    <row r="120" s="32" customFormat="1" x14ac:dyDescent="0.3"/>
    <row r="121" s="32" customFormat="1" x14ac:dyDescent="0.3"/>
    <row r="122" s="32" customFormat="1" x14ac:dyDescent="0.3"/>
    <row r="123" s="32" customFormat="1" x14ac:dyDescent="0.3"/>
    <row r="124" s="32" customFormat="1" x14ac:dyDescent="0.3"/>
    <row r="125" s="32" customFormat="1" x14ac:dyDescent="0.3"/>
    <row r="126" s="32" customFormat="1" x14ac:dyDescent="0.3"/>
    <row r="127" s="32" customFormat="1" x14ac:dyDescent="0.3"/>
    <row r="128" s="32" customFormat="1" x14ac:dyDescent="0.3"/>
    <row r="129" s="32" customFormat="1" x14ac:dyDescent="0.3"/>
    <row r="130" s="32" customFormat="1" x14ac:dyDescent="0.3"/>
    <row r="131" s="32" customFormat="1" x14ac:dyDescent="0.3"/>
    <row r="132" s="32" customFormat="1" x14ac:dyDescent="0.3"/>
    <row r="133" s="32" customFormat="1" x14ac:dyDescent="0.3"/>
    <row r="134" s="32" customFormat="1" x14ac:dyDescent="0.3"/>
    <row r="135" s="32" customFormat="1" x14ac:dyDescent="0.3"/>
    <row r="136" s="32" customFormat="1" x14ac:dyDescent="0.3"/>
    <row r="137" s="32" customFormat="1" x14ac:dyDescent="0.3"/>
    <row r="138" s="32" customFormat="1" x14ac:dyDescent="0.3"/>
    <row r="139" s="32" customFormat="1" x14ac:dyDescent="0.3"/>
    <row r="140" s="32" customFormat="1" x14ac:dyDescent="0.3"/>
    <row r="141" s="32" customFormat="1" x14ac:dyDescent="0.3"/>
    <row r="142" s="32" customFormat="1" x14ac:dyDescent="0.3"/>
    <row r="143" s="32" customFormat="1" x14ac:dyDescent="0.3"/>
    <row r="144" s="32" customFormat="1" x14ac:dyDescent="0.3"/>
    <row r="145" s="32" customFormat="1" x14ac:dyDescent="0.3"/>
    <row r="146" s="32" customFormat="1" x14ac:dyDescent="0.3"/>
    <row r="147" s="32" customFormat="1" x14ac:dyDescent="0.3"/>
    <row r="148" s="32" customFormat="1" x14ac:dyDescent="0.3"/>
    <row r="149" s="32" customFormat="1" x14ac:dyDescent="0.3"/>
    <row r="150" s="32" customFormat="1" x14ac:dyDescent="0.3"/>
    <row r="151" s="32" customFormat="1" x14ac:dyDescent="0.3"/>
    <row r="152" s="32" customFormat="1" x14ac:dyDescent="0.3"/>
    <row r="153" s="32" customFormat="1" x14ac:dyDescent="0.3"/>
    <row r="154" s="32" customFormat="1" x14ac:dyDescent="0.3"/>
    <row r="155" s="32" customFormat="1" x14ac:dyDescent="0.3"/>
    <row r="156" s="32" customFormat="1" x14ac:dyDescent="0.3"/>
    <row r="157" s="32" customFormat="1" x14ac:dyDescent="0.3"/>
    <row r="158" s="32" customFormat="1" x14ac:dyDescent="0.3"/>
    <row r="159" s="32" customFormat="1" x14ac:dyDescent="0.3"/>
    <row r="160" s="32" customFormat="1" x14ac:dyDescent="0.3"/>
    <row r="161" s="32" customFormat="1" x14ac:dyDescent="0.3"/>
    <row r="162" s="32" customFormat="1" x14ac:dyDescent="0.3"/>
    <row r="163" s="32" customFormat="1" x14ac:dyDescent="0.3"/>
    <row r="164" s="32" customFormat="1" x14ac:dyDescent="0.3"/>
    <row r="165" s="32" customFormat="1" x14ac:dyDescent="0.3"/>
    <row r="166" s="32" customFormat="1" x14ac:dyDescent="0.3"/>
    <row r="167" s="32" customFormat="1" x14ac:dyDescent="0.3"/>
    <row r="168" s="32" customFormat="1" x14ac:dyDescent="0.3"/>
    <row r="169" s="32" customFormat="1" x14ac:dyDescent="0.3"/>
    <row r="170" s="32" customFormat="1" x14ac:dyDescent="0.3"/>
    <row r="171" s="32" customFormat="1" x14ac:dyDescent="0.3"/>
    <row r="172" s="32" customFormat="1" x14ac:dyDescent="0.3"/>
    <row r="173" s="32" customFormat="1" x14ac:dyDescent="0.3"/>
    <row r="174" s="32" customFormat="1" x14ac:dyDescent="0.3"/>
    <row r="175" s="32" customFormat="1" x14ac:dyDescent="0.3"/>
    <row r="176" s="32" customFormat="1" x14ac:dyDescent="0.3"/>
    <row r="177" s="32" customFormat="1" x14ac:dyDescent="0.3"/>
    <row r="178" s="32" customFormat="1" x14ac:dyDescent="0.3"/>
    <row r="179" s="32" customFormat="1" x14ac:dyDescent="0.3"/>
  </sheetData>
  <mergeCells count="6">
    <mergeCell ref="L5:O5"/>
    <mergeCell ref="A4:F4"/>
    <mergeCell ref="G5:J5"/>
    <mergeCell ref="F47:Q47"/>
    <mergeCell ref="F46:Q46"/>
    <mergeCell ref="F45:Q45"/>
  </mergeCells>
  <pageMargins left="0.28000000000000003" right="0.23" top="0.23" bottom="0.17" header="0.17" footer="0.17"/>
  <pageSetup scale="61"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4</vt:i4>
      </vt:variant>
    </vt:vector>
  </HeadingPairs>
  <TitlesOfParts>
    <vt:vector size="9" baseType="lpstr">
      <vt:lpstr>Main</vt:lpstr>
      <vt:lpstr>Model</vt:lpstr>
      <vt:lpstr>Balance Sheet</vt:lpstr>
      <vt:lpstr>Cashflow</vt:lpstr>
      <vt:lpstr>Regional Information</vt:lpstr>
      <vt:lpstr>'Balance Sheet'!Print_Area</vt:lpstr>
      <vt:lpstr>Cashflow!Print_Area</vt:lpstr>
      <vt:lpstr>Model!Print_Area</vt:lpstr>
      <vt:lpstr>'Regional Information'!Print_Area</vt:lpstr>
    </vt:vector>
  </TitlesOfParts>
  <Company>Nasdaq Omx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Ryan Manuel</dc:creator>
  <cp:lastModifiedBy>Martin Shkreli</cp:lastModifiedBy>
  <cp:lastPrinted>2019-04-14T19:34:50Z</cp:lastPrinted>
  <dcterms:created xsi:type="dcterms:W3CDTF">2018-04-16T20:04:10Z</dcterms:created>
  <dcterms:modified xsi:type="dcterms:W3CDTF">2025-11-02T00:40:29Z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ies>
</file>