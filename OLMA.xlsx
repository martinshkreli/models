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CC02662-6B7E-4601-A5EC-DB0033900B24}" xr6:coauthVersionLast="47" xr6:coauthVersionMax="47" xr10:uidLastSave="{00000000-0000-0000-0000-000000000000}"/>
  <bookViews>
    <workbookView xWindow="49190" yWindow="2640" windowWidth="23470" windowHeight="16810" activeTab="1" xr2:uid="{428DBB0D-56F2-45F6-8D8A-4DBD5549A836}"/>
  </bookViews>
  <sheets>
    <sheet name="Main" sheetId="1" r:id="rId1"/>
    <sheet name="palazestra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5" i="1"/>
  <c r="J4" i="1"/>
  <c r="J3" i="1"/>
</calcChain>
</file>

<file path=xl/sharedStrings.xml><?xml version="1.0" encoding="utf-8"?>
<sst xmlns="http://schemas.openxmlformats.org/spreadsheetml/2006/main" count="36" uniqueCount="34">
  <si>
    <t>Price</t>
  </si>
  <si>
    <t>Shares</t>
  </si>
  <si>
    <t>MC</t>
  </si>
  <si>
    <t>Cash</t>
  </si>
  <si>
    <t>Debt</t>
  </si>
  <si>
    <t>EV</t>
  </si>
  <si>
    <t>Q325</t>
  </si>
  <si>
    <t>Name</t>
  </si>
  <si>
    <t xml:space="preserve">palazestrant </t>
  </si>
  <si>
    <t>OP-3136</t>
  </si>
  <si>
    <t>Main</t>
  </si>
  <si>
    <t>Brand</t>
  </si>
  <si>
    <t>Generic</t>
  </si>
  <si>
    <t>palazestrant</t>
  </si>
  <si>
    <t>Competition</t>
  </si>
  <si>
    <t>Faslodex (fulvestrant)</t>
  </si>
  <si>
    <t>rintodestrant</t>
  </si>
  <si>
    <t xml:space="preserve">Phase III "SERENA-6" camizestrant </t>
  </si>
  <si>
    <t>HR=0.44, 16.0mo PFS vs. 9.2mo SOC</t>
  </si>
  <si>
    <t>amcenestrant - discontinued</t>
  </si>
  <si>
    <t>Inluriyo, imlunestrant (LLY)</t>
  </si>
  <si>
    <t>vepdegestrant ARVN</t>
  </si>
  <si>
    <t>Orserdu (elacestrant, Menarini), $200m revenue?</t>
  </si>
  <si>
    <t>camizestrant (AZN, filing)</t>
  </si>
  <si>
    <t>giredestrant (Roche, filing)</t>
  </si>
  <si>
    <t>Phase III "OPERA-01"</t>
  </si>
  <si>
    <t>enrolling</t>
  </si>
  <si>
    <t>Phase III "OPERA-02"</t>
  </si>
  <si>
    <t>just initiated</t>
  </si>
  <si>
    <t>OP-1250</t>
  </si>
  <si>
    <t>elacestrant</t>
  </si>
  <si>
    <t>giredestrant</t>
  </si>
  <si>
    <t>Chemistry</t>
  </si>
  <si>
    <t>8VV1 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</si>
</sst>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/>
    <xf numFmtId="4" fontId="1" fillId="0" borderId="0" xfId="0" applyNumberFormat="1" applyFont="1"/>
    <xf numFmtId="0" fontId="1" fillId="0" borderId="1" xfId="0" quotePrefix="1" applyFont="1" applyBorder="1"/>
    <xf numFmtId="0" fontId="1" fillId="0" borderId="0" xfId="0" applyFont="1" applyBorder="1"/>
    <xf numFmtId="0" fontId="1" fillId="0" borderId="2" xfId="0" applyFont="1" applyBorder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quotePrefix="1" applyFont="1"/>
    <xf numFmtId="0" fontId="2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166071</xdr:colOff>
      <xdr:row>4</xdr:row>
      <xdr:rowOff>104140</xdr:rowOff>
    </xdr:from>
    <xdr:to>
      <xdr:col>8</xdr:col>
      <xdr:colOff>121892</xdr:colOff>
      <xdr:row>11</xdr:row>
      <xdr:rowOff>133309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EF5D7-3BF6-DD53-8446-B170B42D5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111" y="744220"/>
          <a:ext cx="1175021" cy="1149309"/>
        </a:xfrm>
        <a:prstGeom prst="rect">
          <a:avLst/>
        </a:prstGeom>
      </xdr:spPr>
    </xdr:pic>
    <xdr:clientData/>
  </xdr:twoCellAnchor>
  <xdr:twoCellAnchor editAs="oneCell">
    <xdr:from>
      <xdr:col>6</xdr:col>
      <xdr:colOff>142241</xdr:colOff>
      <xdr:row>12</xdr:row>
      <xdr:rowOff>134620</xdr:rowOff>
    </xdr:from>
    <xdr:to>
      <xdr:col>8</xdr:col>
      <xdr:colOff>143831</xdr:colOff>
      <xdr:row>19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DBE726-3475-2FDE-F45E-2489B4ED2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37281" y="2054860"/>
          <a:ext cx="1220790" cy="995680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3</xdr:row>
      <xdr:rowOff>157975</xdr:rowOff>
    </xdr:from>
    <xdr:to>
      <xdr:col>11</xdr:col>
      <xdr:colOff>141515</xdr:colOff>
      <xdr:row>12</xdr:row>
      <xdr:rowOff>125545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DF6E9B-7FE9-2170-8E7E-58A30C3BA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19487" y="636946"/>
          <a:ext cx="1360714" cy="1404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7ECD-4332-4878-8390-98828B6AAFE3}">
  <dimension ref="B2:K7"/>
  <sheetViews>
    <sheetView zoomScale="190" zoomScaleNormal="190" workbookViewId="0">
      <selection activeCell="C4" sqref="C4"/>
    </sheetView>
  </sheetViews>
  <sheetFormatPr defaultRowHeight="12.5" x14ac:dyDescent="0.25"/>
  <cols>
    <col min="1" max="1" width="8.7265625" style="4"/>
    <col min="2" max="2" width="10.7265625" style="4" customWidth="1"/>
    <col min="3" max="16384" width="8.7265625" style="4"/>
  </cols>
  <sheetData>
    <row r="2" spans="2:11" x14ac:dyDescent="0.25">
      <c r="B2" s="1" t="s">
        <v>7</v>
      </c>
      <c r="C2" s="2"/>
      <c r="D2" s="2"/>
      <c r="E2" s="2"/>
      <c r="F2" s="2"/>
      <c r="G2" s="3"/>
      <c r="I2" s="4" t="s">
        <v>0</v>
      </c>
      <c r="J2" s="5">
        <v>20</v>
      </c>
    </row>
    <row r="3" spans="2:11" x14ac:dyDescent="0.25">
      <c r="B3" s="6" t="s">
        <v>8</v>
      </c>
      <c r="C3" s="7"/>
      <c r="D3" s="7"/>
      <c r="E3" s="7"/>
      <c r="F3" s="7"/>
      <c r="G3" s="8"/>
      <c r="I3" s="4" t="s">
        <v>1</v>
      </c>
      <c r="J3" s="9">
        <f>68.659923+17.094163</f>
        <v>85.754086000000001</v>
      </c>
      <c r="K3" s="10" t="s">
        <v>6</v>
      </c>
    </row>
    <row r="4" spans="2:11" x14ac:dyDescent="0.25">
      <c r="B4" s="11" t="s">
        <v>9</v>
      </c>
      <c r="C4" s="7"/>
      <c r="D4" s="7"/>
      <c r="E4" s="7"/>
      <c r="F4" s="7"/>
      <c r="G4" s="8"/>
      <c r="I4" s="4" t="s">
        <v>2</v>
      </c>
      <c r="J4" s="9">
        <f>+J2*J3</f>
        <v>1715.0817200000001</v>
      </c>
    </row>
    <row r="5" spans="2:11" x14ac:dyDescent="0.25">
      <c r="B5" s="11"/>
      <c r="C5" s="7"/>
      <c r="D5" s="7"/>
      <c r="E5" s="7"/>
      <c r="F5" s="7"/>
      <c r="G5" s="8"/>
      <c r="I5" s="4" t="s">
        <v>3</v>
      </c>
      <c r="J5" s="9">
        <f>35.26+293.7</f>
        <v>328.96</v>
      </c>
      <c r="K5" s="10" t="s">
        <v>6</v>
      </c>
    </row>
    <row r="6" spans="2:11" x14ac:dyDescent="0.25">
      <c r="B6" s="11"/>
      <c r="C6" s="7"/>
      <c r="D6" s="7"/>
      <c r="E6" s="7"/>
      <c r="F6" s="7"/>
      <c r="G6" s="8"/>
      <c r="I6" s="4" t="s">
        <v>4</v>
      </c>
      <c r="J6" s="9">
        <v>3</v>
      </c>
      <c r="K6" s="10" t="s">
        <v>6</v>
      </c>
    </row>
    <row r="7" spans="2:11" x14ac:dyDescent="0.25">
      <c r="B7" s="12"/>
      <c r="C7" s="13"/>
      <c r="D7" s="13"/>
      <c r="E7" s="13"/>
      <c r="F7" s="13"/>
      <c r="G7" s="14"/>
      <c r="I7" s="4" t="s">
        <v>5</v>
      </c>
      <c r="J7" s="9">
        <f>+J4-J5+J6</f>
        <v>1389.1217200000001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7E27-DD8C-4AEA-90EA-7754CF643B26}">
  <dimension ref="A1:J22"/>
  <sheetViews>
    <sheetView tabSelected="1" zoomScale="175" zoomScaleNormal="175" workbookViewId="0">
      <selection activeCell="A13" sqref="A13"/>
    </sheetView>
  </sheetViews>
  <sheetFormatPr defaultRowHeight="12.5" x14ac:dyDescent="0.25"/>
  <cols>
    <col min="1" max="1" width="4.6328125" style="4" bestFit="1" customWidth="1"/>
    <col min="2" max="2" width="10.453125" style="4" bestFit="1" customWidth="1"/>
    <col min="3" max="16384" width="8.7265625" style="4"/>
  </cols>
  <sheetData>
    <row r="1" spans="1:10" x14ac:dyDescent="0.25">
      <c r="A1" s="17" t="s">
        <v>10</v>
      </c>
    </row>
    <row r="2" spans="1:10" x14ac:dyDescent="0.25">
      <c r="B2" s="4" t="s">
        <v>11</v>
      </c>
      <c r="C2" s="4" t="s">
        <v>29</v>
      </c>
    </row>
    <row r="3" spans="1:10" x14ac:dyDescent="0.25">
      <c r="B3" s="4" t="s">
        <v>12</v>
      </c>
      <c r="C3" s="15" t="s">
        <v>13</v>
      </c>
    </row>
    <row r="4" spans="1:10" x14ac:dyDescent="0.25">
      <c r="B4" s="4" t="s">
        <v>14</v>
      </c>
      <c r="C4" s="4" t="s">
        <v>22</v>
      </c>
    </row>
    <row r="5" spans="1:10" x14ac:dyDescent="0.25">
      <c r="C5" s="4" t="s">
        <v>15</v>
      </c>
    </row>
    <row r="6" spans="1:10" x14ac:dyDescent="0.25">
      <c r="C6" s="4" t="s">
        <v>23</v>
      </c>
    </row>
    <row r="7" spans="1:10" x14ac:dyDescent="0.25">
      <c r="C7" s="4" t="s">
        <v>24</v>
      </c>
    </row>
    <row r="8" spans="1:10" x14ac:dyDescent="0.25">
      <c r="C8" s="4" t="s">
        <v>20</v>
      </c>
    </row>
    <row r="9" spans="1:10" x14ac:dyDescent="0.25">
      <c r="C9" s="4" t="s">
        <v>16</v>
      </c>
    </row>
    <row r="10" spans="1:10" x14ac:dyDescent="0.25">
      <c r="C10" s="4" t="s">
        <v>19</v>
      </c>
    </row>
    <row r="11" spans="1:10" x14ac:dyDescent="0.25">
      <c r="C11" s="4" t="s">
        <v>21</v>
      </c>
    </row>
    <row r="12" spans="1:10" x14ac:dyDescent="0.25">
      <c r="B12" s="4" t="s">
        <v>32</v>
      </c>
      <c r="C12" s="15" t="s">
        <v>33</v>
      </c>
    </row>
    <row r="14" spans="1:10" ht="13" x14ac:dyDescent="0.3">
      <c r="C14" s="16" t="s">
        <v>17</v>
      </c>
      <c r="J14" s="4" t="s">
        <v>31</v>
      </c>
    </row>
    <row r="15" spans="1:10" x14ac:dyDescent="0.25">
      <c r="C15" s="4" t="s">
        <v>18</v>
      </c>
    </row>
    <row r="18" spans="3:7" ht="13" x14ac:dyDescent="0.3">
      <c r="C18" s="16" t="s">
        <v>25</v>
      </c>
    </row>
    <row r="19" spans="3:7" x14ac:dyDescent="0.25">
      <c r="C19" s="4" t="s">
        <v>26</v>
      </c>
    </row>
    <row r="20" spans="3:7" x14ac:dyDescent="0.25">
      <c r="G20" s="4" t="s">
        <v>30</v>
      </c>
    </row>
    <row r="21" spans="3:7" ht="13" x14ac:dyDescent="0.3">
      <c r="C21" s="16" t="s">
        <v>27</v>
      </c>
    </row>
    <row r="22" spans="3:7" x14ac:dyDescent="0.25">
      <c r="C22" s="4" t="s">
        <v>28</v>
      </c>
    </row>
  </sheetData>
  <hyperlinks>
    <hyperlink ref="A1" location="Main!A1" display="Main" xr:uid="{A6FAD713-D59D-4592-AE4C-C159504B233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palazestrant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2025-11-18T14:30:17Z</dcterms:created>
  <dcterms:modified xsi:type="dcterms:W3CDTF">2025-11-18T16:11:54Z</dcterms:modified>
</cp:coreProperties>
</file>