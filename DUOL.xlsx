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DE02FDB9-A0F6-4FEA-A28E-D16E124956A2}" xr6:coauthVersionLast="47" xr6:coauthVersionMax="47" xr10:uidLastSave="{00000000-0000-0000-0000-000000000000}"/>
  <bookViews>
    <workbookView xWindow="51900" yWindow="4100" windowWidth="25230" windowHeight="15720" activeTab="1" xr2:uid="{C0AECCA3-B3AD-471B-A92E-8F2DA540C85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2" l="1"/>
  <c r="AJ2" i="2"/>
  <c r="AI2" i="2"/>
  <c r="AH2" i="2"/>
  <c r="S10" i="2"/>
  <c r="T10" i="2"/>
  <c r="Z8" i="2"/>
  <c r="Z22" i="2" s="1"/>
  <c r="Y8" i="2"/>
  <c r="X8" i="2"/>
  <c r="X22" i="2" s="1"/>
  <c r="W8" i="2"/>
  <c r="Y22" i="2"/>
  <c r="W22" i="2"/>
  <c r="Z21" i="2"/>
  <c r="Y21" i="2"/>
  <c r="X21" i="2"/>
  <c r="W21" i="2"/>
  <c r="V22" i="2"/>
  <c r="U22" i="2"/>
  <c r="T22" i="2"/>
  <c r="S22" i="2"/>
  <c r="V21" i="2"/>
  <c r="U21" i="2"/>
  <c r="T21" i="2"/>
  <c r="S21" i="2"/>
  <c r="U17" i="2"/>
  <c r="U19" i="2" s="1"/>
  <c r="V14" i="2"/>
  <c r="V15" i="2" s="1"/>
  <c r="U14" i="2"/>
  <c r="U15" i="2" s="1"/>
  <c r="T14" i="2"/>
  <c r="T15" i="2" s="1"/>
  <c r="T17" i="2" s="1"/>
  <c r="T19" i="2" s="1"/>
  <c r="S14" i="2"/>
  <c r="S15" i="2" s="1"/>
  <c r="S17" i="2" s="1"/>
  <c r="S19" i="2" s="1"/>
  <c r="U10" i="2"/>
  <c r="AF8" i="2" l="1"/>
  <c r="Q21" i="2"/>
  <c r="P21" i="2"/>
  <c r="O21" i="2"/>
  <c r="M16" i="2"/>
  <c r="M14" i="2"/>
  <c r="M10" i="2"/>
  <c r="Q16" i="2"/>
  <c r="Q14" i="2"/>
  <c r="Q10" i="2"/>
  <c r="Q22" i="2" s="1"/>
  <c r="L15" i="2"/>
  <c r="L16" i="2"/>
  <c r="L14" i="2"/>
  <c r="L10" i="2"/>
  <c r="P16" i="2"/>
  <c r="P14" i="2"/>
  <c r="P10" i="2"/>
  <c r="P22" i="2" s="1"/>
  <c r="K16" i="2"/>
  <c r="K14" i="2"/>
  <c r="K10" i="2"/>
  <c r="K22" i="2" s="1"/>
  <c r="O16" i="2"/>
  <c r="O14" i="2"/>
  <c r="O10" i="2"/>
  <c r="O22" i="2" s="1"/>
  <c r="AB16" i="2"/>
  <c r="AC21" i="2"/>
  <c r="AB14" i="2"/>
  <c r="AB10" i="2"/>
  <c r="AB22" i="2" s="1"/>
  <c r="AD21" i="2"/>
  <c r="AC16" i="2"/>
  <c r="AC14" i="2"/>
  <c r="AC10" i="2"/>
  <c r="AC22" i="2" s="1"/>
  <c r="AE21" i="2"/>
  <c r="AE16" i="2"/>
  <c r="AD16" i="2"/>
  <c r="AD14" i="2"/>
  <c r="AE14" i="2"/>
  <c r="AE10" i="2"/>
  <c r="AE15" i="2" s="1"/>
  <c r="AD10" i="2"/>
  <c r="AD22" i="2" s="1"/>
  <c r="AD2" i="2"/>
  <c r="AE2" i="2" s="1"/>
  <c r="AF2" i="2" s="1"/>
  <c r="R21" i="2"/>
  <c r="N16" i="2"/>
  <c r="N14" i="2"/>
  <c r="N10" i="2"/>
  <c r="N22" i="2" s="1"/>
  <c r="R16" i="2"/>
  <c r="R14" i="2"/>
  <c r="R10" i="2"/>
  <c r="R15" i="2" s="1"/>
  <c r="L4" i="1"/>
  <c r="L7" i="1" s="1"/>
  <c r="L5" i="1"/>
  <c r="R22" i="2" l="1"/>
  <c r="AE22" i="2"/>
  <c r="R17" i="2"/>
  <c r="R19" i="2" s="1"/>
  <c r="M15" i="2"/>
  <c r="M17" i="2" s="1"/>
  <c r="M19" i="2" s="1"/>
  <c r="M22" i="2"/>
  <c r="Q15" i="2"/>
  <c r="Q17" i="2" s="1"/>
  <c r="Q19" i="2" s="1"/>
  <c r="L17" i="2"/>
  <c r="L19" i="2" s="1"/>
  <c r="L22" i="2"/>
  <c r="P15" i="2"/>
  <c r="P17" i="2" s="1"/>
  <c r="P19" i="2" s="1"/>
  <c r="K15" i="2"/>
  <c r="K17" i="2" s="1"/>
  <c r="K19" i="2" s="1"/>
  <c r="O15" i="2"/>
  <c r="O17" i="2" s="1"/>
  <c r="O19" i="2" s="1"/>
  <c r="AB15" i="2"/>
  <c r="AB17" i="2" s="1"/>
  <c r="AB19" i="2" s="1"/>
  <c r="AC15" i="2"/>
  <c r="AC17" i="2" s="1"/>
  <c r="AC19" i="2" s="1"/>
  <c r="AD15" i="2"/>
  <c r="AD17" i="2" s="1"/>
  <c r="AD19" i="2" s="1"/>
  <c r="AE17" i="2"/>
  <c r="AE19" i="2" s="1"/>
  <c r="N15" i="2"/>
  <c r="N17" i="2" s="1"/>
  <c r="N1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tc={81908061-17D7-458A-9230-C06AEE658B37}</author>
    <author>tc={69F3413F-4B0C-41CB-BBC3-35C12386EE30}</author>
  </authors>
  <commentList>
    <comment ref="S8" authorId="0" shapeId="0" xr:uid="{81908061-17D7-458A-9230-C06AEE658B37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220.5-223.5</t>
      </text>
    </comment>
    <comment ref="AF8" authorId="1" shapeId="0" xr:uid="{69F3413F-4B0C-41CB-BBC3-35C12386EE30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962.5-978.5</t>
      </text>
    </comment>
  </commentList>
</comments>
</file>

<file path=xl/sharedStrings.xml><?xml version="1.0" encoding="utf-8"?>
<sst xmlns="http://schemas.openxmlformats.org/spreadsheetml/2006/main" count="54" uniqueCount="51">
  <si>
    <t>Price</t>
  </si>
  <si>
    <t>Shares</t>
  </si>
  <si>
    <t>MC</t>
  </si>
  <si>
    <t>Cash</t>
  </si>
  <si>
    <t>Debt</t>
  </si>
  <si>
    <t>EV</t>
  </si>
  <si>
    <t>Main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</si>
  <si>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</si>
  <si>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</si>
  <si>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</si>
  <si>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</si>
  <si>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</si>
  <si>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</si>
  <si>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</si>
  <si>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</si>
  <si>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</si>
  <si>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</si>
  <si>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</si>
  <si>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</si>
  <si>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</si>
  <si>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Q121</t>
  </si>
  <si>
    <t>Q221</t>
  </si>
  <si>
    <t>Q321</t>
  </si>
  <si>
    <t>Q421</t>
  </si>
  <si>
    <t>DAU</t>
  </si>
  <si>
    <t>Q125</t>
  </si>
  <si>
    <t>Q225</t>
  </si>
  <si>
    <t>Q325</t>
  </si>
  <si>
    <t>Q425</t>
  </si>
  <si>
    <t>COGS</t>
  </si>
  <si>
    <t>Gross Profit</t>
  </si>
  <si>
    <t>R&amp;D</t>
  </si>
  <si>
    <t>S&amp;M</t>
  </si>
  <si>
    <t>G&amp;A</t>
  </si>
  <si>
    <t>Operating Expenses</t>
  </si>
  <si>
    <t>Operating Income</t>
  </si>
  <si>
    <t>Interest</t>
  </si>
  <si>
    <t>Net Income</t>
  </si>
  <si>
    <t>Taxes</t>
  </si>
  <si>
    <t>Pretax Income</t>
  </si>
  <si>
    <t>Revenue y/y</t>
  </si>
  <si>
    <t>CFFO</t>
  </si>
  <si>
    <t>Gross Margin</t>
  </si>
  <si>
    <t>CX</t>
  </si>
  <si>
    <t>MAU</t>
  </si>
  <si>
    <t>Paid</t>
  </si>
  <si>
    <t>Bookings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</si>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</sst>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1D36124-9604-46F3-9BDC-5C6FD95A30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43793</xdr:colOff>
      <xdr:row>0</xdr:row>
      <xdr:rowOff>30655</xdr:rowOff>
    </xdr:from>
    <xdr:to>
      <xdr:col>21</xdr:col>
      <xdr:colOff>43793</xdr:colOff>
      <xdr:row>38</xdr:row>
      <xdr:rowOff>74448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20558AF-A63F-2B83-7F51-E223A0F09921}"/>
            </a:ext>
          </a:extLst>
        </xdr:cNvPr>
        <xdr:cNvCxnSpPr/>
      </xdr:nvCxnSpPr>
      <xdr:spPr>
        <a:xfrm>
          <a:off x="13720379" y="30655"/>
          <a:ext cx="0" cy="604344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3EBA10F0-3CFD-46F4-9F78-60DC26E601D8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8" dT="2025-03-03T17:48:47.10" personId="{3EBA10F0-3CFD-46F4-9F78-60DC26E601D8}" id="{81908061-17D7-458A-9230-C06AEE658B37}">
    <text>Q4 guidance: 220.5-223.5</text>
  </threadedComment>
  <threadedComment ref="AF8" dT="2025-03-03T19:46:14.47" personId="{3EBA10F0-3CFD-46F4-9F78-60DC26E601D8}" id="{69F3413F-4B0C-41CB-BBC3-35C12386EE30}">
    <text>Q4 guidance: 962.5-978.5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41CD-520E-4EB3-82AE-8D75A0F49201}">
  <dimension ref="K2:M7"/>
  <sheetViews>
    <sheetView zoomScale="145" zoomScaleNormal="145" workbookViewId="0">
      <selection activeCell="L3" sqref="L3"/>
    </sheetView>
  </sheetViews>
  <sheetFormatPr defaultRowHeight="12.5" x14ac:dyDescent="0.25"/>
  <sheetData>
    <row r="2" spans="11:13" x14ac:dyDescent="0.25">
      <c r="K2" t="s">
        <v>0</v>
      </c>
      <c r="L2" s="1">
        <v>188</v>
      </c>
    </row>
    <row r="3" spans="11:13" x14ac:dyDescent="0.25">
      <c r="K3" t="s">
        <v>1</v>
      </c>
      <c r="L3" s="3">
        <v>49.5</v>
      </c>
      <c r="M3" s="2" t="s">
        <v>19</v>
      </c>
    </row>
    <row r="4" spans="11:13" x14ac:dyDescent="0.25">
      <c r="K4" t="s">
        <v>2</v>
      </c>
      <c r="L4" s="3">
        <f>+L2*L3</f>
        <v>9306</v>
      </c>
      <c r="M4" s="2"/>
    </row>
    <row r="5" spans="11:13" x14ac:dyDescent="0.25">
      <c r="K5" t="s">
        <v>3</v>
      </c>
      <c r="L5" s="3">
        <f>785.791+91.854</f>
        <v>877.6450000000001</v>
      </c>
      <c r="M5" s="2" t="s">
        <v>19</v>
      </c>
    </row>
    <row r="6" spans="11:13" x14ac:dyDescent="0.25">
      <c r="K6" t="s">
        <v>4</v>
      </c>
      <c r="L6" s="3">
        <v>0</v>
      </c>
      <c r="M6" s="2" t="s">
        <v>19</v>
      </c>
    </row>
    <row r="7" spans="11:13" x14ac:dyDescent="0.25">
      <c r="K7" t="s">
        <v>5</v>
      </c>
      <c r="L7" s="3">
        <f>+L4-L5+L6</f>
        <v>8428.3549999999996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AF94-474A-431F-8B5F-D30878AF2E4D}">
  <dimension ref="A1:AK25"/>
  <sheetViews>
    <sheetView tabSelected="1" zoomScaleNormal="10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F8" sqref="AF8"/>
    </sheetView>
  </sheetViews>
  <sheetFormatPr defaultRowHeight="12.5" x14ac:dyDescent="0.25"/>
  <cols>
    <col min="1" max="1" width="5" bestFit="1" customWidth="1"/>
    <col min="2" max="2" width="18.1796875" bestFit="1" customWidth="1"/>
    <col min="3" max="18" width="9.1796875" style="2"/>
  </cols>
  <sheetData>
    <row r="1" spans="1:37" x14ac:dyDescent="0.25">
      <c r="A1" t="s">
        <v>6</v>
      </c>
    </row>
    <row r="2" spans="1:37" x14ac:dyDescent="0.25">
      <c r="C2" s="2" t="s">
        <v>20</v>
      </c>
      <c r="D2" s="2" t="s">
        <v>21</v>
      </c>
      <c r="E2" s="2" t="s">
        <v>22</v>
      </c>
      <c r="F2" s="2" t="s">
        <v>23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47</v>
      </c>
      <c r="X2" s="2" t="s">
        <v>48</v>
      </c>
      <c r="Y2" s="2" t="s">
        <v>49</v>
      </c>
      <c r="Z2" s="2" t="s">
        <v>50</v>
      </c>
      <c r="AB2">
        <v>2021</v>
      </c>
      <c r="AC2">
        <v>2022</v>
      </c>
      <c r="AD2">
        <f>+AC2+1</f>
        <v>2023</v>
      </c>
      <c r="AE2">
        <f>+AD2+1</f>
        <v>2024</v>
      </c>
      <c r="AF2">
        <f>+AE2+1</f>
        <v>2025</v>
      </c>
      <c r="AG2">
        <v>2026</v>
      </c>
      <c r="AH2">
        <f>+AG2+1</f>
        <v>2027</v>
      </c>
      <c r="AI2">
        <f>+AH2+1</f>
        <v>2028</v>
      </c>
      <c r="AJ2">
        <f>+AI2+1</f>
        <v>2029</v>
      </c>
      <c r="AK2">
        <f>+AJ2+1</f>
        <v>2030</v>
      </c>
    </row>
    <row r="3" spans="1:37" s="3" customFormat="1" x14ac:dyDescent="0.25">
      <c r="B3" s="3" t="s">
        <v>45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>
        <v>6.6</v>
      </c>
      <c r="O3" s="4"/>
      <c r="P3" s="4"/>
      <c r="Q3" s="4">
        <v>8.6</v>
      </c>
      <c r="R3" s="4">
        <v>9.5</v>
      </c>
      <c r="S3" s="4">
        <v>10.3</v>
      </c>
      <c r="T3" s="4">
        <v>10.9</v>
      </c>
      <c r="U3" s="4">
        <v>11.5</v>
      </c>
      <c r="V3" s="4"/>
      <c r="W3" s="4"/>
      <c r="X3" s="4"/>
      <c r="Y3" s="4"/>
      <c r="Z3" s="4"/>
    </row>
    <row r="4" spans="1:37" s="3" customFormat="1" x14ac:dyDescent="0.25">
      <c r="B4" s="3" t="s">
        <v>44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>
        <v>88.4</v>
      </c>
      <c r="O4" s="4"/>
      <c r="P4" s="4"/>
      <c r="Q4" s="4">
        <v>113.1</v>
      </c>
      <c r="R4" s="4">
        <v>116.7</v>
      </c>
      <c r="S4" s="4">
        <v>130.19999999999999</v>
      </c>
      <c r="T4" s="4">
        <v>128.30000000000001</v>
      </c>
      <c r="U4" s="4">
        <v>135.30000000000001</v>
      </c>
      <c r="V4" s="4"/>
      <c r="W4" s="4"/>
      <c r="X4" s="4"/>
      <c r="Y4" s="4"/>
      <c r="Z4" s="4"/>
    </row>
    <row r="5" spans="1:37" x14ac:dyDescent="0.25">
      <c r="B5" t="s">
        <v>24</v>
      </c>
      <c r="C5" s="2">
        <v>10</v>
      </c>
      <c r="D5" s="2">
        <v>9</v>
      </c>
      <c r="E5" s="2">
        <v>10</v>
      </c>
      <c r="F5" s="2">
        <v>10</v>
      </c>
      <c r="G5" s="2">
        <v>13</v>
      </c>
      <c r="H5" s="2">
        <v>13</v>
      </c>
      <c r="I5" s="2">
        <v>15</v>
      </c>
      <c r="J5" s="2">
        <v>16</v>
      </c>
      <c r="K5" s="2">
        <v>20</v>
      </c>
      <c r="L5" s="2">
        <v>21</v>
      </c>
      <c r="M5" s="2">
        <v>24</v>
      </c>
      <c r="N5" s="4">
        <v>27</v>
      </c>
      <c r="O5" s="4">
        <v>31</v>
      </c>
      <c r="P5" s="4">
        <v>34</v>
      </c>
      <c r="Q5" s="4">
        <v>37</v>
      </c>
      <c r="R5" s="4">
        <v>41</v>
      </c>
      <c r="S5" s="3">
        <v>46.6</v>
      </c>
      <c r="T5" s="4">
        <v>47.7</v>
      </c>
      <c r="U5" s="4">
        <v>50.5</v>
      </c>
    </row>
    <row r="7" spans="1:37" x14ac:dyDescent="0.25">
      <c r="B7" t="s">
        <v>46</v>
      </c>
      <c r="R7" s="4">
        <v>271.60000000000002</v>
      </c>
      <c r="S7" s="3"/>
      <c r="T7" s="3"/>
      <c r="U7" s="3"/>
      <c r="V7" s="3"/>
      <c r="W7" s="3"/>
      <c r="X7" s="3"/>
      <c r="Y7" s="3"/>
      <c r="Z7" s="3"/>
      <c r="AA7" s="3"/>
      <c r="AB7" s="3">
        <v>294</v>
      </c>
      <c r="AC7" s="3">
        <v>429</v>
      </c>
      <c r="AD7" s="3">
        <v>622</v>
      </c>
      <c r="AE7" s="3">
        <v>870.6</v>
      </c>
    </row>
    <row r="8" spans="1:37" s="7" customFormat="1" ht="13" x14ac:dyDescent="0.3">
      <c r="B8" s="7" t="s">
        <v>7</v>
      </c>
      <c r="C8" s="5"/>
      <c r="D8" s="5"/>
      <c r="E8" s="5"/>
      <c r="F8" s="5"/>
      <c r="G8" s="5"/>
      <c r="H8" s="5"/>
      <c r="I8" s="5"/>
      <c r="J8" s="5"/>
      <c r="K8" s="5">
        <v>115.661</v>
      </c>
      <c r="L8" s="5">
        <v>126.839</v>
      </c>
      <c r="M8" s="5">
        <v>137.624</v>
      </c>
      <c r="N8" s="5">
        <v>150.98500000000001</v>
      </c>
      <c r="O8" s="5">
        <v>167.553</v>
      </c>
      <c r="P8" s="5">
        <v>178.327</v>
      </c>
      <c r="Q8" s="5">
        <v>192.59399999999999</v>
      </c>
      <c r="R8" s="5">
        <v>209.55</v>
      </c>
      <c r="S8" s="7">
        <v>230.74299999999999</v>
      </c>
      <c r="T8" s="7">
        <v>252.26499999999999</v>
      </c>
      <c r="U8" s="7">
        <v>271.71300000000002</v>
      </c>
      <c r="V8" s="7">
        <v>332</v>
      </c>
      <c r="W8" s="7">
        <f t="shared" ref="W8:Z8" si="0">+S8*1.3</f>
        <v>299.96589999999998</v>
      </c>
      <c r="X8" s="7">
        <f t="shared" si="0"/>
        <v>327.94450000000001</v>
      </c>
      <c r="Y8" s="7">
        <f t="shared" si="0"/>
        <v>353.22690000000006</v>
      </c>
      <c r="Z8" s="7">
        <f t="shared" si="0"/>
        <v>431.6</v>
      </c>
      <c r="AB8" s="7">
        <v>250.77199999999999</v>
      </c>
      <c r="AC8" s="7">
        <v>369.495</v>
      </c>
      <c r="AD8" s="7">
        <v>531.10900000000004</v>
      </c>
      <c r="AE8" s="7">
        <v>748.024</v>
      </c>
      <c r="AF8" s="7">
        <f>SUM(S8:V8)</f>
        <v>1086.721</v>
      </c>
    </row>
    <row r="9" spans="1:37" s="3" customFormat="1" x14ac:dyDescent="0.25">
      <c r="B9" s="3" t="s">
        <v>29</v>
      </c>
      <c r="C9" s="4"/>
      <c r="D9" s="4"/>
      <c r="E9" s="4"/>
      <c r="F9" s="4"/>
      <c r="G9" s="4"/>
      <c r="H9" s="4"/>
      <c r="I9" s="4"/>
      <c r="J9" s="4"/>
      <c r="K9" s="4">
        <v>31.492000000000001</v>
      </c>
      <c r="L9" s="4">
        <v>33.787999999999997</v>
      </c>
      <c r="M9" s="4">
        <v>36.253999999999998</v>
      </c>
      <c r="N9" s="4">
        <v>40.570999999999998</v>
      </c>
      <c r="O9" s="4">
        <v>45.191000000000003</v>
      </c>
      <c r="P9" s="4">
        <v>47.348999999999997</v>
      </c>
      <c r="Q9" s="4">
        <v>52.18</v>
      </c>
      <c r="R9" s="4">
        <v>58.924999999999997</v>
      </c>
      <c r="S9" s="3">
        <v>66.647000000000006</v>
      </c>
      <c r="T9" s="3">
        <v>69.683999999999997</v>
      </c>
      <c r="U9" s="3">
        <v>74.802000000000007</v>
      </c>
      <c r="AB9" s="3">
        <v>69.186000000000007</v>
      </c>
      <c r="AC9" s="3">
        <v>99.430999999999997</v>
      </c>
      <c r="AD9" s="3">
        <v>142.10499999999999</v>
      </c>
      <c r="AE9" s="3">
        <v>203.64500000000001</v>
      </c>
    </row>
    <row r="10" spans="1:37" s="3" customFormat="1" x14ac:dyDescent="0.25">
      <c r="B10" s="3" t="s">
        <v>30</v>
      </c>
      <c r="C10" s="4"/>
      <c r="D10" s="4"/>
      <c r="E10" s="4"/>
      <c r="F10" s="4"/>
      <c r="G10" s="4"/>
      <c r="H10" s="4"/>
      <c r="I10" s="4"/>
      <c r="J10" s="4"/>
      <c r="K10" s="4">
        <f t="shared" ref="K10:S10" si="1">+K8-K9</f>
        <v>84.168999999999997</v>
      </c>
      <c r="L10" s="4">
        <f t="shared" si="1"/>
        <v>93.051000000000002</v>
      </c>
      <c r="M10" s="4">
        <f t="shared" si="1"/>
        <v>101.37</v>
      </c>
      <c r="N10" s="4">
        <f t="shared" si="1"/>
        <v>110.41400000000002</v>
      </c>
      <c r="O10" s="4">
        <f t="shared" si="1"/>
        <v>122.36199999999999</v>
      </c>
      <c r="P10" s="4">
        <f t="shared" si="1"/>
        <v>130.97800000000001</v>
      </c>
      <c r="Q10" s="4">
        <f t="shared" si="1"/>
        <v>140.41399999999999</v>
      </c>
      <c r="R10" s="4">
        <f t="shared" si="1"/>
        <v>150.625</v>
      </c>
      <c r="S10" s="4">
        <f t="shared" si="1"/>
        <v>164.096</v>
      </c>
      <c r="T10" s="3">
        <f>+T8-T9</f>
        <v>182.58099999999999</v>
      </c>
      <c r="U10" s="3">
        <f>+U8-U9</f>
        <v>196.911</v>
      </c>
      <c r="AB10" s="3">
        <f>+AB8-AB9</f>
        <v>181.58599999999998</v>
      </c>
      <c r="AC10" s="3">
        <f>+AC8-AC9</f>
        <v>270.06400000000002</v>
      </c>
      <c r="AD10" s="3">
        <f>+AD8-AD9</f>
        <v>389.00400000000002</v>
      </c>
      <c r="AE10" s="3">
        <f>+AE8-AE9</f>
        <v>544.37900000000002</v>
      </c>
    </row>
    <row r="11" spans="1:37" s="3" customFormat="1" x14ac:dyDescent="0.25">
      <c r="B11" s="3" t="s">
        <v>31</v>
      </c>
      <c r="C11" s="4"/>
      <c r="D11" s="4"/>
      <c r="E11" s="4"/>
      <c r="F11" s="4"/>
      <c r="G11" s="4"/>
      <c r="H11" s="4"/>
      <c r="I11" s="4"/>
      <c r="J11" s="4"/>
      <c r="K11" s="4">
        <v>45.844000000000001</v>
      </c>
      <c r="L11" s="4">
        <v>47.947000000000003</v>
      </c>
      <c r="M11" s="4">
        <v>50.305</v>
      </c>
      <c r="N11" s="4">
        <v>50.256</v>
      </c>
      <c r="O11" s="4">
        <v>50.878</v>
      </c>
      <c r="P11" s="4">
        <v>55.146999999999998</v>
      </c>
      <c r="Q11" s="4">
        <v>62.878</v>
      </c>
      <c r="R11" s="4">
        <v>66.394999999999996</v>
      </c>
      <c r="S11" s="3">
        <v>70.39</v>
      </c>
      <c r="T11" s="3">
        <v>73.67</v>
      </c>
      <c r="U11" s="3">
        <v>82.706999999999994</v>
      </c>
      <c r="AB11" s="3">
        <v>103.833</v>
      </c>
      <c r="AC11" s="3">
        <v>150.44399999999999</v>
      </c>
      <c r="AD11" s="3">
        <v>194.352</v>
      </c>
      <c r="AE11" s="3">
        <v>235.298</v>
      </c>
    </row>
    <row r="12" spans="1:37" s="3" customFormat="1" x14ac:dyDescent="0.25">
      <c r="B12" s="3" t="s">
        <v>32</v>
      </c>
      <c r="C12" s="4"/>
      <c r="D12" s="4"/>
      <c r="E12" s="4"/>
      <c r="F12" s="4"/>
      <c r="G12" s="4"/>
      <c r="H12" s="4"/>
      <c r="I12" s="4"/>
      <c r="J12" s="4"/>
      <c r="K12" s="4">
        <v>16.600999999999999</v>
      </c>
      <c r="L12" s="4">
        <v>17.734000000000002</v>
      </c>
      <c r="M12" s="4">
        <v>22.335000000000001</v>
      </c>
      <c r="N12" s="4">
        <v>19.117999999999999</v>
      </c>
      <c r="O12" s="4">
        <v>19.931000000000001</v>
      </c>
      <c r="P12" s="4">
        <v>20.173999999999999</v>
      </c>
      <c r="Q12" s="4">
        <v>25.574000000000002</v>
      </c>
      <c r="R12" s="4">
        <v>24.815000000000001</v>
      </c>
      <c r="S12" s="3">
        <v>26.661999999999999</v>
      </c>
      <c r="T12" s="3">
        <v>29.562999999999999</v>
      </c>
      <c r="U12" s="3">
        <v>35.081000000000003</v>
      </c>
      <c r="AB12" s="3">
        <v>59.17</v>
      </c>
      <c r="AC12" s="3">
        <v>66.966999999999999</v>
      </c>
      <c r="AD12" s="3">
        <v>75.787999999999997</v>
      </c>
      <c r="AE12" s="3">
        <v>90.494</v>
      </c>
    </row>
    <row r="13" spans="1:37" s="3" customFormat="1" x14ac:dyDescent="0.25">
      <c r="B13" s="3" t="s">
        <v>33</v>
      </c>
      <c r="C13" s="4"/>
      <c r="D13" s="4"/>
      <c r="E13" s="4"/>
      <c r="F13" s="4"/>
      <c r="G13" s="4"/>
      <c r="H13" s="4"/>
      <c r="I13" s="4"/>
      <c r="J13" s="4"/>
      <c r="K13" s="4">
        <v>30.242999999999999</v>
      </c>
      <c r="L13" s="4">
        <v>32.234999999999999</v>
      </c>
      <c r="M13" s="4">
        <v>33.4</v>
      </c>
      <c r="N13" s="4">
        <v>36.244999999999997</v>
      </c>
      <c r="O13" s="4">
        <v>35.113999999999997</v>
      </c>
      <c r="P13" s="4">
        <v>36.957000000000001</v>
      </c>
      <c r="Q13" s="4">
        <v>38.387999999999998</v>
      </c>
      <c r="R13" s="4">
        <v>45.533000000000001</v>
      </c>
      <c r="S13" s="3">
        <v>43.45</v>
      </c>
      <c r="T13" s="3">
        <v>45.984999999999999</v>
      </c>
      <c r="U13" s="3">
        <v>43.963999999999999</v>
      </c>
      <c r="AB13" s="3">
        <v>78.59</v>
      </c>
      <c r="AC13" s="3">
        <v>117.848</v>
      </c>
      <c r="AD13" s="3">
        <v>132.12299999999999</v>
      </c>
      <c r="AE13" s="3">
        <v>155.99199999999999</v>
      </c>
    </row>
    <row r="14" spans="1:37" s="3" customFormat="1" x14ac:dyDescent="0.25">
      <c r="B14" s="3" t="s">
        <v>34</v>
      </c>
      <c r="C14" s="4"/>
      <c r="D14" s="4"/>
      <c r="E14" s="4"/>
      <c r="F14" s="4"/>
      <c r="G14" s="4"/>
      <c r="H14" s="4"/>
      <c r="I14" s="4"/>
      <c r="J14" s="4"/>
      <c r="K14" s="4">
        <f t="shared" ref="K14:R14" si="2">SUM(K11:K13)</f>
        <v>92.688000000000002</v>
      </c>
      <c r="L14" s="4">
        <f t="shared" si="2"/>
        <v>97.916000000000011</v>
      </c>
      <c r="M14" s="4">
        <f t="shared" si="2"/>
        <v>106.03999999999999</v>
      </c>
      <c r="N14" s="4">
        <f t="shared" si="2"/>
        <v>105.619</v>
      </c>
      <c r="O14" s="4">
        <f t="shared" si="2"/>
        <v>105.923</v>
      </c>
      <c r="P14" s="4">
        <f t="shared" si="2"/>
        <v>112.27799999999999</v>
      </c>
      <c r="Q14" s="4">
        <f t="shared" si="2"/>
        <v>126.84</v>
      </c>
      <c r="R14" s="4">
        <f t="shared" si="2"/>
        <v>136.74299999999999</v>
      </c>
      <c r="S14" s="4">
        <f t="shared" ref="S14" si="3">SUM(S11:S13)</f>
        <v>140.50200000000001</v>
      </c>
      <c r="T14" s="4">
        <f t="shared" ref="T14" si="4">SUM(T11:T13)</f>
        <v>149.21800000000002</v>
      </c>
      <c r="U14" s="4">
        <f t="shared" ref="U14" si="5">SUM(U11:U13)</f>
        <v>161.75200000000001</v>
      </c>
      <c r="V14" s="4">
        <f t="shared" ref="V14" si="6">SUM(V11:V13)</f>
        <v>0</v>
      </c>
      <c r="AB14" s="3">
        <f t="shared" ref="AB14:AD14" si="7">SUM(AB11:AB13)</f>
        <v>241.59299999999999</v>
      </c>
      <c r="AC14" s="3">
        <f t="shared" si="7"/>
        <v>335.25900000000001</v>
      </c>
      <c r="AD14" s="3">
        <f t="shared" si="7"/>
        <v>402.26299999999998</v>
      </c>
      <c r="AE14" s="3">
        <f>SUM(AE11:AE13)</f>
        <v>481.78399999999999</v>
      </c>
    </row>
    <row r="15" spans="1:37" s="3" customFormat="1" x14ac:dyDescent="0.25">
      <c r="B15" s="3" t="s">
        <v>35</v>
      </c>
      <c r="C15" s="4"/>
      <c r="D15" s="4"/>
      <c r="E15" s="4"/>
      <c r="F15" s="4"/>
      <c r="G15" s="4"/>
      <c r="H15" s="4"/>
      <c r="I15" s="4"/>
      <c r="J15" s="4"/>
      <c r="K15" s="4">
        <f>+K10-K14</f>
        <v>-8.5190000000000055</v>
      </c>
      <c r="L15" s="4">
        <f>7.543-0.268</f>
        <v>7.2750000000000004</v>
      </c>
      <c r="M15" s="4">
        <f t="shared" ref="M15:R15" si="8">+M10-M14</f>
        <v>-4.6699999999999875</v>
      </c>
      <c r="N15" s="4">
        <f t="shared" si="8"/>
        <v>4.7950000000000159</v>
      </c>
      <c r="O15" s="4">
        <f t="shared" si="8"/>
        <v>16.438999999999993</v>
      </c>
      <c r="P15" s="4">
        <f t="shared" si="8"/>
        <v>18.700000000000017</v>
      </c>
      <c r="Q15" s="4">
        <f t="shared" si="8"/>
        <v>13.573999999999984</v>
      </c>
      <c r="R15" s="4">
        <f t="shared" si="8"/>
        <v>13.882000000000005</v>
      </c>
      <c r="S15" s="4">
        <f t="shared" ref="S15" si="9">+S10-S14</f>
        <v>23.593999999999994</v>
      </c>
      <c r="T15" s="4">
        <f t="shared" ref="T15" si="10">+T10-T14</f>
        <v>33.362999999999971</v>
      </c>
      <c r="U15" s="4">
        <f t="shared" ref="U15" si="11">+U10-U14</f>
        <v>35.158999999999992</v>
      </c>
      <c r="V15" s="4">
        <f t="shared" ref="V15" si="12">+V10-V14</f>
        <v>0</v>
      </c>
      <c r="AB15" s="3">
        <f t="shared" ref="AB15:AD15" si="13">+AB10-AB14</f>
        <v>-60.007000000000005</v>
      </c>
      <c r="AC15" s="3">
        <f t="shared" si="13"/>
        <v>-65.194999999999993</v>
      </c>
      <c r="AD15" s="3">
        <f t="shared" si="13"/>
        <v>-13.258999999999958</v>
      </c>
      <c r="AE15" s="3">
        <f>+AE10-AE14</f>
        <v>62.595000000000027</v>
      </c>
    </row>
    <row r="16" spans="1:37" s="3" customFormat="1" x14ac:dyDescent="0.25">
      <c r="B16" s="3" t="s">
        <v>36</v>
      </c>
      <c r="C16" s="4"/>
      <c r="D16" s="4"/>
      <c r="E16" s="4"/>
      <c r="F16" s="4"/>
      <c r="G16" s="4"/>
      <c r="H16" s="4"/>
      <c r="I16" s="4"/>
      <c r="J16" s="4"/>
      <c r="K16" s="4">
        <f>0.182+5.639</f>
        <v>5.8210000000000006</v>
      </c>
      <c r="L16" s="4">
        <f>0.182+5.639</f>
        <v>5.8210000000000006</v>
      </c>
      <c r="M16" s="4">
        <f>-1.023+8.625</f>
        <v>7.6020000000000003</v>
      </c>
      <c r="N16" s="4">
        <f>1.054+9.284</f>
        <v>10.338000000000001</v>
      </c>
      <c r="O16" s="4">
        <f>10.033-0.621</f>
        <v>9.411999999999999</v>
      </c>
      <c r="P16" s="4">
        <f>10.721-0.707</f>
        <v>10.013999999999999</v>
      </c>
      <c r="Q16" s="4">
        <f>0.569+11.246</f>
        <v>11.815000000000001</v>
      </c>
      <c r="R16" s="4">
        <f>-2.227+10.697</f>
        <v>8.4699999999999989</v>
      </c>
      <c r="S16" s="3">
        <v>10.414999999999999</v>
      </c>
      <c r="T16" s="3">
        <v>11.427</v>
      </c>
      <c r="U16" s="3">
        <v>11.792999999999999</v>
      </c>
      <c r="AB16" s="3">
        <f>0.019+0.03</f>
        <v>4.9000000000000002E-2</v>
      </c>
      <c r="AC16" s="3">
        <f>7.235+0.131-0.807</f>
        <v>6.5590000000000002</v>
      </c>
      <c r="AD16" s="3">
        <f>0.055+31.091</f>
        <v>31.146000000000001</v>
      </c>
      <c r="AE16" s="3">
        <f>42.697-2.986</f>
        <v>39.711000000000006</v>
      </c>
    </row>
    <row r="17" spans="2:31" s="3" customFormat="1" x14ac:dyDescent="0.25">
      <c r="B17" s="3" t="s">
        <v>39</v>
      </c>
      <c r="C17" s="4"/>
      <c r="D17" s="4"/>
      <c r="E17" s="4"/>
      <c r="F17" s="4"/>
      <c r="G17" s="4"/>
      <c r="H17" s="4"/>
      <c r="I17" s="4"/>
      <c r="J17" s="4"/>
      <c r="K17" s="4">
        <f t="shared" ref="K17:U17" si="14">+K15+K16</f>
        <v>-2.6980000000000048</v>
      </c>
      <c r="L17" s="4">
        <f t="shared" si="14"/>
        <v>13.096</v>
      </c>
      <c r="M17" s="4">
        <f t="shared" si="14"/>
        <v>2.9320000000000128</v>
      </c>
      <c r="N17" s="4">
        <f t="shared" si="14"/>
        <v>15.133000000000017</v>
      </c>
      <c r="O17" s="4">
        <f t="shared" si="14"/>
        <v>25.850999999999992</v>
      </c>
      <c r="P17" s="4">
        <f t="shared" si="14"/>
        <v>28.714000000000016</v>
      </c>
      <c r="Q17" s="4">
        <f t="shared" si="14"/>
        <v>25.388999999999985</v>
      </c>
      <c r="R17" s="4">
        <f t="shared" si="14"/>
        <v>22.352000000000004</v>
      </c>
      <c r="S17" s="4">
        <f t="shared" si="14"/>
        <v>34.008999999999993</v>
      </c>
      <c r="T17" s="4">
        <f t="shared" si="14"/>
        <v>44.789999999999971</v>
      </c>
      <c r="U17" s="4">
        <f t="shared" si="14"/>
        <v>46.951999999999991</v>
      </c>
      <c r="AB17" s="3">
        <f>+AB15+AB16</f>
        <v>-59.958000000000006</v>
      </c>
      <c r="AC17" s="3">
        <f>+AC15+AC16</f>
        <v>-58.635999999999996</v>
      </c>
      <c r="AD17" s="3">
        <f>+AD15+AD16</f>
        <v>17.887000000000043</v>
      </c>
      <c r="AE17" s="3">
        <f t="shared" ref="AE17" si="15">+AE15+AE16</f>
        <v>102.30600000000004</v>
      </c>
    </row>
    <row r="18" spans="2:31" s="3" customFormat="1" x14ac:dyDescent="0.25">
      <c r="B18" s="3" t="s">
        <v>38</v>
      </c>
      <c r="C18" s="4"/>
      <c r="D18" s="4"/>
      <c r="E18" s="4"/>
      <c r="F18" s="4"/>
      <c r="G18" s="4"/>
      <c r="H18" s="4"/>
      <c r="I18" s="4"/>
      <c r="J18" s="4"/>
      <c r="K18" s="4">
        <v>-0.11600000000000001</v>
      </c>
      <c r="L18" s="4">
        <v>-0.11600000000000001</v>
      </c>
      <c r="M18" s="4">
        <v>0.125</v>
      </c>
      <c r="N18" s="4">
        <v>3.016</v>
      </c>
      <c r="O18" s="4">
        <v>-1.105</v>
      </c>
      <c r="P18" s="4">
        <v>4.3630000000000004</v>
      </c>
      <c r="Q18" s="4">
        <v>2.0289999999999999</v>
      </c>
      <c r="R18" s="4">
        <v>8.4450000000000003</v>
      </c>
      <c r="S18" s="3">
        <v>0</v>
      </c>
      <c r="T18" s="3">
        <v>1.669</v>
      </c>
      <c r="U18" s="3">
        <v>0</v>
      </c>
      <c r="AB18" s="3">
        <v>0.17699999999999999</v>
      </c>
      <c r="AC18" s="3">
        <v>0.93799999999999994</v>
      </c>
      <c r="AD18" s="3">
        <v>1.71</v>
      </c>
      <c r="AE18" s="3">
        <v>13.731999999999999</v>
      </c>
    </row>
    <row r="19" spans="2:31" s="3" customFormat="1" x14ac:dyDescent="0.25">
      <c r="B19" s="3" t="s">
        <v>37</v>
      </c>
      <c r="C19" s="4"/>
      <c r="D19" s="4"/>
      <c r="E19" s="4"/>
      <c r="F19" s="4"/>
      <c r="G19" s="4"/>
      <c r="H19" s="4"/>
      <c r="I19" s="4"/>
      <c r="J19" s="4"/>
      <c r="K19" s="4">
        <f t="shared" ref="K19:U19" si="16">+K17-K18</f>
        <v>-2.5820000000000047</v>
      </c>
      <c r="L19" s="4">
        <f t="shared" si="16"/>
        <v>13.212</v>
      </c>
      <c r="M19" s="4">
        <f t="shared" si="16"/>
        <v>2.8070000000000128</v>
      </c>
      <c r="N19" s="4">
        <f t="shared" si="16"/>
        <v>12.117000000000017</v>
      </c>
      <c r="O19" s="4">
        <f t="shared" si="16"/>
        <v>26.955999999999992</v>
      </c>
      <c r="P19" s="4">
        <f t="shared" si="16"/>
        <v>24.351000000000017</v>
      </c>
      <c r="Q19" s="4">
        <f t="shared" si="16"/>
        <v>23.359999999999985</v>
      </c>
      <c r="R19" s="4">
        <f t="shared" si="16"/>
        <v>13.907000000000004</v>
      </c>
      <c r="S19" s="4">
        <f t="shared" si="16"/>
        <v>34.008999999999993</v>
      </c>
      <c r="T19" s="4">
        <f t="shared" si="16"/>
        <v>43.120999999999974</v>
      </c>
      <c r="U19" s="4">
        <f t="shared" si="16"/>
        <v>46.951999999999991</v>
      </c>
      <c r="AB19" s="3">
        <f>+AB17-AB18</f>
        <v>-60.135000000000005</v>
      </c>
      <c r="AC19" s="3">
        <f>+AC17-AC18</f>
        <v>-59.573999999999998</v>
      </c>
      <c r="AD19" s="3">
        <f>+AD17-AD18</f>
        <v>16.177000000000042</v>
      </c>
      <c r="AE19" s="3">
        <f t="shared" ref="AE19" si="17">+AE17-AE18</f>
        <v>88.574000000000041</v>
      </c>
    </row>
    <row r="21" spans="2:31" x14ac:dyDescent="0.25">
      <c r="B21" t="s">
        <v>40</v>
      </c>
      <c r="O21" s="6">
        <f t="shared" ref="O21:Q21" si="18">+O8/K8-1</f>
        <v>0.44865598602813384</v>
      </c>
      <c r="P21" s="6">
        <f t="shared" si="18"/>
        <v>0.40593192945387457</v>
      </c>
      <c r="Q21" s="6">
        <f t="shared" si="18"/>
        <v>0.39942161250944608</v>
      </c>
      <c r="R21" s="6">
        <f>+R8/N8-1</f>
        <v>0.38788621386230426</v>
      </c>
      <c r="S21" s="6">
        <f t="shared" ref="S21:V21" si="19">+S8/O8-1</f>
        <v>0.37713439926471026</v>
      </c>
      <c r="T21" s="6">
        <f t="shared" si="19"/>
        <v>0.41462033231086703</v>
      </c>
      <c r="U21" s="6">
        <f t="shared" si="19"/>
        <v>0.41080719025514822</v>
      </c>
      <c r="V21" s="6">
        <f t="shared" si="19"/>
        <v>0.58434741111906452</v>
      </c>
      <c r="W21" s="6">
        <f t="shared" ref="W21" si="20">+W8/S8-1</f>
        <v>0.29999999999999982</v>
      </c>
      <c r="X21" s="6">
        <f t="shared" ref="X21" si="21">+X8/T8-1</f>
        <v>0.30000000000000004</v>
      </c>
      <c r="Y21" s="6">
        <f t="shared" ref="Y21" si="22">+Y8/U8-1</f>
        <v>0.30000000000000004</v>
      </c>
      <c r="Z21" s="6">
        <f t="shared" ref="Z21" si="23">+Z8/V8-1</f>
        <v>0.30000000000000004</v>
      </c>
      <c r="AC21" s="8">
        <f>+AC8/AB8-1</f>
        <v>0.47343004801173971</v>
      </c>
      <c r="AD21" s="8">
        <f>+AD8/AC8-1</f>
        <v>0.43739157498748304</v>
      </c>
      <c r="AE21" s="8">
        <f>+AE8/AD8-1</f>
        <v>0.40841898743948968</v>
      </c>
    </row>
    <row r="22" spans="2:31" x14ac:dyDescent="0.25">
      <c r="B22" s="3" t="s">
        <v>42</v>
      </c>
      <c r="K22" s="6">
        <f t="shared" ref="K22:N22" si="24">+K10/K8</f>
        <v>0.72772153102601567</v>
      </c>
      <c r="L22" s="6">
        <f t="shared" si="24"/>
        <v>0.7336150553063332</v>
      </c>
      <c r="M22" s="6">
        <f t="shared" si="24"/>
        <v>0.73657210951578223</v>
      </c>
      <c r="N22" s="6">
        <f t="shared" si="24"/>
        <v>0.73129118786634439</v>
      </c>
      <c r="O22" s="6">
        <f>+O10/O8</f>
        <v>0.73028832667872257</v>
      </c>
      <c r="P22" s="6">
        <f>+P10/P8</f>
        <v>0.73448215917948489</v>
      </c>
      <c r="Q22" s="6">
        <f>+Q10/Q8</f>
        <v>0.72906736450772092</v>
      </c>
      <c r="R22" s="6">
        <f>+R10/R8</f>
        <v>0.71880219518014787</v>
      </c>
      <c r="S22" s="6">
        <f t="shared" ref="S22:V22" si="25">+S10/S8</f>
        <v>0.71116350225142266</v>
      </c>
      <c r="T22" s="6">
        <f t="shared" si="25"/>
        <v>0.7237666739341565</v>
      </c>
      <c r="U22" s="6">
        <f t="shared" si="25"/>
        <v>0.72470216736041337</v>
      </c>
      <c r="V22" s="6">
        <f t="shared" si="25"/>
        <v>0</v>
      </c>
      <c r="W22" s="6">
        <f t="shared" ref="W22:Z22" si="26">+W10/W8</f>
        <v>0</v>
      </c>
      <c r="X22" s="6">
        <f t="shared" si="26"/>
        <v>0</v>
      </c>
      <c r="Y22" s="6">
        <f t="shared" si="26"/>
        <v>0</v>
      </c>
      <c r="Z22" s="6">
        <f t="shared" si="26"/>
        <v>0</v>
      </c>
      <c r="AB22" s="8">
        <f>+AB10/AB8</f>
        <v>0.72410795463608368</v>
      </c>
      <c r="AC22" s="8">
        <f>+AC10/AC8</f>
        <v>0.73090028281844144</v>
      </c>
      <c r="AD22" s="8">
        <f>+AD10/AD8</f>
        <v>0.7324372209847696</v>
      </c>
      <c r="AE22" s="8">
        <f>+AE10/AE8</f>
        <v>0.72775606130284587</v>
      </c>
    </row>
    <row r="24" spans="2:31" x14ac:dyDescent="0.25">
      <c r="B24" t="s">
        <v>41</v>
      </c>
      <c r="AB24" s="3">
        <v>9.17</v>
      </c>
      <c r="AC24" s="3">
        <v>53.655999999999999</v>
      </c>
      <c r="AD24" s="3">
        <v>153.614</v>
      </c>
      <c r="AE24" s="3">
        <v>285.51299999999998</v>
      </c>
    </row>
    <row r="25" spans="2:31" x14ac:dyDescent="0.25">
      <c r="B25" t="s">
        <v>43</v>
      </c>
      <c r="AB25" s="3">
        <v>3.5859999999999999</v>
      </c>
      <c r="AC25" s="3">
        <v>5.5620000000000003</v>
      </c>
      <c r="AD25" s="3">
        <v>3.1909999999999998</v>
      </c>
      <c r="AE25" s="3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2025-03-03T17:41:33Z</dcterms:created>
  <dcterms:modified xsi:type="dcterms:W3CDTF">2025-11-06T15:04:58Z</dcterms:modified>
</cp:coreProperties>
</file>