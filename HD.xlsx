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\code\models\"/>
    </mc:Choice>
  </mc:AlternateContent>
  <xr:revisionPtr revIDLastSave="0" documentId="13_ncr:1_{E679BA22-9A21-4055-B2BC-32F3D31FC407}" xr6:coauthVersionLast="47" xr6:coauthVersionMax="47" xr10:uidLastSave="{00000000-0000-0000-0000-000000000000}"/>
  <bookViews>
    <workbookView xWindow="20800" yWindow="710" windowWidth="17600" windowHeight="20070" activeTab="1" xr2:uid="{2DDF7688-2E02-4661-90C9-5FA010AE552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M8" i="2"/>
  <c r="N8" i="2"/>
  <c r="O8" i="2"/>
  <c r="O5" i="2"/>
  <c r="N5" i="2"/>
  <c r="N16" i="2" s="1"/>
  <c r="M5" i="2"/>
  <c r="M16" i="2" s="1"/>
  <c r="L5" i="2"/>
  <c r="L16" i="2" s="1"/>
  <c r="P16" i="2"/>
  <c r="O16" i="2"/>
  <c r="L6" i="1"/>
  <c r="P15" i="2"/>
  <c r="O15" i="2"/>
  <c r="N15" i="2"/>
  <c r="M15" i="2"/>
  <c r="L15" i="2"/>
  <c r="P8" i="2"/>
  <c r="P9" i="2" s="1"/>
  <c r="P11" i="2" s="1"/>
  <c r="P7" i="2"/>
  <c r="O7" i="2"/>
  <c r="P5" i="2"/>
  <c r="Q1" i="2"/>
  <c r="O1" i="2"/>
  <c r="M1" i="2"/>
  <c r="L7" i="2" l="1"/>
  <c r="L9" i="2" s="1"/>
  <c r="L11" i="2" s="1"/>
  <c r="L12" i="2" s="1"/>
  <c r="O9" i="2"/>
  <c r="O11" i="2" s="1"/>
  <c r="N7" i="2"/>
  <c r="N9" i="2" s="1"/>
  <c r="N11" i="2" s="1"/>
  <c r="N12" i="2" s="1"/>
  <c r="M7" i="2"/>
  <c r="M9" i="2" s="1"/>
  <c r="M11" i="2" s="1"/>
  <c r="M12" i="2" s="1"/>
  <c r="P12" i="2"/>
  <c r="Y20" i="2"/>
  <c r="Z20" i="2"/>
  <c r="AA20" i="2"/>
  <c r="AB3" i="2"/>
  <c r="AB15" i="2" s="1"/>
  <c r="AA15" i="2"/>
  <c r="Z15" i="2"/>
  <c r="AB10" i="2"/>
  <c r="AB13" i="2"/>
  <c r="AB6" i="2"/>
  <c r="AB4" i="2"/>
  <c r="AA5" i="2"/>
  <c r="AA7" i="2" s="1"/>
  <c r="AA9" i="2" s="1"/>
  <c r="AA11" i="2" s="1"/>
  <c r="AA12" i="2" s="1"/>
  <c r="Z5" i="2"/>
  <c r="Z7" i="2" s="1"/>
  <c r="Z9" i="2" s="1"/>
  <c r="Z11" i="2" s="1"/>
  <c r="Z12" i="2" s="1"/>
  <c r="Y5" i="2"/>
  <c r="Y7" i="2" s="1"/>
  <c r="Y9" i="2" s="1"/>
  <c r="Y11" i="2" s="1"/>
  <c r="Y12" i="2" s="1"/>
  <c r="D19" i="2"/>
  <c r="E19" i="2" s="1"/>
  <c r="F19" i="2" s="1"/>
  <c r="H19" i="2"/>
  <c r="I19" i="2" s="1"/>
  <c r="J19" i="2" s="1"/>
  <c r="D18" i="2"/>
  <c r="E18" i="2" s="1"/>
  <c r="H18" i="2"/>
  <c r="I18" i="2" s="1"/>
  <c r="J18" i="2" s="1"/>
  <c r="H15" i="2"/>
  <c r="D8" i="2"/>
  <c r="D5" i="2"/>
  <c r="D7" i="2" s="1"/>
  <c r="H8" i="2"/>
  <c r="I15" i="2"/>
  <c r="E8" i="2"/>
  <c r="E5" i="2"/>
  <c r="E7" i="2" s="1"/>
  <c r="I8" i="2"/>
  <c r="AB20" i="2"/>
  <c r="AC20" i="2"/>
  <c r="J15" i="2"/>
  <c r="F8" i="2"/>
  <c r="F5" i="2"/>
  <c r="F7" i="2" s="1"/>
  <c r="J8" i="2"/>
  <c r="K20" i="2"/>
  <c r="G20" i="2"/>
  <c r="O12" i="2" l="1"/>
  <c r="Y16" i="2"/>
  <c r="Z16" i="2"/>
  <c r="AA16" i="2"/>
  <c r="F9" i="2"/>
  <c r="F11" i="2" s="1"/>
  <c r="F12" i="2" s="1"/>
  <c r="AB5" i="2"/>
  <c r="AB16" i="2" s="1"/>
  <c r="E16" i="2"/>
  <c r="D20" i="2"/>
  <c r="H20" i="2"/>
  <c r="D16" i="2"/>
  <c r="F16" i="2"/>
  <c r="D9" i="2"/>
  <c r="D11" i="2" s="1"/>
  <c r="D12" i="2" s="1"/>
  <c r="F18" i="2"/>
  <c r="E20" i="2"/>
  <c r="J20" i="2"/>
  <c r="I20" i="2"/>
  <c r="J21" i="2" s="1"/>
  <c r="E9" i="2"/>
  <c r="E11" i="2" s="1"/>
  <c r="E12" i="2" s="1"/>
  <c r="AB7" i="2" l="1"/>
  <c r="F20" i="2"/>
  <c r="I21" i="2" s="1"/>
  <c r="K21" i="2"/>
  <c r="G21" i="2" l="1"/>
  <c r="H21" i="2"/>
  <c r="K15" i="2"/>
  <c r="G8" i="2"/>
  <c r="AB8" i="2" s="1"/>
  <c r="AB9" i="2" s="1"/>
  <c r="AB11" i="2" s="1"/>
  <c r="AB12" i="2" s="1"/>
  <c r="K8" i="2"/>
  <c r="K5" i="2"/>
  <c r="K7" i="2" s="1"/>
  <c r="K9" i="2" s="1"/>
  <c r="K11" i="2" s="1"/>
  <c r="K12" i="2" s="1"/>
  <c r="J5" i="2"/>
  <c r="J16" i="2" s="1"/>
  <c r="I5" i="2"/>
  <c r="I16" i="2" s="1"/>
  <c r="H5" i="2"/>
  <c r="H16" i="2" s="1"/>
  <c r="G5" i="2"/>
  <c r="G16" i="2" s="1"/>
  <c r="L4" i="1"/>
  <c r="L7" i="1" s="1"/>
  <c r="G7" i="2" l="1"/>
  <c r="G9" i="2" s="1"/>
  <c r="G11" i="2" s="1"/>
  <c r="G12" i="2" s="1"/>
  <c r="K16" i="2"/>
  <c r="H7" i="2"/>
  <c r="H9" i="2" s="1"/>
  <c r="H11" i="2" s="1"/>
  <c r="H12" i="2" s="1"/>
  <c r="I7" i="2"/>
  <c r="I9" i="2" s="1"/>
  <c r="I11" i="2" s="1"/>
  <c r="I12" i="2" s="1"/>
  <c r="J7" i="2"/>
  <c r="J9" i="2" s="1"/>
  <c r="J11" i="2" s="1"/>
  <c r="J12" i="2" s="1"/>
</calcChain>
</file>

<file path=xl/sharedStrings.xml><?xml version="1.0" encoding="utf-8"?>
<sst xmlns="http://schemas.openxmlformats.org/spreadsheetml/2006/main" count="52" uniqueCount="48">
  <si>
    <t>Price</t>
  </si>
  <si>
    <t>Shares</t>
  </si>
  <si>
    <t>MC</t>
  </si>
  <si>
    <t>Cash</t>
  </si>
  <si>
    <t>Debt</t>
  </si>
  <si>
    <t>EV</t>
  </si>
  <si>
    <t>Main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</si>
  <si>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</si>
  <si>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</si>
  <si>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</si>
  <si>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</si>
  <si>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</si>
  <si>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</si>
  <si>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</si>
  <si>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</si>
  <si>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</si>
  <si>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</si>
  <si>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</si>
  <si>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</si>
  <si>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</t>
  </si>
  <si>
    <t>Operating Income</t>
  </si>
  <si>
    <t>SG&amp;A</t>
  </si>
  <si>
    <t>Gross Profit</t>
  </si>
  <si>
    <t>COGS</t>
  </si>
  <si>
    <t>EPS</t>
  </si>
  <si>
    <t>Net Income</t>
  </si>
  <si>
    <t>Taxes</t>
  </si>
  <si>
    <t>Pretax Income</t>
  </si>
  <si>
    <t>Interest Income</t>
  </si>
  <si>
    <t>Revenue y/y</t>
  </si>
  <si>
    <t>Gross Margin</t>
  </si>
  <si>
    <t>CFFO</t>
  </si>
  <si>
    <t>CapEx</t>
  </si>
  <si>
    <t>FCF</t>
  </si>
  <si>
    <t>FY24</t>
  </si>
  <si>
    <t>FY23</t>
  </si>
  <si>
    <t>TTM FCF</t>
  </si>
  <si>
    <t>FY22</t>
  </si>
  <si>
    <t>FY21</t>
  </si>
  <si>
    <t>FY20</t>
  </si>
  <si>
    <t>Q125</t>
  </si>
  <si>
    <t>Q225</t>
  </si>
  <si>
    <t>Q325</t>
  </si>
  <si>
    <t>Q425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</si>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</sst>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F0E6D3A-11C4-43AB-BE78-E73A95D263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25400</xdr:rowOff>
    </xdr:from>
    <xdr:to>
      <xdr:col>16</xdr:col>
      <xdr:colOff>19050</xdr:colOff>
      <xdr:row>41</xdr:row>
      <xdr:rowOff>120650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2A3D6E2-4A10-E678-A11D-E7870F5350B8}"/>
            </a:ext>
          </a:extLst>
        </xdr:cNvPr>
        <xdr:cNvCxnSpPr/>
      </xdr:nvCxnSpPr>
      <xdr:spPr>
        <a:xfrm>
          <a:off x="10902950" y="25400"/>
          <a:ext cx="0" cy="6616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EC1E-7DCA-45DA-A36A-6616F35DDB55}">
  <dimension ref="K2:M8"/>
  <sheetViews>
    <sheetView zoomScale="115" zoomScaleNormal="115" workbookViewId="0">
      <selection activeCell="M6" sqref="M6"/>
    </sheetView>
  </sheetViews>
  <sheetFormatPr defaultRowHeight="12.5" x14ac:dyDescent="0.25"/>
  <sheetData>
    <row r="2" spans="11:13" x14ac:dyDescent="0.25">
      <c r="K2" t="s">
        <v>0</v>
      </c>
      <c r="L2" s="1">
        <v>379.5</v>
      </c>
    </row>
    <row r="3" spans="11:13" x14ac:dyDescent="0.25">
      <c r="K3" t="s">
        <v>1</v>
      </c>
      <c r="L3" s="3">
        <v>994</v>
      </c>
      <c r="M3" s="2" t="s">
        <v>41</v>
      </c>
    </row>
    <row r="4" spans="11:13" x14ac:dyDescent="0.25">
      <c r="K4" t="s">
        <v>2</v>
      </c>
      <c r="L4" s="3">
        <f>+L2*L3</f>
        <v>377223</v>
      </c>
    </row>
    <row r="5" spans="11:13" x14ac:dyDescent="0.25">
      <c r="K5" t="s">
        <v>3</v>
      </c>
      <c r="L5" s="3">
        <v>2804</v>
      </c>
      <c r="M5" s="2" t="s">
        <v>41</v>
      </c>
    </row>
    <row r="6" spans="11:13" x14ac:dyDescent="0.25">
      <c r="K6" t="s">
        <v>4</v>
      </c>
      <c r="L6" s="3">
        <f>45917+6400</f>
        <v>52317</v>
      </c>
      <c r="M6" s="2" t="s">
        <v>41</v>
      </c>
    </row>
    <row r="7" spans="11:13" x14ac:dyDescent="0.25">
      <c r="K7" t="s">
        <v>5</v>
      </c>
      <c r="L7" s="3">
        <f>+L4-L5+L6</f>
        <v>426736</v>
      </c>
    </row>
    <row r="8" spans="11:13" x14ac:dyDescent="0.25">
      <c r="L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03C5-CD51-4AE7-8A66-A634D014CF60}">
  <dimension ref="A1:AC21"/>
  <sheetViews>
    <sheetView tabSelected="1" zoomScaleNormal="10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21" sqref="N21"/>
    </sheetView>
  </sheetViews>
  <sheetFormatPr defaultRowHeight="12.5" x14ac:dyDescent="0.25"/>
  <cols>
    <col min="1" max="1" width="5" bestFit="1" customWidth="1"/>
    <col min="2" max="2" width="16" bestFit="1" customWidth="1"/>
    <col min="3" max="4" width="9.1796875" style="2"/>
    <col min="5" max="5" width="10.453125" style="2" bestFit="1" customWidth="1"/>
    <col min="6" max="8" width="9.1796875" style="2"/>
    <col min="9" max="9" width="10.453125" style="2" bestFit="1" customWidth="1"/>
    <col min="10" max="12" width="9.6328125" style="2" customWidth="1"/>
    <col min="13" max="13" width="10.1796875" style="2" customWidth="1"/>
    <col min="14" max="16" width="9.6328125" style="2" customWidth="1"/>
    <col min="17" max="17" width="10.08984375" style="2" customWidth="1"/>
    <col min="18" max="23" width="8.7265625" style="2"/>
  </cols>
  <sheetData>
    <row r="1" spans="1:29" x14ac:dyDescent="0.25">
      <c r="A1" s="11" t="s">
        <v>6</v>
      </c>
      <c r="D1" s="4">
        <v>44773</v>
      </c>
      <c r="E1" s="4">
        <v>44864</v>
      </c>
      <c r="F1" s="4">
        <v>44955</v>
      </c>
      <c r="G1" s="4">
        <v>45046</v>
      </c>
      <c r="H1" s="4">
        <v>45137</v>
      </c>
      <c r="I1" s="4">
        <v>45228</v>
      </c>
      <c r="J1" s="4">
        <v>45319</v>
      </c>
      <c r="K1" s="4">
        <v>45410</v>
      </c>
      <c r="L1" s="4">
        <v>45501</v>
      </c>
      <c r="M1" s="4">
        <f>+I1+365</f>
        <v>45593</v>
      </c>
      <c r="N1" s="4">
        <v>45690</v>
      </c>
      <c r="O1" s="4">
        <f>+K1+365</f>
        <v>45775</v>
      </c>
      <c r="P1" s="4">
        <v>45872</v>
      </c>
      <c r="Q1" s="4">
        <f>+M1+365</f>
        <v>45958</v>
      </c>
    </row>
    <row r="2" spans="1:29" x14ac:dyDescent="0.25"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Y2" s="2" t="s">
        <v>39</v>
      </c>
      <c r="Z2" s="2" t="s">
        <v>38</v>
      </c>
      <c r="AA2" s="2" t="s">
        <v>37</v>
      </c>
      <c r="AB2" s="2" t="s">
        <v>35</v>
      </c>
      <c r="AC2" s="2" t="s">
        <v>34</v>
      </c>
    </row>
    <row r="3" spans="1:29" s="8" customFormat="1" ht="13" x14ac:dyDescent="0.3">
      <c r="B3" s="8" t="s">
        <v>19</v>
      </c>
      <c r="C3" s="9"/>
      <c r="D3" s="9">
        <v>43792</v>
      </c>
      <c r="E3" s="9">
        <v>38872</v>
      </c>
      <c r="F3" s="9">
        <v>35831</v>
      </c>
      <c r="G3" s="9">
        <v>37257</v>
      </c>
      <c r="H3" s="9">
        <v>42916</v>
      </c>
      <c r="I3" s="9">
        <v>37710</v>
      </c>
      <c r="J3" s="9">
        <v>34786</v>
      </c>
      <c r="K3" s="9">
        <v>36418</v>
      </c>
      <c r="L3" s="9">
        <v>43175</v>
      </c>
      <c r="M3" s="9">
        <v>40217</v>
      </c>
      <c r="N3" s="9">
        <v>39704</v>
      </c>
      <c r="O3" s="9">
        <v>39856</v>
      </c>
      <c r="P3" s="9">
        <v>45277</v>
      </c>
      <c r="Q3" s="9"/>
      <c r="R3" s="9"/>
      <c r="S3" s="9"/>
      <c r="T3" s="9"/>
      <c r="U3" s="9"/>
      <c r="V3" s="9"/>
      <c r="W3" s="9"/>
      <c r="Y3" s="8">
        <v>132110</v>
      </c>
      <c r="Z3" s="8">
        <v>151157</v>
      </c>
      <c r="AA3" s="8">
        <v>157403</v>
      </c>
      <c r="AB3" s="8">
        <f>SUM(G3:J3)</f>
        <v>152669</v>
      </c>
    </row>
    <row r="4" spans="1:29" s="3" customFormat="1" x14ac:dyDescent="0.25">
      <c r="B4" s="3" t="s">
        <v>23</v>
      </c>
      <c r="C4" s="5"/>
      <c r="D4" s="5">
        <v>29309</v>
      </c>
      <c r="E4" s="5">
        <v>25648</v>
      </c>
      <c r="F4" s="5">
        <v>23905</v>
      </c>
      <c r="G4" s="5">
        <v>24700</v>
      </c>
      <c r="H4" s="5">
        <v>28759</v>
      </c>
      <c r="I4" s="5">
        <v>24972</v>
      </c>
      <c r="J4" s="5">
        <v>23278</v>
      </c>
      <c r="K4" s="5">
        <v>23985</v>
      </c>
      <c r="L4" s="5">
        <v>28759</v>
      </c>
      <c r="M4" s="5">
        <v>26792</v>
      </c>
      <c r="N4" s="5">
        <v>26670</v>
      </c>
      <c r="O4" s="5">
        <v>26397</v>
      </c>
      <c r="P4" s="5">
        <v>30152</v>
      </c>
      <c r="Q4" s="5"/>
      <c r="R4" s="5"/>
      <c r="S4" s="5"/>
      <c r="T4" s="5"/>
      <c r="U4" s="5"/>
      <c r="V4" s="5"/>
      <c r="W4" s="5"/>
      <c r="Y4" s="3">
        <v>87257</v>
      </c>
      <c r="Z4" s="3">
        <v>100325</v>
      </c>
      <c r="AA4" s="3">
        <v>104625</v>
      </c>
      <c r="AB4" s="3">
        <f>SUM(G4:J4)</f>
        <v>101709</v>
      </c>
    </row>
    <row r="5" spans="1:29" s="3" customFormat="1" x14ac:dyDescent="0.25">
      <c r="B5" s="3" t="s">
        <v>22</v>
      </c>
      <c r="C5" s="5"/>
      <c r="D5" s="5">
        <f>+D3-D4</f>
        <v>14483</v>
      </c>
      <c r="E5" s="5">
        <f>+E3-E4</f>
        <v>13224</v>
      </c>
      <c r="F5" s="5">
        <f>+F3-F4</f>
        <v>11926</v>
      </c>
      <c r="G5" s="5">
        <f>+G3-G4</f>
        <v>12557</v>
      </c>
      <c r="H5" s="5">
        <f t="shared" ref="H5:O5" si="0">+H3-H4</f>
        <v>14157</v>
      </c>
      <c r="I5" s="5">
        <f t="shared" si="0"/>
        <v>12738</v>
      </c>
      <c r="J5" s="5">
        <f t="shared" si="0"/>
        <v>11508</v>
      </c>
      <c r="K5" s="5">
        <f t="shared" si="0"/>
        <v>12433</v>
      </c>
      <c r="L5" s="5">
        <f t="shared" si="0"/>
        <v>14416</v>
      </c>
      <c r="M5" s="5">
        <f t="shared" si="0"/>
        <v>13425</v>
      </c>
      <c r="N5" s="5">
        <f t="shared" si="0"/>
        <v>13034</v>
      </c>
      <c r="O5" s="5">
        <f t="shared" si="0"/>
        <v>13459</v>
      </c>
      <c r="P5" s="5">
        <f>+P3-P4</f>
        <v>15125</v>
      </c>
      <c r="Q5" s="5"/>
      <c r="R5" s="5"/>
      <c r="S5" s="5"/>
      <c r="T5" s="5"/>
      <c r="U5" s="5"/>
      <c r="V5" s="5"/>
      <c r="W5" s="5"/>
      <c r="Y5" s="3">
        <f>+Y3-Y4</f>
        <v>44853</v>
      </c>
      <c r="Z5" s="3">
        <f>+Z3-Z4</f>
        <v>50832</v>
      </c>
      <c r="AA5" s="3">
        <f>+AA3-AA4</f>
        <v>52778</v>
      </c>
      <c r="AB5" s="3">
        <f>+AB3-AB4</f>
        <v>50960</v>
      </c>
    </row>
    <row r="6" spans="1:29" s="3" customFormat="1" x14ac:dyDescent="0.25">
      <c r="B6" s="3" t="s">
        <v>21</v>
      </c>
      <c r="C6" s="5"/>
      <c r="D6" s="5">
        <v>6657</v>
      </c>
      <c r="E6" s="5">
        <v>6468</v>
      </c>
      <c r="F6" s="5">
        <v>6549</v>
      </c>
      <c r="G6" s="5">
        <v>6355</v>
      </c>
      <c r="H6" s="5">
        <v>5915</v>
      </c>
      <c r="I6" s="5">
        <v>6649</v>
      </c>
      <c r="J6" s="5">
        <v>6679</v>
      </c>
      <c r="K6" s="5">
        <v>6667</v>
      </c>
      <c r="L6" s="5">
        <v>7144</v>
      </c>
      <c r="M6" s="5">
        <v>7212</v>
      </c>
      <c r="N6" s="5">
        <v>7725</v>
      </c>
      <c r="O6" s="5">
        <v>7530</v>
      </c>
      <c r="P6" s="5">
        <v>7764</v>
      </c>
      <c r="Q6" s="5"/>
      <c r="R6" s="5"/>
      <c r="S6" s="5"/>
      <c r="T6" s="5"/>
      <c r="U6" s="5"/>
      <c r="V6" s="5"/>
      <c r="W6" s="5"/>
      <c r="Y6" s="3">
        <v>24447</v>
      </c>
      <c r="Z6" s="3">
        <v>25406</v>
      </c>
      <c r="AA6" s="3">
        <v>26284</v>
      </c>
      <c r="AB6" s="3">
        <f>SUM(G6:J6)</f>
        <v>25598</v>
      </c>
    </row>
    <row r="7" spans="1:29" s="3" customFormat="1" x14ac:dyDescent="0.25">
      <c r="B7" s="3" t="s">
        <v>20</v>
      </c>
      <c r="C7" s="5"/>
      <c r="D7" s="5">
        <f t="shared" ref="D7:J7" si="1">+D5-D6</f>
        <v>7826</v>
      </c>
      <c r="E7" s="5">
        <f t="shared" si="1"/>
        <v>6756</v>
      </c>
      <c r="F7" s="5">
        <f t="shared" si="1"/>
        <v>5377</v>
      </c>
      <c r="G7" s="5">
        <f t="shared" si="1"/>
        <v>6202</v>
      </c>
      <c r="H7" s="5">
        <f t="shared" si="1"/>
        <v>8242</v>
      </c>
      <c r="I7" s="5">
        <f t="shared" si="1"/>
        <v>6089</v>
      </c>
      <c r="J7" s="5">
        <f t="shared" si="1"/>
        <v>4829</v>
      </c>
      <c r="K7" s="5">
        <f>+K5-K6</f>
        <v>5766</v>
      </c>
      <c r="L7" s="5">
        <f t="shared" ref="L7:P7" si="2">+L5-L6</f>
        <v>7272</v>
      </c>
      <c r="M7" s="5">
        <f t="shared" si="2"/>
        <v>6213</v>
      </c>
      <c r="N7" s="5">
        <f t="shared" si="2"/>
        <v>5309</v>
      </c>
      <c r="O7" s="5">
        <f t="shared" si="2"/>
        <v>5929</v>
      </c>
      <c r="P7" s="5">
        <f t="shared" si="2"/>
        <v>7361</v>
      </c>
      <c r="Q7" s="5"/>
      <c r="R7" s="5"/>
      <c r="S7" s="5"/>
      <c r="T7" s="5"/>
      <c r="U7" s="5"/>
      <c r="V7" s="5"/>
      <c r="W7" s="5"/>
      <c r="Y7" s="3">
        <f t="shared" ref="Y7:AA7" si="3">+Y5-Y6</f>
        <v>20406</v>
      </c>
      <c r="Z7" s="3">
        <f t="shared" si="3"/>
        <v>25426</v>
      </c>
      <c r="AA7" s="3">
        <f t="shared" si="3"/>
        <v>26494</v>
      </c>
      <c r="AB7" s="3">
        <f>+AB5-AB6</f>
        <v>25362</v>
      </c>
    </row>
    <row r="8" spans="1:29" s="3" customFormat="1" x14ac:dyDescent="0.25">
      <c r="B8" s="3" t="s">
        <v>28</v>
      </c>
      <c r="C8" s="5"/>
      <c r="D8" s="5">
        <f>-381+2</f>
        <v>-379</v>
      </c>
      <c r="E8" s="5">
        <f>-413+7</f>
        <v>-406</v>
      </c>
      <c r="F8" s="5">
        <f>-451+43</f>
        <v>-408</v>
      </c>
      <c r="G8" s="5">
        <f>-474+33</f>
        <v>-441</v>
      </c>
      <c r="H8" s="5">
        <f>-469+41</f>
        <v>-428</v>
      </c>
      <c r="I8" s="5">
        <f>-487+49</f>
        <v>-438</v>
      </c>
      <c r="J8" s="5">
        <f>-513+55</f>
        <v>-458</v>
      </c>
      <c r="K8" s="5">
        <f>-485+57</f>
        <v>-428</v>
      </c>
      <c r="L8" s="5">
        <f>84-573</f>
        <v>-489</v>
      </c>
      <c r="M8" s="5">
        <f>30-625</f>
        <v>-595</v>
      </c>
      <c r="N8" s="5">
        <f>30-638</f>
        <v>-608</v>
      </c>
      <c r="O8" s="5">
        <f>24-615</f>
        <v>-591</v>
      </c>
      <c r="P8" s="5">
        <f>25-575</f>
        <v>-550</v>
      </c>
      <c r="Q8" s="5"/>
      <c r="R8" s="5"/>
      <c r="S8" s="5"/>
      <c r="T8" s="5"/>
      <c r="U8" s="5"/>
      <c r="V8" s="5"/>
      <c r="W8" s="5"/>
      <c r="Y8" s="3">
        <v>-1562</v>
      </c>
      <c r="Z8" s="3">
        <v>-1303</v>
      </c>
      <c r="AA8" s="3">
        <v>-1300</v>
      </c>
      <c r="AB8" s="3">
        <f>SUM(G8:J8)</f>
        <v>-1765</v>
      </c>
    </row>
    <row r="9" spans="1:29" s="3" customFormat="1" x14ac:dyDescent="0.25">
      <c r="B9" s="3" t="s">
        <v>27</v>
      </c>
      <c r="C9" s="5"/>
      <c r="D9" s="5">
        <f t="shared" ref="D9:J9" si="4">+D7+D8</f>
        <v>7447</v>
      </c>
      <c r="E9" s="5">
        <f t="shared" si="4"/>
        <v>6350</v>
      </c>
      <c r="F9" s="5">
        <f t="shared" si="4"/>
        <v>4969</v>
      </c>
      <c r="G9" s="5">
        <f t="shared" si="4"/>
        <v>5761</v>
      </c>
      <c r="H9" s="5">
        <f t="shared" si="4"/>
        <v>7814</v>
      </c>
      <c r="I9" s="5">
        <f t="shared" si="4"/>
        <v>5651</v>
      </c>
      <c r="J9" s="5">
        <f t="shared" si="4"/>
        <v>4371</v>
      </c>
      <c r="K9" s="5">
        <f>+K7+K8</f>
        <v>5338</v>
      </c>
      <c r="L9" s="5">
        <f t="shared" ref="L9:P9" si="5">+L7+L8</f>
        <v>6783</v>
      </c>
      <c r="M9" s="5">
        <f t="shared" si="5"/>
        <v>5618</v>
      </c>
      <c r="N9" s="5">
        <f t="shared" si="5"/>
        <v>4701</v>
      </c>
      <c r="O9" s="5">
        <f t="shared" si="5"/>
        <v>5338</v>
      </c>
      <c r="P9" s="5">
        <f t="shared" si="5"/>
        <v>6811</v>
      </c>
      <c r="Q9" s="5"/>
      <c r="R9" s="5"/>
      <c r="S9" s="5"/>
      <c r="T9" s="5"/>
      <c r="U9" s="5"/>
      <c r="V9" s="5"/>
      <c r="W9" s="5"/>
      <c r="Y9" s="3">
        <f>+Y7+Y8</f>
        <v>18844</v>
      </c>
      <c r="Z9" s="3">
        <f>+Z7+Z8</f>
        <v>24123</v>
      </c>
      <c r="AA9" s="3">
        <f>+AA7+AA8</f>
        <v>25194</v>
      </c>
      <c r="AB9" s="3">
        <f>+AB7+AB8</f>
        <v>23597</v>
      </c>
    </row>
    <row r="10" spans="1:29" s="3" customFormat="1" x14ac:dyDescent="0.25">
      <c r="B10" s="3" t="s">
        <v>26</v>
      </c>
      <c r="C10" s="5"/>
      <c r="D10" s="5">
        <v>1658</v>
      </c>
      <c r="E10" s="5">
        <v>1403</v>
      </c>
      <c r="F10" s="5">
        <v>982</v>
      </c>
      <c r="G10" s="5">
        <v>1237</v>
      </c>
      <c r="H10" s="5">
        <v>1502</v>
      </c>
      <c r="I10" s="5">
        <v>1158</v>
      </c>
      <c r="J10" s="5">
        <v>884</v>
      </c>
      <c r="K10" s="5">
        <v>1051</v>
      </c>
      <c r="L10" s="5">
        <v>1484</v>
      </c>
      <c r="M10" s="5">
        <v>1175</v>
      </c>
      <c r="N10" s="5">
        <v>890</v>
      </c>
      <c r="O10" s="5">
        <v>1109</v>
      </c>
      <c r="P10" s="5">
        <v>1454</v>
      </c>
      <c r="Q10" s="5"/>
      <c r="R10" s="5"/>
      <c r="S10" s="5"/>
      <c r="T10" s="5"/>
      <c r="U10" s="5"/>
      <c r="V10" s="5"/>
      <c r="W10" s="5"/>
      <c r="Y10" s="3">
        <v>4112</v>
      </c>
      <c r="Z10" s="3">
        <v>5304</v>
      </c>
      <c r="AA10" s="3">
        <v>5372</v>
      </c>
      <c r="AB10" s="3">
        <f>SUM(G10:J10)</f>
        <v>4781</v>
      </c>
    </row>
    <row r="11" spans="1:29" s="3" customFormat="1" x14ac:dyDescent="0.25">
      <c r="B11" s="3" t="s">
        <v>25</v>
      </c>
      <c r="C11" s="5"/>
      <c r="D11" s="5">
        <f t="shared" ref="D11:J11" si="6">+D9-D10</f>
        <v>5789</v>
      </c>
      <c r="E11" s="5">
        <f t="shared" si="6"/>
        <v>4947</v>
      </c>
      <c r="F11" s="5">
        <f t="shared" si="6"/>
        <v>3987</v>
      </c>
      <c r="G11" s="5">
        <f t="shared" si="6"/>
        <v>4524</v>
      </c>
      <c r="H11" s="5">
        <f t="shared" si="6"/>
        <v>6312</v>
      </c>
      <c r="I11" s="5">
        <f t="shared" si="6"/>
        <v>4493</v>
      </c>
      <c r="J11" s="5">
        <f t="shared" si="6"/>
        <v>3487</v>
      </c>
      <c r="K11" s="5">
        <f>+K9-K10</f>
        <v>4287</v>
      </c>
      <c r="L11" s="5">
        <f t="shared" ref="L11:P11" si="7">+L9-L10</f>
        <v>5299</v>
      </c>
      <c r="M11" s="5">
        <f t="shared" si="7"/>
        <v>4443</v>
      </c>
      <c r="N11" s="5">
        <f t="shared" si="7"/>
        <v>3811</v>
      </c>
      <c r="O11" s="5">
        <f t="shared" si="7"/>
        <v>4229</v>
      </c>
      <c r="P11" s="5">
        <f t="shared" si="7"/>
        <v>5357</v>
      </c>
      <c r="Q11" s="5"/>
      <c r="R11" s="5"/>
      <c r="S11" s="5"/>
      <c r="T11" s="5"/>
      <c r="U11" s="5"/>
      <c r="V11" s="5"/>
      <c r="W11" s="5"/>
      <c r="Y11" s="3">
        <f>+Y9-Y10</f>
        <v>14732</v>
      </c>
      <c r="Z11" s="3">
        <f>+Z9-Z10</f>
        <v>18819</v>
      </c>
      <c r="AA11" s="3">
        <f>+AA9-AA10</f>
        <v>19822</v>
      </c>
      <c r="AB11" s="3">
        <f>+AB9-AB10</f>
        <v>18816</v>
      </c>
    </row>
    <row r="12" spans="1:29" x14ac:dyDescent="0.25">
      <c r="B12" t="s">
        <v>24</v>
      </c>
      <c r="D12" s="6">
        <f t="shared" ref="D12:J12" si="8">+D11/D13</f>
        <v>5.6478048780487802</v>
      </c>
      <c r="E12" s="6">
        <f t="shared" si="8"/>
        <v>4.8357771260997069</v>
      </c>
      <c r="F12" s="6">
        <f t="shared" si="8"/>
        <v>3.9165029469548132</v>
      </c>
      <c r="G12" s="6">
        <f t="shared" si="8"/>
        <v>4.4659427443237911</v>
      </c>
      <c r="H12" s="6">
        <f t="shared" si="8"/>
        <v>6.2931206380857425</v>
      </c>
      <c r="I12" s="6">
        <f t="shared" si="8"/>
        <v>4.4974974974974975</v>
      </c>
      <c r="J12" s="6">
        <f t="shared" si="8"/>
        <v>3.5080482897384306</v>
      </c>
      <c r="K12" s="6">
        <f>+K11/K13</f>
        <v>4.321572580645161</v>
      </c>
      <c r="L12" s="6">
        <f t="shared" ref="L12:P12" si="9">+L11/L13</f>
        <v>5.341733870967742</v>
      </c>
      <c r="M12" s="6">
        <f t="shared" si="9"/>
        <v>4.4743202416918431</v>
      </c>
      <c r="N12" s="6">
        <f t="shared" si="9"/>
        <v>3.8340040241448694</v>
      </c>
      <c r="O12" s="6">
        <f t="shared" si="9"/>
        <v>4.2545271629778671</v>
      </c>
      <c r="P12" s="6">
        <f t="shared" si="9"/>
        <v>5.3893360160965793</v>
      </c>
      <c r="Y12" s="1">
        <f t="shared" ref="Y12:AA12" si="10">+Y11/Y13</f>
        <v>13.66604823747681</v>
      </c>
      <c r="Z12" s="1">
        <f t="shared" si="10"/>
        <v>17.78733459357278</v>
      </c>
      <c r="AA12" s="1">
        <f t="shared" si="10"/>
        <v>19.338536585365855</v>
      </c>
      <c r="AB12" s="1">
        <f>+AB11/AB13</f>
        <v>18.773759042155152</v>
      </c>
    </row>
    <row r="13" spans="1:29" s="3" customFormat="1" x14ac:dyDescent="0.25">
      <c r="B13" s="3" t="s">
        <v>1</v>
      </c>
      <c r="C13" s="5"/>
      <c r="D13" s="5">
        <v>1025</v>
      </c>
      <c r="E13" s="5">
        <v>1023</v>
      </c>
      <c r="F13" s="5">
        <v>1018</v>
      </c>
      <c r="G13" s="5">
        <v>1013</v>
      </c>
      <c r="H13" s="5">
        <v>1003</v>
      </c>
      <c r="I13" s="5">
        <v>999</v>
      </c>
      <c r="J13" s="5">
        <v>994</v>
      </c>
      <c r="K13" s="5">
        <v>992</v>
      </c>
      <c r="L13" s="5">
        <v>992</v>
      </c>
      <c r="M13" s="5">
        <v>993</v>
      </c>
      <c r="N13" s="5">
        <v>994</v>
      </c>
      <c r="O13" s="5">
        <v>994</v>
      </c>
      <c r="P13" s="5">
        <v>994</v>
      </c>
      <c r="Q13" s="5"/>
      <c r="R13" s="5"/>
      <c r="S13" s="5"/>
      <c r="T13" s="5"/>
      <c r="U13" s="5"/>
      <c r="V13" s="5"/>
      <c r="W13" s="5"/>
      <c r="Y13" s="3">
        <v>1078</v>
      </c>
      <c r="Z13" s="3">
        <v>1058</v>
      </c>
      <c r="AA13" s="3">
        <v>1025</v>
      </c>
      <c r="AB13" s="3">
        <f>AVERAGE(G13:J13)</f>
        <v>1002.25</v>
      </c>
    </row>
    <row r="15" spans="1:29" x14ac:dyDescent="0.25">
      <c r="B15" s="3" t="s">
        <v>29</v>
      </c>
      <c r="H15" s="7">
        <f>+H3/D3-1</f>
        <v>-2.0003653635367158E-2</v>
      </c>
      <c r="I15" s="7">
        <f>+I3/E3-1</f>
        <v>-2.9892982095081289E-2</v>
      </c>
      <c r="J15" s="7">
        <f>+J3/F3-1</f>
        <v>-2.9164689793753973E-2</v>
      </c>
      <c r="K15" s="7">
        <f>+K3/G3-1</f>
        <v>-2.2519258125989761E-2</v>
      </c>
      <c r="L15" s="7">
        <f>+L3/H3-1</f>
        <v>6.0350452045856429E-3</v>
      </c>
      <c r="M15" s="7">
        <f>+M3/I3-1</f>
        <v>6.6481039512065854E-2</v>
      </c>
      <c r="N15" s="7">
        <f>+N3/J3-1</f>
        <v>0.14137871557523152</v>
      </c>
      <c r="O15" s="7">
        <f>+O3/K3-1</f>
        <v>9.4403866220001076E-2</v>
      </c>
      <c r="P15" s="7">
        <f>+P3/L3-1</f>
        <v>4.868558193398953E-2</v>
      </c>
      <c r="Z15" s="10">
        <f>+Z3/Y3-1</f>
        <v>0.14417530845507542</v>
      </c>
      <c r="AA15" s="10">
        <f t="shared" ref="AA15:AB15" si="11">+AA3/Z3-1</f>
        <v>4.1321275230389531E-2</v>
      </c>
      <c r="AB15" s="10">
        <f t="shared" si="11"/>
        <v>-3.0075665648049865E-2</v>
      </c>
    </row>
    <row r="16" spans="1:29" x14ac:dyDescent="0.25">
      <c r="B16" t="s">
        <v>30</v>
      </c>
      <c r="D16" s="7">
        <f t="shared" ref="D16:J16" si="12">+D5/D3</f>
        <v>0.33072250639386191</v>
      </c>
      <c r="E16" s="7">
        <f t="shared" si="12"/>
        <v>0.34019345544350688</v>
      </c>
      <c r="F16" s="7">
        <f t="shared" si="12"/>
        <v>0.33284027797158883</v>
      </c>
      <c r="G16" s="7">
        <f t="shared" si="12"/>
        <v>0.33703733526585611</v>
      </c>
      <c r="H16" s="7">
        <f t="shared" si="12"/>
        <v>0.32987696896262464</v>
      </c>
      <c r="I16" s="7">
        <f t="shared" si="12"/>
        <v>0.33778838504375497</v>
      </c>
      <c r="J16" s="7">
        <f t="shared" si="12"/>
        <v>0.33082274478238372</v>
      </c>
      <c r="K16" s="7">
        <f>+K5/K3</f>
        <v>0.34139711131857875</v>
      </c>
      <c r="L16" s="7">
        <f>+L5/L3</f>
        <v>0.33389693109438334</v>
      </c>
      <c r="M16" s="7">
        <f>+M5/M3</f>
        <v>0.33381405873138226</v>
      </c>
      <c r="N16" s="7">
        <f>+N5/N3</f>
        <v>0.32827926657263751</v>
      </c>
      <c r="O16" s="7">
        <f>+O5/O3</f>
        <v>0.33769068647129669</v>
      </c>
      <c r="P16" s="7">
        <f>+P5/P3</f>
        <v>0.33405481811957505</v>
      </c>
      <c r="Y16" s="7">
        <f t="shared" ref="Y16:AB16" si="13">+Y5/Y3</f>
        <v>0.33951252743925514</v>
      </c>
      <c r="Z16" s="7">
        <f t="shared" si="13"/>
        <v>0.33628611311417927</v>
      </c>
      <c r="AA16" s="7">
        <f t="shared" si="13"/>
        <v>0.33530491794946732</v>
      </c>
      <c r="AB16" s="7">
        <f t="shared" si="13"/>
        <v>0.33379402498215094</v>
      </c>
    </row>
    <row r="18" spans="2:29" s="3" customFormat="1" x14ac:dyDescent="0.25">
      <c r="B18" s="3" t="s">
        <v>31</v>
      </c>
      <c r="C18" s="5"/>
      <c r="D18" s="5">
        <f>7182-C18</f>
        <v>7182</v>
      </c>
      <c r="E18" s="5">
        <f>13743-D18-C18</f>
        <v>6561</v>
      </c>
      <c r="F18" s="5">
        <f>+AB18-E18-D18-C18</f>
        <v>872</v>
      </c>
      <c r="G18" s="5">
        <v>5614</v>
      </c>
      <c r="H18" s="5">
        <f>12205-G18</f>
        <v>6591</v>
      </c>
      <c r="I18" s="5">
        <f>16439-H18-G18</f>
        <v>4234</v>
      </c>
      <c r="J18" s="5">
        <f>+AC18-I18-G18</f>
        <v>11324</v>
      </c>
      <c r="K18" s="5">
        <v>5497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Y18" s="3">
        <v>18839</v>
      </c>
      <c r="Z18" s="3">
        <v>16571</v>
      </c>
      <c r="AA18" s="3">
        <v>14615</v>
      </c>
      <c r="AB18" s="3">
        <v>14615</v>
      </c>
      <c r="AC18" s="3">
        <v>21172</v>
      </c>
    </row>
    <row r="19" spans="2:29" s="3" customFormat="1" x14ac:dyDescent="0.25">
      <c r="B19" s="3" t="s">
        <v>32</v>
      </c>
      <c r="C19" s="5"/>
      <c r="D19" s="5">
        <f>1447-C19</f>
        <v>1447</v>
      </c>
      <c r="E19" s="5">
        <f>2216-D19-C19</f>
        <v>769</v>
      </c>
      <c r="F19" s="5">
        <f>+AB19-E19-D19-C19</f>
        <v>903</v>
      </c>
      <c r="G19" s="5">
        <v>905</v>
      </c>
      <c r="H19" s="5">
        <f>1697-G19</f>
        <v>792</v>
      </c>
      <c r="I19" s="5">
        <f>2368-H19-G19</f>
        <v>671</v>
      </c>
      <c r="J19" s="5">
        <f>+AC19-I19-G19</f>
        <v>1650</v>
      </c>
      <c r="K19" s="5">
        <v>847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Y19" s="3">
        <v>2463</v>
      </c>
      <c r="Z19" s="3">
        <v>2566</v>
      </c>
      <c r="AA19" s="3">
        <v>3119</v>
      </c>
      <c r="AB19" s="3">
        <v>3119</v>
      </c>
      <c r="AC19" s="3">
        <v>3226</v>
      </c>
    </row>
    <row r="20" spans="2:29" s="3" customFormat="1" ht="13" x14ac:dyDescent="0.3">
      <c r="B20" s="3" t="s">
        <v>33</v>
      </c>
      <c r="C20" s="5"/>
      <c r="D20" s="5">
        <f>+D18-D19</f>
        <v>5735</v>
      </c>
      <c r="E20" s="5">
        <f>+E18-E19</f>
        <v>5792</v>
      </c>
      <c r="F20" s="5">
        <f>+AB20-E20-D20-C20</f>
        <v>-31</v>
      </c>
      <c r="G20" s="5">
        <f>+G18-G19</f>
        <v>4709</v>
      </c>
      <c r="H20" s="5">
        <f>+H18-H19</f>
        <v>5799</v>
      </c>
      <c r="I20" s="5">
        <f t="shared" ref="I20:K20" si="14">+I18-I19</f>
        <v>3563</v>
      </c>
      <c r="J20" s="5">
        <f t="shared" si="14"/>
        <v>9674</v>
      </c>
      <c r="K20" s="5">
        <f t="shared" si="14"/>
        <v>4650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Y20" s="8">
        <f>+Y18-Y19</f>
        <v>16376</v>
      </c>
      <c r="Z20" s="8">
        <f>+Z18-Z19</f>
        <v>14005</v>
      </c>
      <c r="AA20" s="8">
        <f>+AA18-AA19</f>
        <v>11496</v>
      </c>
      <c r="AB20" s="8">
        <f>+AB18-AB19</f>
        <v>11496</v>
      </c>
      <c r="AC20" s="8">
        <f>+AC18-AC19</f>
        <v>17946</v>
      </c>
    </row>
    <row r="21" spans="2:29" x14ac:dyDescent="0.25">
      <c r="B21" s="3" t="s">
        <v>36</v>
      </c>
      <c r="F21" s="5"/>
      <c r="G21" s="5">
        <f>SUM(D20:G20)</f>
        <v>16205</v>
      </c>
      <c r="H21" s="5">
        <f>SUM(E20:H20)</f>
        <v>16269</v>
      </c>
      <c r="I21" s="5">
        <f>SUM(F20:I20)</f>
        <v>14040</v>
      </c>
      <c r="J21" s="5">
        <f>SUM(G20:J20)</f>
        <v>23745</v>
      </c>
      <c r="K21" s="5">
        <f>SUM(H20:K20)</f>
        <v>23686</v>
      </c>
    </row>
  </sheetData>
  <hyperlinks>
    <hyperlink ref="A1" location="Main!A1" display="Main" xr:uid="{AD3A22C8-1FC7-4D86-85FB-248C5BE6ECB7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2024-09-25T18:21:56Z</dcterms:created>
  <dcterms:modified xsi:type="dcterms:W3CDTF">2025-11-02T01:22:45Z</dcterms:modified>
</cp:coreProperties>
</file>