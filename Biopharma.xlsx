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E8E60105-C833-4355-B41F-BA1B24768A3E}" xr6:coauthVersionLast="47" xr6:coauthVersionMax="47" xr10:uidLastSave="{00000000-0000-0000-0000-000000000000}"/>
  <bookViews>
    <workbookView xWindow="47670" yWindow="4000" windowWidth="18410" windowHeight="14130" xr2:uid="{17641224-F2C3-441B-B85B-BB32567FE633}"/>
  </bookViews>
  <sheets>
    <sheet name="Main" sheetId="1" r:id="rId1"/>
    <sheet name="Drugs" sheetId="12" r:id="rId2"/>
    <sheet name="Industry Model" sheetId="9" r:id="rId3"/>
    <sheet name="Todo" sheetId="8" r:id="rId4"/>
    <sheet name="Launches" sheetId="6" r:id="rId5"/>
    <sheet name="China" sheetId="5" r:id="rId6"/>
    <sheet name="FX" sheetId="2" r:id="rId7"/>
    <sheet name="Private" sheetId="3" r:id="rId8"/>
    <sheet name="Funds" sheetId="10" r:id="rId9"/>
    <sheet name="Acquisitions" sheetId="4" r:id="rId10"/>
    <sheet name="Mergers" sheetId="13" r:id="rId11"/>
    <sheet name="Bankruptcies" sheetId="11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</externalReferences>
  <definedNames>
    <definedName name="AUD">FX!$C$5</definedName>
    <definedName name="CHF">FX!$C$3</definedName>
    <definedName name="CNY">FX!$C$11</definedName>
    <definedName name="DKK">FX!$C$2</definedName>
    <definedName name="DKKUSD">#REF!</definedName>
    <definedName name="EUR">FX!$C$4</definedName>
    <definedName name="GBP">FX!$C$6</definedName>
    <definedName name="HKD">FX!$C$8</definedName>
    <definedName name="INR">FX!$C$10</definedName>
    <definedName name="JPY">FX!$C$7</definedName>
    <definedName name="KRW">FX!$C$9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83" i="1" l="1"/>
  <c r="L383" i="1"/>
  <c r="H383" i="1" s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J383" i="1" l="1"/>
  <c r="I251" i="1"/>
  <c r="L251" i="1"/>
  <c r="H251" i="1" s="1"/>
  <c r="I373" i="1"/>
  <c r="L373" i="1"/>
  <c r="H373" i="1" s="1"/>
  <c r="J251" i="1" l="1"/>
  <c r="J373" i="1"/>
  <c r="I350" i="1"/>
  <c r="L350" i="1"/>
  <c r="H350" i="1" s="1"/>
  <c r="I123" i="4"/>
  <c r="L123" i="4"/>
  <c r="H123" i="4" s="1"/>
  <c r="J350" i="1" l="1"/>
  <c r="J123" i="4"/>
  <c r="D8" i="1"/>
  <c r="I10" i="1"/>
  <c r="L10" i="1"/>
  <c r="H10" i="1" s="1"/>
  <c r="J10" i="1" l="1"/>
  <c r="T10" i="1" s="1"/>
  <c r="U10" i="1"/>
  <c r="W10" i="1" l="1"/>
  <c r="V10" i="1"/>
  <c r="S10" i="1"/>
  <c r="I322" i="1"/>
  <c r="L322" i="1"/>
  <c r="H322" i="1" s="1"/>
  <c r="J322" i="1" l="1"/>
  <c r="I427" i="1"/>
  <c r="L427" i="1"/>
  <c r="H427" i="1" s="1"/>
  <c r="I162" i="1"/>
  <c r="L162" i="1"/>
  <c r="H162" i="1" s="1"/>
  <c r="I211" i="1"/>
  <c r="L211" i="1"/>
  <c r="H211" i="1" s="1"/>
  <c r="I285" i="1"/>
  <c r="L285" i="1"/>
  <c r="H285" i="1" s="1"/>
  <c r="M9" i="1"/>
  <c r="J162" i="1" l="1"/>
  <c r="J427" i="1"/>
  <c r="J211" i="1"/>
  <c r="J285" i="1"/>
  <c r="M27" i="1"/>
  <c r="I311" i="1" l="1"/>
  <c r="L311" i="1"/>
  <c r="H311" i="1" s="1"/>
  <c r="I200" i="1"/>
  <c r="L200" i="1"/>
  <c r="H200" i="1" s="1"/>
  <c r="J311" i="1" l="1"/>
  <c r="J200" i="1"/>
  <c r="I6" i="1"/>
  <c r="L6" i="1"/>
  <c r="H6" i="1" s="1"/>
  <c r="K24" i="1" l="1"/>
  <c r="AE4" i="1" l="1"/>
  <c r="AA22" i="1"/>
  <c r="L16" i="1"/>
  <c r="I121" i="4" l="1"/>
  <c r="E121" i="4" s="1"/>
  <c r="F121" i="4"/>
  <c r="H108" i="1"/>
  <c r="G121" i="4" l="1"/>
  <c r="J108" i="1"/>
  <c r="R22" i="1" l="1"/>
  <c r="Q22" i="1"/>
  <c r="P22" i="1"/>
  <c r="N22" i="1"/>
  <c r="O22" i="1" s="1"/>
  <c r="F120" i="4" l="1"/>
  <c r="I120" i="4"/>
  <c r="E120" i="4" s="1"/>
  <c r="G120" i="4" l="1"/>
  <c r="L375" i="1"/>
  <c r="H375" i="1" s="1"/>
  <c r="I375" i="1"/>
  <c r="J375" i="1" l="1"/>
  <c r="I434" i="1"/>
  <c r="L434" i="1"/>
  <c r="H434" i="1" s="1"/>
  <c r="J434" i="1" l="1"/>
  <c r="I381" i="1" l="1"/>
  <c r="L381" i="1"/>
  <c r="H381" i="1" s="1"/>
  <c r="J381" i="1" l="1"/>
  <c r="I88" i="1"/>
  <c r="L88" i="1"/>
  <c r="H88" i="1" s="1"/>
  <c r="J88" i="1" l="1"/>
  <c r="I229" i="1" l="1"/>
  <c r="L229" i="1"/>
  <c r="H229" i="1" s="1"/>
  <c r="J229" i="1" l="1"/>
  <c r="I255" i="1"/>
  <c r="L255" i="1"/>
  <c r="H255" i="1" s="1"/>
  <c r="J255" i="1" l="1"/>
  <c r="I161" i="1" l="1"/>
  <c r="L161" i="1"/>
  <c r="H161" i="1" s="1"/>
  <c r="J161" i="1" l="1"/>
  <c r="I253" i="1" l="1"/>
  <c r="L253" i="1"/>
  <c r="H253" i="1" s="1"/>
  <c r="J253" i="1" l="1"/>
  <c r="I252" i="1"/>
  <c r="L252" i="1"/>
  <c r="H252" i="1" s="1"/>
  <c r="J252" i="1" l="1"/>
  <c r="I429" i="1" l="1"/>
  <c r="L429" i="1"/>
  <c r="H429" i="1" s="1"/>
  <c r="AN1" i="6"/>
  <c r="J429" i="1" l="1"/>
  <c r="I374" i="1"/>
  <c r="L374" i="1"/>
  <c r="H374" i="1" s="1"/>
  <c r="J374" i="1" l="1"/>
  <c r="R16" i="1" l="1"/>
  <c r="Q16" i="1"/>
  <c r="P16" i="1"/>
  <c r="N16" i="1" l="1"/>
  <c r="O16" i="1" s="1"/>
  <c r="N19" i="9" l="1"/>
  <c r="N16" i="9" s="1"/>
  <c r="I430" i="1" l="1"/>
  <c r="L430" i="1"/>
  <c r="H430" i="1" s="1"/>
  <c r="I421" i="1"/>
  <c r="L421" i="1"/>
  <c r="H421" i="1" s="1"/>
  <c r="I405" i="1"/>
  <c r="L405" i="1"/>
  <c r="H405" i="1" s="1"/>
  <c r="J421" i="1" l="1"/>
  <c r="J430" i="1"/>
  <c r="J405" i="1"/>
  <c r="I232" i="1" l="1"/>
  <c r="L232" i="1"/>
  <c r="H232" i="1" s="1"/>
  <c r="J232" i="1" l="1"/>
  <c r="I165" i="1"/>
  <c r="L165" i="1"/>
  <c r="H165" i="1" s="1"/>
  <c r="I284" i="1"/>
  <c r="L284" i="1"/>
  <c r="H284" i="1" s="1"/>
  <c r="L547" i="1"/>
  <c r="H547" i="1" s="1"/>
  <c r="J165" i="1" l="1"/>
  <c r="J284" i="1"/>
  <c r="I99" i="1"/>
  <c r="L99" i="1"/>
  <c r="H99" i="1" s="1"/>
  <c r="J99" i="1" l="1"/>
  <c r="G14" i="6"/>
  <c r="AQ2" i="13" l="1"/>
  <c r="AR2" i="13" s="1"/>
  <c r="AS2" i="13" s="1"/>
  <c r="AT2" i="13" s="1"/>
  <c r="AU2" i="13" s="1"/>
  <c r="AV2" i="13" s="1"/>
  <c r="AW2" i="13" s="1"/>
  <c r="AX2" i="13" s="1"/>
  <c r="AY2" i="13" s="1"/>
  <c r="AZ2" i="13" s="1"/>
  <c r="BA2" i="13" s="1"/>
  <c r="BB2" i="13" s="1"/>
  <c r="BC2" i="13" s="1"/>
  <c r="BD2" i="13" s="1"/>
  <c r="BE2" i="13" s="1"/>
  <c r="BF2" i="13" s="1"/>
  <c r="BG2" i="13" s="1"/>
  <c r="BH2" i="13" s="1"/>
  <c r="BI2" i="13" s="1"/>
  <c r="BJ2" i="13" s="1"/>
  <c r="BK2" i="13" s="1"/>
  <c r="BL2" i="13" s="1"/>
  <c r="BM2" i="13" s="1"/>
  <c r="BN2" i="13" s="1"/>
  <c r="BO2" i="13" s="1"/>
  <c r="BP2" i="13" s="1"/>
  <c r="BQ2" i="13" s="1"/>
  <c r="BR2" i="13" s="1"/>
  <c r="BS2" i="13" s="1"/>
  <c r="BT2" i="13" s="1"/>
  <c r="BU2" i="13" s="1"/>
  <c r="BV2" i="13" s="1"/>
  <c r="BW2" i="13" s="1"/>
  <c r="BX2" i="13" s="1"/>
  <c r="BY2" i="13" s="1"/>
  <c r="BZ2" i="13" s="1"/>
  <c r="CA2" i="13" s="1"/>
  <c r="CB2" i="13" s="1"/>
  <c r="CC2" i="13" s="1"/>
  <c r="CD2" i="13" s="1"/>
  <c r="CE2" i="13" s="1"/>
  <c r="CF2" i="13" s="1"/>
  <c r="CG2" i="13" s="1"/>
  <c r="CH2" i="13" s="1"/>
  <c r="CI2" i="13" s="1"/>
  <c r="CJ2" i="13" s="1"/>
  <c r="CK2" i="13" s="1"/>
  <c r="CL2" i="13" s="1"/>
  <c r="CM2" i="13" s="1"/>
  <c r="CN2" i="13" s="1"/>
  <c r="CO2" i="13" s="1"/>
  <c r="CP2" i="13" s="1"/>
  <c r="CQ2" i="13" s="1"/>
  <c r="CR2" i="13" s="1"/>
  <c r="CS2" i="13" s="1"/>
  <c r="CT2" i="13" s="1"/>
  <c r="CU2" i="13" s="1"/>
  <c r="CV2" i="13" s="1"/>
  <c r="CW2" i="13" s="1"/>
  <c r="CX2" i="13" s="1"/>
  <c r="CY2" i="13" s="1"/>
  <c r="CZ2" i="13" s="1"/>
  <c r="DA2" i="13" s="1"/>
  <c r="DB2" i="13" s="1"/>
  <c r="DC2" i="13" s="1"/>
  <c r="DD2" i="13" s="1"/>
  <c r="DE2" i="13" s="1"/>
  <c r="DF2" i="13" s="1"/>
  <c r="DG2" i="13" s="1"/>
  <c r="DH2" i="13" s="1"/>
  <c r="DI2" i="13" s="1"/>
  <c r="DJ2" i="13" s="1"/>
  <c r="DK2" i="13" s="1"/>
  <c r="DL2" i="13" s="1"/>
  <c r="DM2" i="13" s="1"/>
  <c r="DN2" i="13" s="1"/>
  <c r="DO2" i="13" s="1"/>
  <c r="DP2" i="13" s="1"/>
  <c r="DQ2" i="13" s="1"/>
  <c r="DR2" i="13" s="1"/>
  <c r="DS2" i="13" s="1"/>
  <c r="DT2" i="13" s="1"/>
  <c r="DU2" i="13" s="1"/>
  <c r="DV2" i="13" s="1"/>
  <c r="DW2" i="13" s="1"/>
  <c r="DX2" i="13" s="1"/>
  <c r="DY2" i="13" s="1"/>
  <c r="DZ2" i="13" s="1"/>
  <c r="EA2" i="13" s="1"/>
  <c r="EB2" i="13" s="1"/>
  <c r="EC2" i="13" s="1"/>
  <c r="ED2" i="13" s="1"/>
  <c r="EE2" i="13" s="1"/>
  <c r="EF2" i="13" s="1"/>
  <c r="EG2" i="13" s="1"/>
  <c r="EH2" i="13" s="1"/>
  <c r="EI2" i="13" s="1"/>
  <c r="EJ2" i="13" s="1"/>
  <c r="EK2" i="13" s="1"/>
  <c r="EL2" i="13" s="1"/>
  <c r="EM2" i="13" s="1"/>
  <c r="EN2" i="13" s="1"/>
  <c r="EO2" i="13" s="1"/>
  <c r="EP2" i="13" s="1"/>
  <c r="EQ2" i="13" s="1"/>
  <c r="ER2" i="13" s="1"/>
  <c r="ES2" i="13" s="1"/>
  <c r="ET2" i="13" s="1"/>
  <c r="EU2" i="13" s="1"/>
  <c r="EV2" i="13" s="1"/>
  <c r="EW2" i="13" s="1"/>
  <c r="EX2" i="13" s="1"/>
  <c r="EY2" i="13" s="1"/>
  <c r="EZ2" i="13" s="1"/>
  <c r="FA2" i="13" s="1"/>
  <c r="FB2" i="13" s="1"/>
  <c r="FC2" i="13" s="1"/>
  <c r="FD2" i="13" s="1"/>
  <c r="FE2" i="13" s="1"/>
  <c r="FF2" i="13" s="1"/>
  <c r="FG2" i="13" s="1"/>
  <c r="FH2" i="13" s="1"/>
  <c r="FI2" i="13" s="1"/>
  <c r="FJ2" i="13" s="1"/>
  <c r="FK2" i="13" s="1"/>
  <c r="FL2" i="13" s="1"/>
  <c r="FM2" i="13" s="1"/>
  <c r="FN2" i="13" s="1"/>
  <c r="FO2" i="13" s="1"/>
  <c r="FP2" i="13" s="1"/>
  <c r="FQ2" i="13" s="1"/>
  <c r="FR2" i="13" s="1"/>
  <c r="FS2" i="13" s="1"/>
  <c r="FT2" i="13" s="1"/>
  <c r="FU2" i="13" s="1"/>
  <c r="FV2" i="13" s="1"/>
  <c r="FW2" i="13" s="1"/>
  <c r="FX2" i="13" s="1"/>
  <c r="FY2" i="13" s="1"/>
  <c r="FZ2" i="13" s="1"/>
  <c r="GA2" i="13" s="1"/>
  <c r="AD6" i="1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K7" i="6"/>
  <c r="M19" i="6"/>
  <c r="L19" i="6"/>
  <c r="J19" i="6"/>
  <c r="I19" i="6"/>
  <c r="AS19" i="6"/>
  <c r="AT19" i="6" s="1"/>
  <c r="K19" i="6" l="1"/>
  <c r="G19" i="6"/>
  <c r="R6" i="1" l="1"/>
  <c r="Q6" i="1"/>
  <c r="P6" i="1"/>
  <c r="P11" i="1" l="1"/>
  <c r="R7" i="1" l="1"/>
  <c r="Q7" i="1"/>
  <c r="P7" i="1"/>
  <c r="R5" i="1"/>
  <c r="Q5" i="1"/>
  <c r="P5" i="1"/>
  <c r="N5" i="1"/>
  <c r="N7" i="1" l="1"/>
  <c r="O7" i="1" s="1"/>
  <c r="O5" i="1" l="1"/>
  <c r="I463" i="1" l="1"/>
  <c r="L463" i="1"/>
  <c r="H463" i="1" s="1"/>
  <c r="I261" i="1"/>
  <c r="L261" i="1"/>
  <c r="H261" i="1" s="1"/>
  <c r="I462" i="1"/>
  <c r="L462" i="1"/>
  <c r="H462" i="1" s="1"/>
  <c r="J463" i="1" l="1"/>
  <c r="J261" i="1"/>
  <c r="J462" i="1"/>
  <c r="K11" i="1"/>
  <c r="I254" i="1" l="1"/>
  <c r="L254" i="1"/>
  <c r="H254" i="1" s="1"/>
  <c r="J254" i="1" l="1"/>
  <c r="I212" i="1"/>
  <c r="L212" i="1"/>
  <c r="H212" i="1" s="1"/>
  <c r="I260" i="1"/>
  <c r="L260" i="1"/>
  <c r="H260" i="1" s="1"/>
  <c r="J212" i="1" l="1"/>
  <c r="J260" i="1"/>
  <c r="I366" i="1"/>
  <c r="L366" i="1"/>
  <c r="H366" i="1" s="1"/>
  <c r="J366" i="1" l="1"/>
  <c r="I85" i="1" l="1"/>
  <c r="L85" i="1"/>
  <c r="H85" i="1" s="1"/>
  <c r="I365" i="1"/>
  <c r="L365" i="1"/>
  <c r="H365" i="1" s="1"/>
  <c r="I461" i="1"/>
  <c r="L461" i="1"/>
  <c r="H461" i="1" s="1"/>
  <c r="I408" i="1"/>
  <c r="L408" i="1"/>
  <c r="H408" i="1" s="1"/>
  <c r="L406" i="1"/>
  <c r="H406" i="1" s="1"/>
  <c r="I406" i="1"/>
  <c r="I412" i="1"/>
  <c r="L412" i="1"/>
  <c r="H412" i="1" s="1"/>
  <c r="I457" i="1"/>
  <c r="L457" i="1"/>
  <c r="H457" i="1" s="1"/>
  <c r="I460" i="1"/>
  <c r="L460" i="1"/>
  <c r="H460" i="1" s="1"/>
  <c r="I407" i="1"/>
  <c r="L407" i="1"/>
  <c r="H407" i="1" s="1"/>
  <c r="J457" i="1" l="1"/>
  <c r="J365" i="1"/>
  <c r="J85" i="1"/>
  <c r="J461" i="1"/>
  <c r="J408" i="1"/>
  <c r="J406" i="1"/>
  <c r="J412" i="1"/>
  <c r="J460" i="1"/>
  <c r="J407" i="1"/>
  <c r="H19" i="1" l="1"/>
  <c r="I112" i="1" l="1"/>
  <c r="L112" i="1"/>
  <c r="H112" i="1" s="1"/>
  <c r="I466" i="1"/>
  <c r="L466" i="1"/>
  <c r="H466" i="1" s="1"/>
  <c r="J112" i="1" l="1"/>
  <c r="J466" i="1"/>
  <c r="I349" i="1"/>
  <c r="L349" i="1"/>
  <c r="H349" i="1" s="1"/>
  <c r="J349" i="1" l="1"/>
  <c r="N11" i="1" l="1"/>
  <c r="O11" i="1" s="1"/>
  <c r="I409" i="1"/>
  <c r="L409" i="1"/>
  <c r="H409" i="1" s="1"/>
  <c r="I459" i="1"/>
  <c r="L459" i="1"/>
  <c r="H459" i="1" s="1"/>
  <c r="I464" i="1"/>
  <c r="L464" i="1"/>
  <c r="H464" i="1" s="1"/>
  <c r="L435" i="1"/>
  <c r="J409" i="1" l="1"/>
  <c r="J459" i="1"/>
  <c r="J464" i="1"/>
  <c r="I117" i="1"/>
  <c r="L117" i="1"/>
  <c r="H117" i="1" s="1"/>
  <c r="J117" i="1" l="1"/>
  <c r="I96" i="1"/>
  <c r="L96" i="1"/>
  <c r="H96" i="1" s="1"/>
  <c r="J96" i="1" l="1"/>
  <c r="J6" i="12"/>
  <c r="I411" i="1" l="1"/>
  <c r="L411" i="1"/>
  <c r="H411" i="1" s="1"/>
  <c r="J411" i="1" l="1"/>
  <c r="G32" i="6"/>
  <c r="L69" i="1" l="1"/>
  <c r="H69" i="1" s="1"/>
  <c r="I69" i="1"/>
  <c r="J69" i="1" l="1"/>
  <c r="CZ15" i="6"/>
  <c r="CY15" i="6"/>
  <c r="CX15" i="6"/>
  <c r="CW15" i="6"/>
  <c r="CV15" i="6"/>
  <c r="CU15" i="6"/>
  <c r="CT15" i="6"/>
  <c r="CS15" i="6"/>
  <c r="CR15" i="6"/>
  <c r="CQ15" i="6"/>
  <c r="CP15" i="6"/>
  <c r="CO15" i="6"/>
  <c r="CN15" i="6"/>
  <c r="CM15" i="6"/>
  <c r="CL15" i="6"/>
  <c r="CK15" i="6"/>
  <c r="CJ15" i="6"/>
  <c r="CI15" i="6"/>
  <c r="CH15" i="6"/>
  <c r="CG15" i="6"/>
  <c r="CF15" i="6"/>
  <c r="CE15" i="6"/>
  <c r="CD15" i="6"/>
  <c r="CC15" i="6"/>
  <c r="CB15" i="6"/>
  <c r="CA15" i="6"/>
  <c r="BZ15" i="6"/>
  <c r="BY15" i="6"/>
  <c r="BX15" i="6"/>
  <c r="BW15" i="6"/>
  <c r="BV15" i="6"/>
  <c r="BU15" i="6"/>
  <c r="BT15" i="6"/>
  <c r="BS15" i="6"/>
  <c r="BR15" i="6"/>
  <c r="BQ15" i="6"/>
  <c r="BP15" i="6"/>
  <c r="BO15" i="6"/>
  <c r="BN15" i="6"/>
  <c r="BM15" i="6"/>
  <c r="BL15" i="6"/>
  <c r="BK15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P15" i="6"/>
  <c r="AO15" i="6"/>
  <c r="AN15" i="6"/>
  <c r="AM15" i="6"/>
  <c r="AL15" i="6"/>
  <c r="AK15" i="6"/>
  <c r="R15" i="6" l="1"/>
  <c r="U15" i="6"/>
  <c r="K15" i="6"/>
  <c r="Q15" i="6"/>
  <c r="P15" i="6"/>
  <c r="M15" i="6"/>
  <c r="L15" i="6"/>
  <c r="O15" i="6"/>
  <c r="I15" i="6"/>
  <c r="V15" i="6"/>
  <c r="S15" i="6"/>
  <c r="N15" i="6"/>
  <c r="T15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G33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21" i="6"/>
  <c r="G37" i="6"/>
  <c r="G36" i="6"/>
  <c r="G24" i="6"/>
  <c r="G17" i="6"/>
  <c r="G23" i="6"/>
  <c r="G18" i="6"/>
  <c r="G35" i="6"/>
  <c r="G34" i="6"/>
  <c r="G9" i="6"/>
  <c r="G20" i="6"/>
  <c r="G31" i="6"/>
  <c r="G7" i="6"/>
  <c r="G30" i="6"/>
  <c r="G29" i="6"/>
  <c r="G28" i="6"/>
  <c r="G13" i="6"/>
  <c r="G27" i="6"/>
  <c r="G10" i="6"/>
  <c r="G3" i="6"/>
  <c r="G80" i="6"/>
  <c r="G6" i="6"/>
  <c r="G8" i="6"/>
  <c r="G16" i="6"/>
  <c r="G5" i="6"/>
  <c r="G4" i="6"/>
  <c r="G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I53" i="6"/>
  <c r="J53" i="6"/>
  <c r="K53" i="6"/>
  <c r="L53" i="6"/>
  <c r="M53" i="6"/>
  <c r="N53" i="6"/>
  <c r="O53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V21" i="6" l="1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X3" i="6"/>
  <c r="W3" i="6"/>
  <c r="X28" i="6" l="1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G79" i="6"/>
  <c r="G78" i="6"/>
  <c r="X10" i="6"/>
  <c r="W10" i="6"/>
  <c r="V37" i="6"/>
  <c r="U37" i="6"/>
  <c r="V36" i="6"/>
  <c r="U36" i="6"/>
  <c r="V24" i="6"/>
  <c r="U24" i="6"/>
  <c r="V17" i="6"/>
  <c r="U17" i="6"/>
  <c r="V23" i="6"/>
  <c r="U23" i="6"/>
  <c r="V35" i="6"/>
  <c r="U35" i="6"/>
  <c r="V34" i="6"/>
  <c r="U34" i="6"/>
  <c r="V22" i="6"/>
  <c r="U22" i="6"/>
  <c r="V9" i="6"/>
  <c r="U9" i="6"/>
  <c r="V81" i="6"/>
  <c r="U81" i="6"/>
  <c r="V26" i="6"/>
  <c r="U26" i="6"/>
  <c r="V29" i="6"/>
  <c r="U29" i="6"/>
  <c r="V20" i="6"/>
  <c r="U20" i="6"/>
  <c r="V31" i="6"/>
  <c r="U31" i="6"/>
  <c r="V7" i="6"/>
  <c r="U7" i="6"/>
  <c r="V11" i="6"/>
  <c r="U11" i="6"/>
  <c r="V30" i="6"/>
  <c r="U30" i="6"/>
  <c r="V27" i="6"/>
  <c r="U27" i="6"/>
  <c r="V13" i="6"/>
  <c r="U13" i="6"/>
  <c r="V80" i="6"/>
  <c r="U80" i="6"/>
  <c r="V79" i="6"/>
  <c r="U79" i="6"/>
  <c r="V6" i="6"/>
  <c r="U6" i="6"/>
  <c r="V4" i="6"/>
  <c r="U4" i="6"/>
  <c r="V8" i="6"/>
  <c r="U8" i="6"/>
  <c r="V78" i="6"/>
  <c r="U78" i="6"/>
  <c r="V14" i="6"/>
  <c r="U14" i="6"/>
  <c r="V5" i="6"/>
  <c r="U5" i="6"/>
  <c r="T45" i="6"/>
  <c r="S45" i="6"/>
  <c r="R45" i="6"/>
  <c r="Q45" i="6"/>
  <c r="P45" i="6"/>
  <c r="O45" i="6"/>
  <c r="N45" i="6"/>
  <c r="M45" i="6"/>
  <c r="L45" i="6"/>
  <c r="K45" i="6"/>
  <c r="J45" i="6"/>
  <c r="I45" i="6"/>
  <c r="T44" i="6"/>
  <c r="S44" i="6"/>
  <c r="R44" i="6"/>
  <c r="Q44" i="6"/>
  <c r="P44" i="6"/>
  <c r="O44" i="6"/>
  <c r="N44" i="6"/>
  <c r="M44" i="6"/>
  <c r="L44" i="6"/>
  <c r="K44" i="6"/>
  <c r="J44" i="6"/>
  <c r="I44" i="6"/>
  <c r="T43" i="6"/>
  <c r="S43" i="6"/>
  <c r="R43" i="6"/>
  <c r="Q43" i="6"/>
  <c r="P43" i="6"/>
  <c r="O43" i="6"/>
  <c r="N43" i="6"/>
  <c r="M43" i="6"/>
  <c r="L43" i="6"/>
  <c r="K43" i="6"/>
  <c r="J43" i="6"/>
  <c r="I43" i="6"/>
  <c r="T42" i="6"/>
  <c r="S42" i="6"/>
  <c r="R42" i="6"/>
  <c r="Q42" i="6"/>
  <c r="P42" i="6"/>
  <c r="O42" i="6"/>
  <c r="N42" i="6"/>
  <c r="M42" i="6"/>
  <c r="L42" i="6"/>
  <c r="K42" i="6"/>
  <c r="J42" i="6"/>
  <c r="I42" i="6"/>
  <c r="T41" i="6"/>
  <c r="S41" i="6"/>
  <c r="R41" i="6"/>
  <c r="Q41" i="6"/>
  <c r="P41" i="6"/>
  <c r="O41" i="6"/>
  <c r="N41" i="6"/>
  <c r="M41" i="6"/>
  <c r="L41" i="6"/>
  <c r="K41" i="6"/>
  <c r="J41" i="6"/>
  <c r="I41" i="6"/>
  <c r="T40" i="6"/>
  <c r="S40" i="6"/>
  <c r="R40" i="6"/>
  <c r="Q40" i="6"/>
  <c r="P40" i="6"/>
  <c r="O40" i="6"/>
  <c r="N40" i="6"/>
  <c r="M40" i="6"/>
  <c r="L40" i="6"/>
  <c r="K40" i="6"/>
  <c r="J40" i="6"/>
  <c r="I40" i="6"/>
  <c r="T39" i="6"/>
  <c r="S39" i="6"/>
  <c r="R39" i="6"/>
  <c r="Q39" i="6"/>
  <c r="P39" i="6"/>
  <c r="O39" i="6"/>
  <c r="N39" i="6"/>
  <c r="M39" i="6"/>
  <c r="L39" i="6"/>
  <c r="K39" i="6"/>
  <c r="J39" i="6"/>
  <c r="I39" i="6"/>
  <c r="T38" i="6"/>
  <c r="S38" i="6"/>
  <c r="R38" i="6"/>
  <c r="Q38" i="6"/>
  <c r="P38" i="6"/>
  <c r="O38" i="6"/>
  <c r="N38" i="6"/>
  <c r="M38" i="6"/>
  <c r="L38" i="6"/>
  <c r="K38" i="6"/>
  <c r="J38" i="6"/>
  <c r="I38" i="6"/>
  <c r="T37" i="6"/>
  <c r="S37" i="6"/>
  <c r="R37" i="6"/>
  <c r="Q37" i="6"/>
  <c r="P37" i="6"/>
  <c r="O37" i="6"/>
  <c r="N37" i="6"/>
  <c r="M37" i="6"/>
  <c r="L37" i="6"/>
  <c r="K37" i="6"/>
  <c r="J37" i="6"/>
  <c r="I37" i="6"/>
  <c r="T36" i="6"/>
  <c r="S36" i="6"/>
  <c r="R36" i="6"/>
  <c r="Q36" i="6"/>
  <c r="P36" i="6"/>
  <c r="O36" i="6"/>
  <c r="N36" i="6"/>
  <c r="M36" i="6"/>
  <c r="L36" i="6"/>
  <c r="K36" i="6"/>
  <c r="J36" i="6"/>
  <c r="I36" i="6"/>
  <c r="T24" i="6"/>
  <c r="S24" i="6"/>
  <c r="R24" i="6"/>
  <c r="Q24" i="6"/>
  <c r="P24" i="6"/>
  <c r="O24" i="6"/>
  <c r="N24" i="6"/>
  <c r="M24" i="6"/>
  <c r="L24" i="6"/>
  <c r="K24" i="6"/>
  <c r="J24" i="6"/>
  <c r="I24" i="6"/>
  <c r="T17" i="6"/>
  <c r="S17" i="6"/>
  <c r="R17" i="6"/>
  <c r="Q17" i="6"/>
  <c r="P17" i="6"/>
  <c r="O17" i="6"/>
  <c r="N17" i="6"/>
  <c r="M17" i="6"/>
  <c r="L17" i="6"/>
  <c r="K17" i="6"/>
  <c r="J17" i="6"/>
  <c r="I17" i="6"/>
  <c r="T23" i="6"/>
  <c r="S23" i="6"/>
  <c r="R23" i="6"/>
  <c r="Q23" i="6"/>
  <c r="P23" i="6"/>
  <c r="O23" i="6"/>
  <c r="N23" i="6"/>
  <c r="M23" i="6"/>
  <c r="L23" i="6"/>
  <c r="K23" i="6"/>
  <c r="J23" i="6"/>
  <c r="I23" i="6"/>
  <c r="T35" i="6"/>
  <c r="S35" i="6"/>
  <c r="R35" i="6"/>
  <c r="Q35" i="6"/>
  <c r="P35" i="6"/>
  <c r="O35" i="6"/>
  <c r="N35" i="6"/>
  <c r="M35" i="6"/>
  <c r="L35" i="6"/>
  <c r="K35" i="6"/>
  <c r="J35" i="6"/>
  <c r="I35" i="6"/>
  <c r="T34" i="6"/>
  <c r="S34" i="6"/>
  <c r="R34" i="6"/>
  <c r="Q34" i="6"/>
  <c r="P34" i="6"/>
  <c r="O34" i="6"/>
  <c r="N34" i="6"/>
  <c r="M34" i="6"/>
  <c r="L34" i="6"/>
  <c r="K34" i="6"/>
  <c r="J34" i="6"/>
  <c r="I34" i="6"/>
  <c r="T22" i="6"/>
  <c r="S22" i="6"/>
  <c r="R22" i="6"/>
  <c r="Q22" i="6"/>
  <c r="P22" i="6"/>
  <c r="O22" i="6"/>
  <c r="N22" i="6"/>
  <c r="M22" i="6"/>
  <c r="L22" i="6"/>
  <c r="K22" i="6"/>
  <c r="J22" i="6"/>
  <c r="T9" i="6"/>
  <c r="S9" i="6"/>
  <c r="R9" i="6"/>
  <c r="Q9" i="6"/>
  <c r="P9" i="6"/>
  <c r="O9" i="6"/>
  <c r="N9" i="6"/>
  <c r="M9" i="6"/>
  <c r="L9" i="6"/>
  <c r="K9" i="6"/>
  <c r="J9" i="6"/>
  <c r="I9" i="6"/>
  <c r="T81" i="6"/>
  <c r="S81" i="6"/>
  <c r="R81" i="6"/>
  <c r="Q81" i="6"/>
  <c r="P81" i="6"/>
  <c r="O81" i="6"/>
  <c r="N81" i="6"/>
  <c r="M81" i="6"/>
  <c r="L81" i="6"/>
  <c r="K81" i="6"/>
  <c r="I81" i="6"/>
  <c r="T26" i="6"/>
  <c r="S26" i="6"/>
  <c r="R26" i="6"/>
  <c r="Q26" i="6"/>
  <c r="P26" i="6"/>
  <c r="O26" i="6"/>
  <c r="N26" i="6"/>
  <c r="M26" i="6"/>
  <c r="L26" i="6"/>
  <c r="K26" i="6"/>
  <c r="J26" i="6"/>
  <c r="T29" i="6"/>
  <c r="S29" i="6"/>
  <c r="R29" i="6"/>
  <c r="Q29" i="6"/>
  <c r="P29" i="6"/>
  <c r="O29" i="6"/>
  <c r="N29" i="6"/>
  <c r="M29" i="6"/>
  <c r="L29" i="6"/>
  <c r="K29" i="6"/>
  <c r="J29" i="6"/>
  <c r="I29" i="6"/>
  <c r="T20" i="6"/>
  <c r="S20" i="6"/>
  <c r="R20" i="6"/>
  <c r="Q20" i="6"/>
  <c r="P20" i="6"/>
  <c r="O20" i="6"/>
  <c r="N20" i="6"/>
  <c r="M20" i="6"/>
  <c r="L20" i="6"/>
  <c r="K20" i="6"/>
  <c r="J20" i="6"/>
  <c r="I20" i="6"/>
  <c r="T31" i="6"/>
  <c r="S31" i="6"/>
  <c r="R31" i="6"/>
  <c r="Q31" i="6"/>
  <c r="P31" i="6"/>
  <c r="O31" i="6"/>
  <c r="N31" i="6"/>
  <c r="M31" i="6"/>
  <c r="L31" i="6"/>
  <c r="K31" i="6"/>
  <c r="J31" i="6"/>
  <c r="I31" i="6"/>
  <c r="T7" i="6"/>
  <c r="S7" i="6"/>
  <c r="R7" i="6"/>
  <c r="Q7" i="6"/>
  <c r="P7" i="6"/>
  <c r="O7" i="6"/>
  <c r="N7" i="6"/>
  <c r="M7" i="6"/>
  <c r="L7" i="6"/>
  <c r="J7" i="6"/>
  <c r="I7" i="6"/>
  <c r="T11" i="6"/>
  <c r="S11" i="6"/>
  <c r="R11" i="6"/>
  <c r="Q11" i="6"/>
  <c r="P11" i="6"/>
  <c r="O11" i="6"/>
  <c r="T30" i="6"/>
  <c r="S30" i="6"/>
  <c r="R30" i="6"/>
  <c r="Q30" i="6"/>
  <c r="P30" i="6"/>
  <c r="O30" i="6"/>
  <c r="N30" i="6"/>
  <c r="M30" i="6"/>
  <c r="L30" i="6"/>
  <c r="K30" i="6"/>
  <c r="J30" i="6"/>
  <c r="I30" i="6"/>
  <c r="T27" i="6"/>
  <c r="S27" i="6"/>
  <c r="R27" i="6"/>
  <c r="Q27" i="6"/>
  <c r="P27" i="6"/>
  <c r="O27" i="6"/>
  <c r="N27" i="6"/>
  <c r="M27" i="6"/>
  <c r="L27" i="6"/>
  <c r="K27" i="6"/>
  <c r="J27" i="6"/>
  <c r="I27" i="6"/>
  <c r="T13" i="6"/>
  <c r="S13" i="6"/>
  <c r="R13" i="6"/>
  <c r="Q13" i="6"/>
  <c r="P13" i="6"/>
  <c r="O13" i="6"/>
  <c r="N13" i="6"/>
  <c r="M13" i="6"/>
  <c r="L13" i="6"/>
  <c r="K13" i="6"/>
  <c r="J13" i="6"/>
  <c r="I13" i="6"/>
  <c r="T80" i="6"/>
  <c r="S80" i="6"/>
  <c r="R80" i="6"/>
  <c r="Q80" i="6"/>
  <c r="P80" i="6"/>
  <c r="O80" i="6"/>
  <c r="N80" i="6"/>
  <c r="M80" i="6"/>
  <c r="L80" i="6"/>
  <c r="K80" i="6"/>
  <c r="J80" i="6"/>
  <c r="I80" i="6"/>
  <c r="G12" i="6" l="1"/>
  <c r="U12" i="6"/>
  <c r="V12" i="6"/>
  <c r="T6" i="6"/>
  <c r="T4" i="6"/>
  <c r="T8" i="6"/>
  <c r="T78" i="6"/>
  <c r="T14" i="6"/>
  <c r="T5" i="6"/>
  <c r="T79" i="6"/>
  <c r="S79" i="6"/>
  <c r="S6" i="6"/>
  <c r="S4" i="6"/>
  <c r="S8" i="6"/>
  <c r="S78" i="6"/>
  <c r="S14" i="6"/>
  <c r="S5" i="6"/>
  <c r="R79" i="6"/>
  <c r="I79" i="6"/>
  <c r="I12" i="6" s="1"/>
  <c r="O79" i="6"/>
  <c r="O12" i="6" s="1"/>
  <c r="O6" i="6"/>
  <c r="R6" i="6"/>
  <c r="R4" i="6"/>
  <c r="R8" i="6"/>
  <c r="R78" i="6"/>
  <c r="R14" i="6"/>
  <c r="R5" i="6"/>
  <c r="Q79" i="6"/>
  <c r="Q6" i="6"/>
  <c r="Q4" i="6"/>
  <c r="Q8" i="6"/>
  <c r="Q78" i="6"/>
  <c r="Q14" i="6"/>
  <c r="Q5" i="6"/>
  <c r="P79" i="6"/>
  <c r="N79" i="6"/>
  <c r="N12" i="6" s="1"/>
  <c r="P6" i="6"/>
  <c r="P4" i="6"/>
  <c r="P8" i="6"/>
  <c r="P78" i="6"/>
  <c r="P14" i="6"/>
  <c r="P5" i="6"/>
  <c r="M79" i="6"/>
  <c r="M12" i="6" s="1"/>
  <c r="L79" i="6"/>
  <c r="L12" i="6" s="1"/>
  <c r="K79" i="6"/>
  <c r="K12" i="6" s="1"/>
  <c r="J79" i="6"/>
  <c r="J12" i="6" s="1"/>
  <c r="O5" i="6"/>
  <c r="N5" i="6"/>
  <c r="M5" i="6"/>
  <c r="L5" i="6"/>
  <c r="K5" i="6"/>
  <c r="J5" i="6"/>
  <c r="I5" i="6"/>
  <c r="S12" i="6" l="1"/>
  <c r="T12" i="6"/>
  <c r="Q12" i="6"/>
  <c r="R12" i="6"/>
  <c r="P12" i="6"/>
  <c r="BD11" i="6"/>
  <c r="BE11" i="6"/>
  <c r="BF11" i="6"/>
  <c r="N11" i="6" l="1"/>
  <c r="N6" i="6"/>
  <c r="M6" i="6"/>
  <c r="L6" i="6"/>
  <c r="K6" i="6"/>
  <c r="I6" i="6"/>
  <c r="J6" i="6"/>
  <c r="I102" i="1"/>
  <c r="L102" i="1"/>
  <c r="H102" i="1" s="1"/>
  <c r="J102" i="1" l="1"/>
  <c r="I50" i="1" l="1"/>
  <c r="L50" i="1"/>
  <c r="H50" i="1" s="1"/>
  <c r="J50" i="1" l="1"/>
  <c r="I86" i="1"/>
  <c r="L86" i="1"/>
  <c r="H86" i="1" s="1"/>
  <c r="J86" i="1" l="1"/>
  <c r="I80" i="1" l="1"/>
  <c r="L80" i="1"/>
  <c r="H80" i="1" s="1"/>
  <c r="I89" i="1"/>
  <c r="L89" i="1"/>
  <c r="H89" i="1" s="1"/>
  <c r="I78" i="1"/>
  <c r="L78" i="1"/>
  <c r="H78" i="1" s="1"/>
  <c r="O49" i="6"/>
  <c r="N49" i="6"/>
  <c r="M49" i="6"/>
  <c r="J80" i="1" l="1"/>
  <c r="J89" i="1"/>
  <c r="J78" i="1"/>
  <c r="I258" i="1"/>
  <c r="L258" i="1"/>
  <c r="H258" i="1" s="1"/>
  <c r="I435" i="1"/>
  <c r="H435" i="1"/>
  <c r="J435" i="1" l="1"/>
  <c r="J258" i="1"/>
  <c r="I97" i="1" l="1"/>
  <c r="L97" i="1"/>
  <c r="H97" i="1" s="1"/>
  <c r="J97" i="1" l="1"/>
  <c r="I259" i="1" l="1"/>
  <c r="L259" i="1"/>
  <c r="H259" i="1" s="1"/>
  <c r="J259" i="1" l="1"/>
  <c r="I95" i="1"/>
  <c r="L95" i="1"/>
  <c r="H95" i="1" s="1"/>
  <c r="J95" i="1" l="1"/>
  <c r="I92" i="1"/>
  <c r="L92" i="1"/>
  <c r="H92" i="1" s="1"/>
  <c r="J92" i="1" l="1"/>
  <c r="I113" i="1"/>
  <c r="L113" i="1"/>
  <c r="H113" i="1" s="1"/>
  <c r="F8" i="9" l="1"/>
  <c r="E8" i="9"/>
  <c r="D8" i="9"/>
  <c r="C8" i="9"/>
  <c r="C31" i="9" s="1"/>
  <c r="D31" i="9" l="1"/>
  <c r="H13" i="9" l="1"/>
  <c r="H14" i="9" s="1"/>
  <c r="G13" i="9"/>
  <c r="G14" i="9" s="1"/>
  <c r="H7" i="9"/>
  <c r="H8" i="9" s="1"/>
  <c r="G7" i="9"/>
  <c r="G8" i="9" s="1"/>
  <c r="H15" i="9" l="1"/>
  <c r="G15" i="9"/>
  <c r="G31" i="9" s="1"/>
  <c r="H31" i="9"/>
  <c r="I91" i="1" l="1"/>
  <c r="L91" i="1"/>
  <c r="H91" i="1" s="1"/>
  <c r="I77" i="1"/>
  <c r="L77" i="1"/>
  <c r="H77" i="1" s="1"/>
  <c r="J91" i="1" l="1"/>
  <c r="J77" i="1"/>
  <c r="I228" i="1" l="1"/>
  <c r="L228" i="1"/>
  <c r="H228" i="1" s="1"/>
  <c r="J228" i="1" l="1"/>
  <c r="I230" i="1"/>
  <c r="L230" i="1"/>
  <c r="H230" i="1" s="1"/>
  <c r="I303" i="1"/>
  <c r="L303" i="1"/>
  <c r="H303" i="1" s="1"/>
  <c r="J230" i="1" l="1"/>
  <c r="J303" i="1"/>
  <c r="I545" i="1"/>
  <c r="L545" i="1"/>
  <c r="H545" i="1" s="1"/>
  <c r="J545" i="1" l="1"/>
  <c r="I465" i="1"/>
  <c r="L465" i="1"/>
  <c r="H465" i="1" s="1"/>
  <c r="J465" i="1" l="1"/>
  <c r="I458" i="1"/>
  <c r="L458" i="1"/>
  <c r="H458" i="1" s="1"/>
  <c r="I304" i="1"/>
  <c r="L304" i="1"/>
  <c r="H304" i="1" s="1"/>
  <c r="I114" i="1"/>
  <c r="L114" i="1"/>
  <c r="H114" i="1" s="1"/>
  <c r="J114" i="1" l="1"/>
  <c r="J304" i="1"/>
  <c r="J458" i="1"/>
  <c r="I75" i="1"/>
  <c r="L75" i="1"/>
  <c r="H75" i="1" s="1"/>
  <c r="J75" i="1" l="1"/>
  <c r="I83" i="1"/>
  <c r="L83" i="1"/>
  <c r="H83" i="1" s="1"/>
  <c r="I70" i="1"/>
  <c r="L70" i="1"/>
  <c r="I76" i="1"/>
  <c r="L76" i="1"/>
  <c r="H76" i="1" s="1"/>
  <c r="J83" i="1" l="1"/>
  <c r="J76" i="1"/>
  <c r="H70" i="1" l="1"/>
  <c r="J70" i="1" s="1"/>
  <c r="I124" i="1" l="1"/>
  <c r="H124" i="1"/>
  <c r="J124" i="1" l="1"/>
  <c r="I312" i="1" l="1"/>
  <c r="L312" i="1"/>
  <c r="H312" i="1" s="1"/>
  <c r="J312" i="1" l="1"/>
  <c r="I63" i="1"/>
  <c r="L63" i="1"/>
  <c r="H63" i="1" s="1"/>
  <c r="K121" i="1"/>
  <c r="M121" i="1"/>
  <c r="J63" i="1" l="1"/>
  <c r="I123" i="1"/>
  <c r="L123" i="1"/>
  <c r="H123" i="1" s="1"/>
  <c r="J113" i="1"/>
  <c r="J123" i="1" l="1"/>
  <c r="I125" i="1"/>
  <c r="L125" i="1"/>
  <c r="H125" i="1" s="1"/>
  <c r="I56" i="1"/>
  <c r="L56" i="1"/>
  <c r="H56" i="1" s="1"/>
  <c r="J125" i="1" l="1"/>
  <c r="J56" i="1"/>
  <c r="I231" i="1"/>
  <c r="L231" i="1"/>
  <c r="H231" i="1" s="1"/>
  <c r="J231" i="1" l="1"/>
  <c r="I309" i="1" l="1"/>
  <c r="L309" i="1"/>
  <c r="H309" i="1" s="1"/>
  <c r="I100" i="1"/>
  <c r="J309" i="1" l="1"/>
  <c r="L100" i="1"/>
  <c r="H100" i="1" s="1"/>
  <c r="J100" i="1" s="1"/>
  <c r="I306" i="1" l="1"/>
  <c r="L306" i="1"/>
  <c r="H306" i="1" s="1"/>
  <c r="I79" i="1"/>
  <c r="L79" i="1"/>
  <c r="H79" i="1" s="1"/>
  <c r="J306" i="1" l="1"/>
  <c r="J79" i="1"/>
  <c r="I227" i="1"/>
  <c r="L227" i="1"/>
  <c r="H227" i="1" s="1"/>
  <c r="J227" i="1" l="1"/>
  <c r="I308" i="1" l="1"/>
  <c r="L308" i="1"/>
  <c r="H308" i="1" s="1"/>
  <c r="J308" i="1" l="1"/>
  <c r="I98" i="1"/>
  <c r="L98" i="1"/>
  <c r="H98" i="1" s="1"/>
  <c r="J98" i="1" l="1"/>
  <c r="L126" i="1" l="1"/>
  <c r="H126" i="1" s="1"/>
  <c r="I126" i="1"/>
  <c r="J126" i="1" l="1"/>
  <c r="L109" i="1"/>
  <c r="H109" i="1" s="1"/>
  <c r="I109" i="1"/>
  <c r="I504" i="1"/>
  <c r="L504" i="1"/>
  <c r="H504" i="1" s="1"/>
  <c r="J109" i="1" l="1"/>
  <c r="J504" i="1"/>
  <c r="R11" i="1"/>
  <c r="Q11" i="1"/>
  <c r="I523" i="1" l="1"/>
  <c r="L523" i="1"/>
  <c r="H523" i="1" s="1"/>
  <c r="I307" i="1"/>
  <c r="L307" i="1"/>
  <c r="H307" i="1" s="1"/>
  <c r="J523" i="1" l="1"/>
  <c r="J307" i="1"/>
  <c r="I94" i="1"/>
  <c r="L94" i="1"/>
  <c r="H94" i="1" s="1"/>
  <c r="J94" i="1" l="1"/>
  <c r="I62" i="1" l="1"/>
  <c r="L62" i="1"/>
  <c r="H62" i="1" s="1"/>
  <c r="I47" i="1"/>
  <c r="L47" i="1"/>
  <c r="H47" i="1" s="1"/>
  <c r="J62" i="1" l="1"/>
  <c r="J47" i="1"/>
  <c r="I120" i="1"/>
  <c r="L120" i="1" l="1"/>
  <c r="H120" i="1" s="1"/>
  <c r="J120" i="1" s="1"/>
  <c r="I110" i="1"/>
  <c r="L110" i="1"/>
  <c r="H110" i="1" s="1"/>
  <c r="I82" i="1"/>
  <c r="L82" i="1"/>
  <c r="H82" i="1" s="1"/>
  <c r="I36" i="1"/>
  <c r="L36" i="1"/>
  <c r="H36" i="1" s="1"/>
  <c r="I57" i="1"/>
  <c r="L57" i="1"/>
  <c r="H57" i="1" s="1"/>
  <c r="I58" i="1"/>
  <c r="L58" i="1"/>
  <c r="H58" i="1" s="1"/>
  <c r="I105" i="1"/>
  <c r="L105" i="1"/>
  <c r="H105" i="1" s="1"/>
  <c r="I72" i="1"/>
  <c r="L72" i="1"/>
  <c r="H72" i="1" s="1"/>
  <c r="J110" i="1" l="1"/>
  <c r="J82" i="1"/>
  <c r="J36" i="1"/>
  <c r="J72" i="1"/>
  <c r="J57" i="1"/>
  <c r="J58" i="1"/>
  <c r="J105" i="1"/>
  <c r="L87" i="1" l="1"/>
  <c r="H87" i="1" s="1"/>
  <c r="I54" i="1" l="1"/>
  <c r="L66" i="1" l="1"/>
  <c r="H66" i="1" s="1"/>
  <c r="I66" i="1"/>
  <c r="I48" i="1" l="1"/>
  <c r="I35" i="1" l="1"/>
  <c r="L35" i="1"/>
  <c r="H35" i="1" s="1"/>
  <c r="I49" i="1"/>
  <c r="I60" i="1"/>
  <c r="J35" i="1" l="1"/>
  <c r="I42" i="1"/>
  <c r="I64" i="1"/>
  <c r="I43" i="1" l="1"/>
  <c r="I32" i="1" l="1"/>
  <c r="I28" i="1" l="1"/>
  <c r="I33" i="1" l="1"/>
  <c r="I34" i="1" l="1"/>
  <c r="L34" i="1" l="1"/>
  <c r="I30" i="1"/>
  <c r="I27" i="1"/>
  <c r="I25" i="1" l="1"/>
  <c r="I24" i="1" l="1"/>
  <c r="I23" i="1"/>
  <c r="I439" i="1" l="1"/>
  <c r="L439" i="1"/>
  <c r="H439" i="1" s="1"/>
  <c r="J439" i="1" l="1"/>
  <c r="I18" i="1"/>
  <c r="I7" i="1" l="1"/>
  <c r="I17" i="1" l="1"/>
  <c r="K9" i="1" l="1"/>
  <c r="I16" i="1" l="1"/>
  <c r="I20" i="1" l="1"/>
  <c r="I19" i="1"/>
  <c r="K20" i="1"/>
  <c r="M20" i="1"/>
  <c r="M11" i="1" l="1"/>
  <c r="O63" i="6"/>
  <c r="N63" i="6"/>
  <c r="M63" i="6"/>
  <c r="L63" i="6"/>
  <c r="K63" i="6"/>
  <c r="J63" i="6"/>
  <c r="I63" i="6"/>
  <c r="O64" i="6"/>
  <c r="N64" i="6"/>
  <c r="M64" i="6"/>
  <c r="L64" i="6"/>
  <c r="K64" i="6"/>
  <c r="J64" i="6"/>
  <c r="I64" i="6"/>
  <c r="O62" i="6"/>
  <c r="N62" i="6"/>
  <c r="M62" i="6"/>
  <c r="L62" i="6"/>
  <c r="K62" i="6"/>
  <c r="J62" i="6"/>
  <c r="I62" i="6"/>
  <c r="O59" i="6"/>
  <c r="N59" i="6"/>
  <c r="M59" i="6"/>
  <c r="L59" i="6"/>
  <c r="K59" i="6"/>
  <c r="J59" i="6"/>
  <c r="I59" i="6"/>
  <c r="J56" i="6"/>
  <c r="J66" i="6"/>
  <c r="I56" i="6"/>
  <c r="I66" i="6"/>
  <c r="O56" i="6"/>
  <c r="O66" i="6"/>
  <c r="N56" i="6"/>
  <c r="N66" i="6"/>
  <c r="M56" i="6"/>
  <c r="M66" i="6"/>
  <c r="L56" i="6"/>
  <c r="L66" i="6"/>
  <c r="K56" i="6"/>
  <c r="K66" i="6"/>
  <c r="O57" i="6"/>
  <c r="N57" i="6"/>
  <c r="M57" i="6"/>
  <c r="L57" i="6"/>
  <c r="K57" i="6"/>
  <c r="J57" i="6"/>
  <c r="I57" i="6"/>
  <c r="O60" i="6"/>
  <c r="N60" i="6"/>
  <c r="M60" i="6"/>
  <c r="L60" i="6"/>
  <c r="K60" i="6"/>
  <c r="J60" i="6"/>
  <c r="I60" i="6"/>
  <c r="O47" i="6"/>
  <c r="N47" i="6"/>
  <c r="M47" i="6"/>
  <c r="L47" i="6"/>
  <c r="K47" i="6"/>
  <c r="J47" i="6"/>
  <c r="I47" i="6"/>
  <c r="I55" i="6"/>
  <c r="J55" i="6"/>
  <c r="K55" i="6"/>
  <c r="L55" i="6"/>
  <c r="M55" i="6"/>
  <c r="N55" i="6"/>
  <c r="O55" i="6"/>
  <c r="L49" i="6"/>
  <c r="K49" i="6"/>
  <c r="J49" i="6"/>
  <c r="I49" i="6"/>
  <c r="N61" i="6"/>
  <c r="M61" i="6"/>
  <c r="M51" i="6"/>
  <c r="L61" i="6"/>
  <c r="L51" i="6"/>
  <c r="K61" i="6"/>
  <c r="J61" i="6"/>
  <c r="I61" i="6"/>
  <c r="L410" i="1" l="1"/>
  <c r="H410" i="1" s="1"/>
  <c r="I410" i="1"/>
  <c r="J410" i="1" l="1"/>
  <c r="L122" i="1"/>
  <c r="H122" i="1" s="1"/>
  <c r="I122" i="1"/>
  <c r="J122" i="1" l="1"/>
  <c r="O61" i="6" l="1"/>
  <c r="O51" i="6"/>
  <c r="O48" i="6"/>
  <c r="O65" i="6"/>
  <c r="O50" i="6"/>
  <c r="O58" i="6"/>
  <c r="O52" i="6"/>
  <c r="O54" i="6"/>
  <c r="O4" i="6"/>
  <c r="O46" i="6"/>
  <c r="O14" i="6"/>
  <c r="N51" i="6"/>
  <c r="N48" i="6"/>
  <c r="N65" i="6"/>
  <c r="N50" i="6"/>
  <c r="N58" i="6"/>
  <c r="N52" i="6"/>
  <c r="N54" i="6"/>
  <c r="N4" i="6"/>
  <c r="N46" i="6"/>
  <c r="N14" i="6"/>
  <c r="M48" i="6"/>
  <c r="M65" i="6"/>
  <c r="M50" i="6"/>
  <c r="M58" i="6"/>
  <c r="M52" i="6"/>
  <c r="M54" i="6"/>
  <c r="M4" i="6"/>
  <c r="M46" i="6"/>
  <c r="M14" i="6"/>
  <c r="L48" i="6"/>
  <c r="L65" i="6"/>
  <c r="L50" i="6"/>
  <c r="L58" i="6"/>
  <c r="L52" i="6"/>
  <c r="L54" i="6"/>
  <c r="L4" i="6"/>
  <c r="L46" i="6"/>
  <c r="L14" i="6"/>
  <c r="K51" i="6"/>
  <c r="J51" i="6"/>
  <c r="I51" i="6"/>
  <c r="K48" i="6"/>
  <c r="J48" i="6"/>
  <c r="I48" i="6"/>
  <c r="K65" i="6"/>
  <c r="J65" i="6"/>
  <c r="I65" i="6"/>
  <c r="K50" i="6"/>
  <c r="J50" i="6"/>
  <c r="I50" i="6"/>
  <c r="K58" i="6"/>
  <c r="J58" i="6"/>
  <c r="I58" i="6"/>
  <c r="K4" i="6"/>
  <c r="J4" i="6"/>
  <c r="I4" i="6"/>
  <c r="K54" i="6"/>
  <c r="J54" i="6"/>
  <c r="I54" i="6"/>
  <c r="K52" i="6"/>
  <c r="I52" i="6"/>
  <c r="K46" i="6"/>
  <c r="J46" i="6"/>
  <c r="I46" i="6"/>
  <c r="K14" i="6"/>
  <c r="J14" i="6"/>
  <c r="I14" i="6"/>
  <c r="I76" i="4"/>
  <c r="E76" i="4" s="1" a="1"/>
  <c r="E76" i="4" s="1"/>
  <c r="F76" i="4"/>
  <c r="G76" i="4" l="1"/>
  <c r="AZ11" i="6"/>
  <c r="BC11" i="6"/>
  <c r="BB11" i="6"/>
  <c r="BA11" i="6"/>
  <c r="M11" i="6" s="1"/>
  <c r="AY11" i="6"/>
  <c r="AX11" i="6"/>
  <c r="AW11" i="6"/>
  <c r="AV11" i="6"/>
  <c r="AU11" i="6"/>
  <c r="AT11" i="6"/>
  <c r="AS11" i="6"/>
  <c r="AR11" i="6"/>
  <c r="AQ11" i="6"/>
  <c r="AP11" i="6"/>
  <c r="AO11" i="6"/>
  <c r="AN11" i="6"/>
  <c r="AM11" i="6"/>
  <c r="AL11" i="6"/>
  <c r="AK11" i="6"/>
  <c r="L11" i="6" l="1"/>
  <c r="K11" i="6"/>
  <c r="G11" i="6"/>
  <c r="J11" i="6"/>
  <c r="I11" i="6"/>
  <c r="L61" i="1"/>
  <c r="I104" i="1" l="1"/>
  <c r="L104" i="1"/>
  <c r="H104" i="1" s="1"/>
  <c r="I26" i="1"/>
  <c r="J104" i="1" l="1"/>
  <c r="I164" i="1"/>
  <c r="L164" i="1"/>
  <c r="H164" i="1" s="1"/>
  <c r="I163" i="1"/>
  <c r="L163" i="1"/>
  <c r="H163" i="1" s="1"/>
  <c r="J164" i="1" l="1"/>
  <c r="J163" i="1"/>
  <c r="L115" i="1"/>
  <c r="H115" i="1" s="1"/>
  <c r="I115" i="1"/>
  <c r="F12" i="5" a="1"/>
  <c r="F12" i="5" s="1"/>
  <c r="I305" i="1"/>
  <c r="L305" i="1"/>
  <c r="H305" i="1" s="1"/>
  <c r="I310" i="1"/>
  <c r="L310" i="1"/>
  <c r="J115" i="1" l="1"/>
  <c r="H310" i="1"/>
  <c r="J310" i="1" s="1"/>
  <c r="J305" i="1"/>
  <c r="I15" i="1"/>
  <c r="R15" i="1"/>
  <c r="Q15" i="1"/>
  <c r="P15" i="1"/>
  <c r="AQ81" i="6"/>
  <c r="AL22" i="6"/>
  <c r="AN22" i="6"/>
  <c r="AN26" i="6"/>
  <c r="G26" i="6" s="1"/>
  <c r="G81" i="6" l="1"/>
  <c r="AQ15" i="6"/>
  <c r="J15" i="6" s="1"/>
  <c r="G22" i="6"/>
  <c r="I26" i="6"/>
  <c r="I22" i="6"/>
  <c r="J81" i="6"/>
  <c r="G15" i="6" l="1"/>
  <c r="AO52" i="6"/>
  <c r="G52" i="6" s="1"/>
  <c r="J52" i="6" l="1"/>
  <c r="I71" i="1"/>
  <c r="L71" i="1"/>
  <c r="H71" i="1" s="1"/>
  <c r="J71" i="1" l="1"/>
  <c r="L166" i="1"/>
  <c r="H166" i="1" s="1"/>
  <c r="I166" i="1"/>
  <c r="J166" i="1" l="1"/>
  <c r="I107" i="1"/>
  <c r="L107" i="1"/>
  <c r="H107" i="1" s="1"/>
  <c r="J107" i="1" l="1"/>
  <c r="L93" i="1"/>
  <c r="H93" i="1" s="1"/>
  <c r="I65" i="1" l="1"/>
  <c r="L65" i="1"/>
  <c r="H65" i="1" s="1"/>
  <c r="J65" i="1" l="1"/>
  <c r="I29" i="1"/>
  <c r="H29" i="1"/>
  <c r="J29" i="1" l="1"/>
  <c r="L60" i="1"/>
  <c r="H60" i="1" s="1"/>
  <c r="J60" i="1" s="1"/>
  <c r="L49" i="1"/>
  <c r="H49" i="1" s="1"/>
  <c r="I67" i="1"/>
  <c r="L67" i="1"/>
  <c r="H67" i="1" s="1"/>
  <c r="J49" i="1" l="1"/>
  <c r="J67" i="1"/>
  <c r="M14" i="1"/>
  <c r="I53" i="1" l="1"/>
  <c r="I52" i="1"/>
  <c r="L53" i="1"/>
  <c r="H53" i="1" s="1"/>
  <c r="L52" i="1"/>
  <c r="H52" i="1" s="1"/>
  <c r="I116" i="1"/>
  <c r="L116" i="1"/>
  <c r="H116" i="1" s="1"/>
  <c r="I68" i="1"/>
  <c r="L68" i="1"/>
  <c r="H68" i="1" s="1"/>
  <c r="I106" i="1"/>
  <c r="L106" i="1"/>
  <c r="H106" i="1" s="1"/>
  <c r="J116" i="1" l="1"/>
  <c r="J53" i="1"/>
  <c r="J52" i="1"/>
  <c r="J68" i="1"/>
  <c r="J106" i="1"/>
  <c r="I101" i="1"/>
  <c r="L101" i="1"/>
  <c r="H101" i="1" s="1"/>
  <c r="L48" i="1"/>
  <c r="H48" i="1" s="1"/>
  <c r="J101" i="1" l="1"/>
  <c r="J48" i="1"/>
  <c r="L73" i="1"/>
  <c r="H73" i="1" s="1"/>
  <c r="I73" i="1"/>
  <c r="J73" i="1" l="1"/>
  <c r="L17" i="1" l="1"/>
  <c r="I119" i="1" l="1"/>
  <c r="L119" i="1"/>
  <c r="H119" i="1" s="1"/>
  <c r="J119" i="1" l="1"/>
  <c r="I548" i="1"/>
  <c r="L548" i="1"/>
  <c r="H548" i="1" s="1"/>
  <c r="J548" i="1" l="1"/>
  <c r="L51" i="1"/>
  <c r="I51" i="1"/>
  <c r="N15" i="1" l="1"/>
  <c r="O15" i="1" s="1"/>
  <c r="I44" i="1"/>
  <c r="L44" i="1"/>
  <c r="H44" i="1" s="1"/>
  <c r="J44" i="1" l="1"/>
  <c r="L7" i="1"/>
  <c r="H7" i="1" s="1"/>
  <c r="J7" i="1" l="1"/>
  <c r="V7" i="1" l="1"/>
  <c r="T7" i="1"/>
  <c r="S7" i="1"/>
  <c r="U7" i="1"/>
  <c r="W7" i="1"/>
  <c r="L42" i="1"/>
  <c r="H42" i="1" s="1"/>
  <c r="J42" i="1" s="1"/>
  <c r="L54" i="1"/>
  <c r="H54" i="1" s="1"/>
  <c r="I87" i="1"/>
  <c r="L32" i="1"/>
  <c r="H32" i="1" s="1" a="1"/>
  <c r="H32" i="1" s="1"/>
  <c r="J32" i="1" s="1"/>
  <c r="H205" i="1"/>
  <c r="J54" i="1" l="1"/>
  <c r="J87" i="1"/>
  <c r="I81" i="1"/>
  <c r="L81" i="1"/>
  <c r="H81" i="1" s="1"/>
  <c r="J81" i="1" l="1"/>
  <c r="L55" i="1"/>
  <c r="H55" i="1" s="1"/>
  <c r="R61" i="1" l="1"/>
  <c r="Q61" i="1"/>
  <c r="P61" i="1"/>
  <c r="N61" i="1"/>
  <c r="O61" i="1" s="1"/>
  <c r="I61" i="1"/>
  <c r="H61" i="1"/>
  <c r="J61" i="1" l="1"/>
  <c r="I38" i="1" l="1"/>
  <c r="L38" i="1"/>
  <c r="H38" i="1" s="1"/>
  <c r="L59" i="1"/>
  <c r="H59" i="1" s="1"/>
  <c r="I59" i="1"/>
  <c r="J38" i="1" l="1"/>
  <c r="I45" i="1"/>
  <c r="L45" i="1"/>
  <c r="H45" i="1" s="1"/>
  <c r="J45" i="1" l="1"/>
  <c r="I14" i="1" l="1"/>
  <c r="L14" i="1"/>
  <c r="H14" i="1" s="1"/>
  <c r="J14" i="1" l="1"/>
  <c r="L43" i="1"/>
  <c r="H43" i="1" s="1"/>
  <c r="J43" i="1" l="1"/>
  <c r="I39" i="1"/>
  <c r="L39" i="1"/>
  <c r="H39" i="1" s="1"/>
  <c r="J39" i="1" l="1"/>
  <c r="H17" i="1"/>
  <c r="J17" i="1" s="1"/>
  <c r="U17" i="1" l="1"/>
  <c r="V17" i="1"/>
  <c r="W17" i="1"/>
  <c r="S17" i="1"/>
  <c r="T17" i="1"/>
  <c r="H51" i="1"/>
  <c r="J51" i="1" s="1"/>
  <c r="J66" i="1" l="1"/>
  <c r="L37" i="1"/>
  <c r="H37" i="1" s="1"/>
  <c r="I37" i="1"/>
  <c r="H34" i="1"/>
  <c r="J34" i="1" s="1"/>
  <c r="I9" i="1"/>
  <c r="L9" i="1"/>
  <c r="H9" i="1" s="1"/>
  <c r="I8" i="1"/>
  <c r="L8" i="1"/>
  <c r="H8" i="1" s="1"/>
  <c r="J37" i="1" l="1"/>
  <c r="J9" i="1"/>
  <c r="J8" i="1"/>
  <c r="I46" i="1"/>
  <c r="L46" i="1"/>
  <c r="H46" i="1" s="1"/>
  <c r="W8" i="1" l="1"/>
  <c r="V8" i="1"/>
  <c r="U8" i="1"/>
  <c r="T8" i="1"/>
  <c r="S8" i="1"/>
  <c r="J46" i="1"/>
  <c r="L33" i="1" l="1"/>
  <c r="H33" i="1" s="1"/>
  <c r="J33" i="1" s="1"/>
  <c r="L30" i="1"/>
  <c r="H30" i="1" s="1"/>
  <c r="J30" i="1" l="1"/>
  <c r="L28" i="1"/>
  <c r="H28" i="1" s="1"/>
  <c r="J28" i="1" l="1"/>
  <c r="I41" i="1"/>
  <c r="L41" i="1" l="1"/>
  <c r="I546" i="1" l="1"/>
  <c r="L546" i="1"/>
  <c r="H546" i="1" s="1"/>
  <c r="L118" i="1"/>
  <c r="H118" i="1" s="1"/>
  <c r="I118" i="1"/>
  <c r="I160" i="1"/>
  <c r="L160" i="1"/>
  <c r="H160" i="1" s="1"/>
  <c r="J546" i="1" l="1"/>
  <c r="J160" i="1"/>
  <c r="J118" i="1"/>
  <c r="L27" i="1"/>
  <c r="H27" i="1" s="1"/>
  <c r="J27" i="1" s="1"/>
  <c r="L26" i="1"/>
  <c r="H26" i="1" s="1"/>
  <c r="J26" i="1" s="1"/>
  <c r="L23" i="1"/>
  <c r="L24" i="1" s="1"/>
  <c r="I257" i="1" l="1"/>
  <c r="L257" i="1"/>
  <c r="H257" i="1" s="1"/>
  <c r="I90" i="1"/>
  <c r="L90" i="1"/>
  <c r="H90" i="1" s="1"/>
  <c r="J90" i="1" l="1"/>
  <c r="J257" i="1"/>
  <c r="L64" i="1"/>
  <c r="H64" i="1" s="1"/>
  <c r="J64" i="1" s="1"/>
  <c r="L103" i="1" l="1"/>
  <c r="H103" i="1" s="1"/>
  <c r="I103" i="1"/>
  <c r="L22" i="1"/>
  <c r="J103" i="1" l="1"/>
  <c r="L25" i="1"/>
  <c r="H25" i="1" s="1"/>
  <c r="J25" i="1" s="1"/>
  <c r="W25" i="1" l="1"/>
  <c r="V25" i="1"/>
  <c r="U25" i="1"/>
  <c r="T25" i="1"/>
  <c r="S25" i="1"/>
  <c r="L19" i="1"/>
  <c r="L20" i="1" s="1"/>
  <c r="H20" i="1" s="1"/>
  <c r="J20" i="1" s="1"/>
  <c r="H16" i="1" l="1"/>
  <c r="I13" i="1" l="1"/>
  <c r="I21" i="1" l="1"/>
  <c r="L21" i="1"/>
  <c r="H21" i="1" s="1"/>
  <c r="L13" i="1" l="1"/>
  <c r="H13" i="1" l="1"/>
  <c r="H24" i="1" l="1"/>
  <c r="H23" i="1"/>
  <c r="M24" i="1"/>
  <c r="M2" i="1" s="1"/>
  <c r="I31" i="1" l="1"/>
  <c r="H41" i="1"/>
  <c r="L31" i="1"/>
  <c r="H31" i="1" s="1"/>
  <c r="J31" i="1" l="1"/>
  <c r="I499" i="1"/>
  <c r="L499" i="1"/>
  <c r="H499" i="1" s="1"/>
  <c r="I84" i="1"/>
  <c r="L84" i="1"/>
  <c r="H84" i="1" s="1"/>
  <c r="J84" i="1" l="1"/>
  <c r="J499" i="1"/>
  <c r="L18" i="1"/>
  <c r="H18" i="1" s="1"/>
  <c r="J18" i="1" s="1"/>
  <c r="S18" i="1" l="1"/>
  <c r="T18" i="1"/>
  <c r="W18" i="1"/>
  <c r="V18" i="1"/>
  <c r="U18" i="1"/>
  <c r="L15" i="1"/>
  <c r="H15" i="1" s="1"/>
  <c r="J15" i="1" s="1"/>
  <c r="V15" i="1" l="1"/>
  <c r="U15" i="1"/>
  <c r="T15" i="1"/>
  <c r="S15" i="1"/>
  <c r="W15" i="1"/>
  <c r="I11" i="1"/>
  <c r="L11" i="1"/>
  <c r="H11" i="1" s="1"/>
  <c r="J11" i="1" l="1"/>
  <c r="I5" i="1" l="1"/>
  <c r="L5" i="1"/>
  <c r="H5" i="1" s="1"/>
  <c r="I12" i="1" l="1"/>
  <c r="L12" i="1" l="1"/>
  <c r="H12" i="1" s="1"/>
  <c r="I74" i="1" l="1"/>
  <c r="L74" i="1"/>
  <c r="H74" i="1" s="1"/>
  <c r="J74" i="1" l="1"/>
  <c r="I213" i="1"/>
  <c r="H213" i="1"/>
  <c r="J213" i="1" l="1"/>
  <c r="J59" i="1" l="1"/>
  <c r="I547" i="1"/>
  <c r="H22" i="1"/>
  <c r="I22" i="1"/>
  <c r="J547" i="1" l="1"/>
  <c r="J22" i="1"/>
  <c r="I262" i="1"/>
  <c r="H262" i="1"/>
  <c r="W22" i="1" l="1"/>
  <c r="V22" i="1"/>
  <c r="U22" i="1"/>
  <c r="S22" i="1"/>
  <c r="T22" i="1"/>
  <c r="J41" i="1"/>
  <c r="J262" i="1"/>
  <c r="I93" i="1"/>
  <c r="J93" i="1" l="1"/>
  <c r="I55" i="1" l="1"/>
  <c r="J55" i="1" l="1"/>
  <c r="I501" i="1"/>
  <c r="H501" i="1"/>
  <c r="I500" i="1"/>
  <c r="H500" i="1"/>
  <c r="I553" i="1"/>
  <c r="H553" i="1"/>
  <c r="I498" i="1"/>
  <c r="H498" i="1"/>
  <c r="J6" i="1"/>
  <c r="W6" i="1" l="1"/>
  <c r="U6" i="1"/>
  <c r="X6" i="1"/>
  <c r="T6" i="1"/>
  <c r="S6" i="1"/>
  <c r="V6" i="1"/>
  <c r="H2" i="1"/>
  <c r="J502" i="1"/>
  <c r="J24" i="1"/>
  <c r="J13" i="1"/>
  <c r="J501" i="1"/>
  <c r="J503" i="1"/>
  <c r="J19" i="1"/>
  <c r="J23" i="1"/>
  <c r="J553" i="1"/>
  <c r="J16" i="1"/>
  <c r="J256" i="1"/>
  <c r="J498" i="1"/>
  <c r="J12" i="1"/>
  <c r="J21" i="1"/>
  <c r="J500" i="1"/>
  <c r="S21" i="1" l="1"/>
  <c r="T21" i="1"/>
  <c r="U21" i="1"/>
  <c r="W21" i="1"/>
  <c r="V21" i="1"/>
  <c r="S24" i="1"/>
  <c r="V24" i="1"/>
  <c r="W24" i="1"/>
  <c r="U24" i="1"/>
  <c r="T24" i="1"/>
  <c r="X12" i="1"/>
  <c r="W12" i="1"/>
  <c r="U12" i="1"/>
  <c r="V12" i="1"/>
  <c r="V23" i="1"/>
  <c r="U23" i="1"/>
  <c r="S23" i="1"/>
  <c r="W23" i="1"/>
  <c r="T23" i="1"/>
  <c r="V19" i="1"/>
  <c r="W19" i="1"/>
  <c r="W13" i="1"/>
  <c r="V13" i="1"/>
  <c r="U13" i="1"/>
  <c r="T13" i="1"/>
  <c r="S13" i="1"/>
  <c r="X4" i="1"/>
  <c r="V16" i="1"/>
  <c r="U16" i="1"/>
  <c r="W16" i="1"/>
  <c r="T16" i="1"/>
  <c r="S16" i="1"/>
  <c r="J5" i="1"/>
  <c r="W5" i="1" l="1"/>
  <c r="W4" i="1" s="1"/>
  <c r="V5" i="1"/>
  <c r="V4" i="1" s="1"/>
  <c r="U5" i="1"/>
  <c r="U4" i="1" s="1"/>
  <c r="T5" i="1"/>
  <c r="T4" i="1" s="1"/>
  <c r="S5" i="1"/>
  <c r="S4" i="1" s="1"/>
  <c r="B3" i="5"/>
  <c r="D9" i="1" l="1"/>
  <c r="D10" i="1" s="1"/>
  <c r="D11" i="1" s="1"/>
  <c r="D12" i="1" s="1"/>
  <c r="D13" i="1" s="1"/>
  <c r="D14" i="1" l="1"/>
  <c r="D15" i="1" l="1"/>
  <c r="D16" i="1" s="1"/>
  <c r="D17" i="1" s="1"/>
  <c r="D18" i="1" s="1"/>
  <c r="D19" i="1" s="1"/>
  <c r="D20" i="1" s="1"/>
  <c r="D21" i="1" s="1"/>
  <c r="D22" i="1" s="1"/>
  <c r="D23" i="1" l="1"/>
  <c r="D24" i="1" s="1"/>
  <c r="D25" i="1" l="1"/>
  <c r="D26" i="1" s="1"/>
  <c r="D27" i="1" s="1"/>
  <c r="D28" i="1" s="1"/>
  <c r="D29" i="1" s="1"/>
  <c r="D30" i="1" s="1"/>
  <c r="D31" i="1" l="1"/>
  <c r="D32" i="1" s="1"/>
  <c r="D33" i="1" s="1"/>
  <c r="D34" i="1" s="1"/>
  <c r="D35" i="1" s="1"/>
  <c r="D36" i="1" s="1"/>
  <c r="D37" i="1" s="1"/>
  <c r="B5" i="5"/>
  <c r="B6" i="5" s="1"/>
  <c r="B7" i="5" s="1"/>
  <c r="D38" i="1" l="1"/>
  <c r="D39" i="1" s="1"/>
  <c r="D40" i="1" s="1"/>
  <c r="D41" i="1" s="1"/>
  <c r="D42" i="1" l="1"/>
  <c r="D43" i="1" s="1"/>
  <c r="D44" i="1" s="1"/>
  <c r="D45" i="1" s="1"/>
  <c r="A4" i="6"/>
  <c r="A5" i="6" s="1"/>
  <c r="A32" i="6" s="1"/>
  <c r="A15" i="6" s="1"/>
  <c r="A16" i="6" s="1"/>
  <c r="A8" i="6" s="1"/>
  <c r="A6" i="6" s="1"/>
  <c r="A25" i="6" s="1"/>
  <c r="A26" i="6" s="1"/>
  <c r="A27" i="6" s="1"/>
  <c r="A13" i="6" s="1"/>
  <c r="A28" i="6" s="1"/>
  <c r="A29" i="6" s="1"/>
  <c r="A30" i="6" s="1"/>
  <c r="A11" i="6" s="1"/>
  <c r="A7" i="6" s="1"/>
  <c r="A31" i="6" s="1"/>
  <c r="A20" i="6" s="1"/>
  <c r="A33" i="6" s="1"/>
  <c r="A9" i="6" s="1"/>
  <c r="A22" i="6" s="1"/>
  <c r="B4" i="5" l="1"/>
  <c r="D46" i="1"/>
  <c r="D48" i="1" s="1"/>
  <c r="D49" i="1" s="1"/>
  <c r="D51" i="1" s="1"/>
  <c r="D52" i="1" s="1"/>
  <c r="D53" i="1" s="1"/>
  <c r="D54" i="1" s="1"/>
  <c r="A34" i="6"/>
  <c r="A35" i="6" s="1"/>
  <c r="A23" i="6" s="1"/>
  <c r="A17" i="6" s="1"/>
  <c r="A24" i="6" s="1"/>
  <c r="A18" i="6"/>
  <c r="D55" i="1" l="1"/>
  <c r="B8" i="5"/>
  <c r="B9" i="5" s="1"/>
  <c r="B10" i="5" s="1"/>
  <c r="A37" i="6"/>
  <c r="A38" i="6" s="1"/>
  <c r="A39" i="6" s="1"/>
  <c r="A40" i="6" s="1"/>
  <c r="A19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36" i="6"/>
  <c r="A21" i="6" s="1"/>
  <c r="N6" i="1" l="1"/>
  <c r="O6" i="1" s="1"/>
  <c r="O2" i="1" s="1"/>
  <c r="D47" i="1"/>
  <c r="D56" i="1" s="1"/>
  <c r="D57" i="1" s="1"/>
  <c r="D58" i="1" s="1"/>
  <c r="D50" i="1" s="1"/>
  <c r="D59" i="1" s="1"/>
  <c r="D60" i="1" s="1"/>
  <c r="D61" i="1" s="1"/>
  <c r="D62" i="1" s="1"/>
  <c r="D63" i="1" s="1"/>
  <c r="D64" i="1" s="1"/>
  <c r="D65" i="1" l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l="1"/>
  <c r="D81" i="1" s="1"/>
  <c r="D82" i="1" l="1"/>
  <c r="D83" i="1" s="1"/>
  <c r="D123" i="4" l="1"/>
  <c r="D84" i="1" s="1"/>
  <c r="D85" i="1" s="1"/>
  <c r="D86" i="1" s="1"/>
  <c r="D87" i="1" s="1"/>
  <c r="D88" i="1" s="1"/>
  <c r="D89" i="1" l="1"/>
  <c r="D90" i="1" s="1"/>
  <c r="D91" i="1" s="1"/>
  <c r="D92" i="1" s="1"/>
  <c r="D93" i="1" s="1"/>
  <c r="D94" i="1" s="1"/>
  <c r="D95" i="1" s="1"/>
  <c r="D96" i="1" s="1"/>
  <c r="D97" i="1" s="1"/>
  <c r="D98" i="1" s="1"/>
  <c r="D101" i="1" l="1"/>
  <c r="D99" i="1" s="1"/>
  <c r="D100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62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66" i="1" l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2" i="1"/>
  <c r="D322" i="1" l="1"/>
  <c r="D323" i="1" s="1"/>
  <c r="D324" i="1" s="1"/>
  <c r="D325" i="1" s="1"/>
  <c r="D326" i="1" s="1"/>
  <c r="D327" i="1" s="1"/>
  <c r="D328" i="1" s="1"/>
  <c r="D329" i="1" s="1"/>
  <c r="D330" i="1" s="1"/>
  <c r="D331" i="1" s="1"/>
  <c r="D332" i="1" l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4" i="1" s="1"/>
  <c r="D375" i="1" s="1"/>
  <c r="D373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l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350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l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tc={CD1010F9-76B4-444F-8BE3-0C7F8D316EE9}</author>
    <author>tc={C7B21EC5-CCB1-4871-B59C-1D6C7B04AAA3}</author>
    <author>tc={B2572E6F-40CC-4FA7-9340-8AC8902D6330}</author>
  </authors>
  <commentList>
    <comment ref="AE7" authorId="0" shapeId="0" xr:uid="{CD1010F9-76B4-444F-8BE3-0C7F8D316EE9}">
      <text>
        <t>[Threaded comment]
Your version of Excel allows you to read this threaded comment; however, any edits to it will get removed if the file is opened in a newer version of Excel. Learn more: https://go.microsoft.com/fwlink/?linkid=870924
Comment:
    1888 Abbott Labs, 2013 AbbVie</t>
      </text>
    </comment>
    <comment ref="AE13" authorId="1" shapeId="0" xr:uid="{C7B21EC5-CCB1-4871-B59C-1D6C7B04AAA3}">
      <text>
        <t>[Threaded comment]
Your version of Excel allows you to read this threaded comment; however, any edits to it will get removed if the file is opened in a newer version of Excel. Learn more: https://go.microsoft.com/fwlink/?linkid=870924
Comment:
    Merger created Novartis in 1996</t>
      </text>
    </comment>
    <comment ref="AE15" authorId="2" shapeId="0" xr:uid="{B2572E6F-40CC-4FA7-9340-8AC8902D6330}">
      <text>
        <t>[Threaded comment]
Your version of Excel allows you to read this threaded comment; however, any edits to it will get removed if the file is opened in a newer version of Excel. Learn more: https://go.microsoft.com/fwlink/?linkid=870924
Comment:
    Expropriated from Merck in Germany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</author>
  </authors>
  <commentList>
    <comment ref="BM29" authorId="0" shapeId="0" xr:uid="{E932D832-A0D4-461F-9F84-E6D0EDCD4316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506m consensus</t>
        </r>
      </text>
    </comment>
    <comment ref="BK30" authorId="0" shapeId="0" xr:uid="{B2BE9396-5825-4BE7-B3C2-AD4180B21E1E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905 consensus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tc={D92D9A65-014E-44BC-BD63-8FFD745601DC}</author>
  </authors>
  <commentList>
    <comment ref="C7" authorId="0" shapeId="0" xr:uid="{D92D9A65-014E-44BC-BD63-8FFD745601DC}">
      <text>
        <t>[Threaded comment]
Your version of Excel allows you to read this threaded comment; however, any edits to it will get removed if the file is opened in a newer version of Excel. Learn more: https://go.microsoft.com/fwlink/?linkid=870924
Comment:
    Sanofi-Synthelabo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<sst xmlns="http://schemas.openxmlformats.org/spreadsheetml/2006/main" count="3478" uniqueCount="1996">
  <si>
    <t>Exarta</t>
  </si>
  <si>
    <t>Name</t>
  </si>
  <si>
    <t>Founded</t>
  </si>
  <si>
    <t>USD/DKK</t>
  </si>
  <si>
    <t>USD/CHF</t>
  </si>
  <si>
    <t>EUR/USD</t>
  </si>
  <si>
    <t>AUD/USD</t>
  </si>
  <si>
    <t>GBP/USD</t>
  </si>
  <si>
    <t>Ticker</t>
  </si>
  <si>
    <t>Price</t>
  </si>
  <si>
    <t>MC</t>
  </si>
  <si>
    <t>NC</t>
  </si>
  <si>
    <t>EV</t>
  </si>
  <si>
    <t>Update</t>
  </si>
  <si>
    <t>J&amp;J</t>
  </si>
  <si>
    <t>JNJ</t>
  </si>
  <si>
    <t>Q122</t>
  </si>
  <si>
    <t>AbbVie</t>
  </si>
  <si>
    <t>ABBV</t>
  </si>
  <si>
    <t>Eli Lilly</t>
  </si>
  <si>
    <t>LLY</t>
  </si>
  <si>
    <t>Roche</t>
  </si>
  <si>
    <t>ROG VX</t>
  </si>
  <si>
    <t>Pfizer</t>
  </si>
  <si>
    <t>PFE</t>
  </si>
  <si>
    <t>Novo Nordisk</t>
  </si>
  <si>
    <t>NVO</t>
  </si>
  <si>
    <t>Merck</t>
  </si>
  <si>
    <t>MRK</t>
  </si>
  <si>
    <t>Novartis</t>
  </si>
  <si>
    <t>NVS</t>
  </si>
  <si>
    <t>Bristol-Myers</t>
  </si>
  <si>
    <t>BMY</t>
  </si>
  <si>
    <t>Amgen</t>
  </si>
  <si>
    <t>AMGN</t>
  </si>
  <si>
    <t>Sanofi</t>
  </si>
  <si>
    <t>SNY</t>
  </si>
  <si>
    <t>AstraZeneca</t>
  </si>
  <si>
    <t>AZN</t>
  </si>
  <si>
    <t>GSK</t>
  </si>
  <si>
    <t>GSK US</t>
  </si>
  <si>
    <t>GSK LN</t>
  </si>
  <si>
    <t>Merck KgAa</t>
  </si>
  <si>
    <t>MRK DE</t>
  </si>
  <si>
    <t>CSL</t>
  </si>
  <si>
    <t>Gilead</t>
  </si>
  <si>
    <t>GILD</t>
  </si>
  <si>
    <t>Vertex</t>
  </si>
  <si>
    <t>VRTX</t>
  </si>
  <si>
    <t>Incyte</t>
  </si>
  <si>
    <t>INCY</t>
  </si>
  <si>
    <t>Regeneron</t>
  </si>
  <si>
    <t>REGN</t>
  </si>
  <si>
    <t>Moderna</t>
  </si>
  <si>
    <t>MRNA</t>
  </si>
  <si>
    <t>Chugai</t>
  </si>
  <si>
    <t>4519 JP</t>
  </si>
  <si>
    <t>Alnylam</t>
  </si>
  <si>
    <t>ALNY</t>
  </si>
  <si>
    <t>Genmab</t>
  </si>
  <si>
    <t>GMAB</t>
  </si>
  <si>
    <t>Takeda</t>
  </si>
  <si>
    <t>TAK</t>
  </si>
  <si>
    <t>Argenx</t>
  </si>
  <si>
    <t>ARGX</t>
  </si>
  <si>
    <t>Baxter</t>
  </si>
  <si>
    <t>BAX</t>
  </si>
  <si>
    <t>Otsuka</t>
  </si>
  <si>
    <t>4578 JP</t>
  </si>
  <si>
    <t>Biomarin</t>
  </si>
  <si>
    <t>BMRN</t>
  </si>
  <si>
    <t>Seagen</t>
  </si>
  <si>
    <t>SGEN</t>
  </si>
  <si>
    <t>BioNTech</t>
  </si>
  <si>
    <t>BNTX</t>
  </si>
  <si>
    <t>Viatris</t>
  </si>
  <si>
    <t>VTRS</t>
  </si>
  <si>
    <t>Royalty Pharma</t>
  </si>
  <si>
    <t>RPRX</t>
  </si>
  <si>
    <t>BeiGene</t>
  </si>
  <si>
    <t>Astellas</t>
  </si>
  <si>
    <t>4503 JP</t>
  </si>
  <si>
    <t>Daiichi Sankyo</t>
  </si>
  <si>
    <t>4568 JP</t>
  </si>
  <si>
    <t>Grifols</t>
  </si>
  <si>
    <t>GRFS</t>
  </si>
  <si>
    <t>Biohaven</t>
  </si>
  <si>
    <t>BHVN</t>
  </si>
  <si>
    <t>United</t>
  </si>
  <si>
    <t>UTHR</t>
  </si>
  <si>
    <t>Neurocrine</t>
  </si>
  <si>
    <t>NBIX</t>
  </si>
  <si>
    <t>Jazz</t>
  </si>
  <si>
    <t>JAZZ</t>
  </si>
  <si>
    <t>Teva</t>
  </si>
  <si>
    <t>TEVA</t>
  </si>
  <si>
    <t>Rocket</t>
  </si>
  <si>
    <t>RCKT</t>
  </si>
  <si>
    <t>Halozyme</t>
  </si>
  <si>
    <t>HALO</t>
  </si>
  <si>
    <t>Ionis</t>
  </si>
  <si>
    <t>IONS</t>
  </si>
  <si>
    <t>Horizon</t>
  </si>
  <si>
    <t>Travere</t>
  </si>
  <si>
    <t>TVTX</t>
  </si>
  <si>
    <t>Vor</t>
  </si>
  <si>
    <t>VOR</t>
  </si>
  <si>
    <t>Vir</t>
  </si>
  <si>
    <t>VIR</t>
  </si>
  <si>
    <t>Xencor</t>
  </si>
  <si>
    <t>XNCR</t>
  </si>
  <si>
    <t>Arrowhead</t>
  </si>
  <si>
    <t>ARWR</t>
  </si>
  <si>
    <t>Organon</t>
  </si>
  <si>
    <t>OGN</t>
  </si>
  <si>
    <t>Dr. Reddy's</t>
  </si>
  <si>
    <t>RDY</t>
  </si>
  <si>
    <t>Legend Biotech</t>
  </si>
  <si>
    <t>LEGN</t>
  </si>
  <si>
    <t>CRISPR</t>
  </si>
  <si>
    <t>CRSP</t>
  </si>
  <si>
    <t>Exelixis</t>
  </si>
  <si>
    <t>EXEL</t>
  </si>
  <si>
    <t>BLCO</t>
  </si>
  <si>
    <t>Acadia</t>
  </si>
  <si>
    <t>ACAD</t>
  </si>
  <si>
    <t>Sarepta</t>
  </si>
  <si>
    <t>SRPT</t>
  </si>
  <si>
    <t>Intra-Cellular</t>
  </si>
  <si>
    <t>ITCI</t>
  </si>
  <si>
    <t>Perrigo</t>
  </si>
  <si>
    <t>PRGO</t>
  </si>
  <si>
    <t>Apellis</t>
  </si>
  <si>
    <t>APLS</t>
  </si>
  <si>
    <t>Alkermes</t>
  </si>
  <si>
    <t>ALKS</t>
  </si>
  <si>
    <t>Ascendis</t>
  </si>
  <si>
    <t>ASND</t>
  </si>
  <si>
    <t>Lantheus</t>
  </si>
  <si>
    <t>LNTH</t>
  </si>
  <si>
    <t>Evotec</t>
  </si>
  <si>
    <t>EVO</t>
  </si>
  <si>
    <t>Ginkgo</t>
  </si>
  <si>
    <t>DNA</t>
  </si>
  <si>
    <t>Intellia</t>
  </si>
  <si>
    <t>NTLA</t>
  </si>
  <si>
    <t>Cerevel</t>
  </si>
  <si>
    <t>Ultragenyx</t>
  </si>
  <si>
    <t>RARE</t>
  </si>
  <si>
    <t>Turning Point</t>
  </si>
  <si>
    <t>TPTX</t>
  </si>
  <si>
    <t>Blueprint</t>
  </si>
  <si>
    <t>BPMC</t>
  </si>
  <si>
    <t>Zai Lab</t>
  </si>
  <si>
    <t>ZLAB</t>
  </si>
  <si>
    <t>AbCellera</t>
  </si>
  <si>
    <t>ABCL</t>
  </si>
  <si>
    <t>Beam</t>
  </si>
  <si>
    <t>BEAM</t>
  </si>
  <si>
    <t>CureVac</t>
  </si>
  <si>
    <t>CVAC</t>
  </si>
  <si>
    <t>Bausch Health</t>
  </si>
  <si>
    <t>BHC</t>
  </si>
  <si>
    <t>Amicus</t>
  </si>
  <si>
    <t>FOLD</t>
  </si>
  <si>
    <t>Harmony</t>
  </si>
  <si>
    <t>HRMY</t>
  </si>
  <si>
    <t>EQRx</t>
  </si>
  <si>
    <t>EQRX</t>
  </si>
  <si>
    <t>PCRX</t>
  </si>
  <si>
    <t>Fate</t>
  </si>
  <si>
    <t>FATE</t>
  </si>
  <si>
    <t>Corcept</t>
  </si>
  <si>
    <t>CORT</t>
  </si>
  <si>
    <t>Insmed</t>
  </si>
  <si>
    <t>INSM</t>
  </si>
  <si>
    <t>Relay</t>
  </si>
  <si>
    <t>RLAY</t>
  </si>
  <si>
    <t>PTC</t>
  </si>
  <si>
    <t>PTCT</t>
  </si>
  <si>
    <t>Sage</t>
  </si>
  <si>
    <t>SAGE</t>
  </si>
  <si>
    <t>Arvinas</t>
  </si>
  <si>
    <t>ARVN</t>
  </si>
  <si>
    <t>BCRX</t>
  </si>
  <si>
    <t>ChemoCentryx</t>
  </si>
  <si>
    <t>Ironwood</t>
  </si>
  <si>
    <t>IRWD</t>
  </si>
  <si>
    <t>Global Blood</t>
  </si>
  <si>
    <t>Xenon</t>
  </si>
  <si>
    <t>XENE</t>
  </si>
  <si>
    <t>Exscientia</t>
  </si>
  <si>
    <t>EXAI</t>
  </si>
  <si>
    <t>Allogene</t>
  </si>
  <si>
    <t>ALLO</t>
  </si>
  <si>
    <t>Opko</t>
  </si>
  <si>
    <t>OPK</t>
  </si>
  <si>
    <t>Krystal</t>
  </si>
  <si>
    <t>KRYS</t>
  </si>
  <si>
    <t>Aurinia</t>
  </si>
  <si>
    <t>AUPH</t>
  </si>
  <si>
    <t>Immunocore</t>
  </si>
  <si>
    <t>IMCR</t>
  </si>
  <si>
    <t>Amphastar</t>
  </si>
  <si>
    <t>AMPH</t>
  </si>
  <si>
    <t>Recursion</t>
  </si>
  <si>
    <t>RXRX</t>
  </si>
  <si>
    <t>Emergent</t>
  </si>
  <si>
    <t>EBS</t>
  </si>
  <si>
    <t>Supernus</t>
  </si>
  <si>
    <t>SUPN</t>
  </si>
  <si>
    <t>ImmunityBio</t>
  </si>
  <si>
    <t>IBRX</t>
  </si>
  <si>
    <t>Iovance</t>
  </si>
  <si>
    <t>IOVA</t>
  </si>
  <si>
    <t>Revolution</t>
  </si>
  <si>
    <t>RVMD</t>
  </si>
  <si>
    <t>Lyell</t>
  </si>
  <si>
    <t>LYEL</t>
  </si>
  <si>
    <t>Taro</t>
  </si>
  <si>
    <t>TARO</t>
  </si>
  <si>
    <t>Novavax</t>
  </si>
  <si>
    <t>NVAX</t>
  </si>
  <si>
    <t>Zentalis</t>
  </si>
  <si>
    <t>ZNTL</t>
  </si>
  <si>
    <t>Dynavax</t>
  </si>
  <si>
    <t>DVAX</t>
  </si>
  <si>
    <t>Mereo</t>
  </si>
  <si>
    <t>MREO</t>
  </si>
  <si>
    <t>Aldeyra</t>
  </si>
  <si>
    <t>ALDX</t>
  </si>
  <si>
    <t>Catalyst</t>
  </si>
  <si>
    <t>CPRX</t>
  </si>
  <si>
    <t>Adicet</t>
  </si>
  <si>
    <t>ACET</t>
  </si>
  <si>
    <t>Liquidia</t>
  </si>
  <si>
    <t>LQDA</t>
  </si>
  <si>
    <t>MeiraGTx</t>
  </si>
  <si>
    <t>MGTX</t>
  </si>
  <si>
    <t>Biora</t>
  </si>
  <si>
    <t>BIOR</t>
  </si>
  <si>
    <t>Tracon</t>
  </si>
  <si>
    <t>TCON</t>
  </si>
  <si>
    <t>PhaseBio</t>
  </si>
  <si>
    <t>PHAS</t>
  </si>
  <si>
    <t>CVRx</t>
  </si>
  <si>
    <t>CVRX</t>
  </si>
  <si>
    <t>Graybug</t>
  </si>
  <si>
    <t>GRAY</t>
  </si>
  <si>
    <t>Humanigen</t>
  </si>
  <si>
    <t>HGEN</t>
  </si>
  <si>
    <t>Marinus</t>
  </si>
  <si>
    <t>MRNS</t>
  </si>
  <si>
    <t>Aerie</t>
  </si>
  <si>
    <t>Bayer</t>
  </si>
  <si>
    <t>BAYN</t>
  </si>
  <si>
    <t>Samsung Biologics</t>
  </si>
  <si>
    <t>207940 KS</t>
  </si>
  <si>
    <t>WuXi Biologics</t>
  </si>
  <si>
    <t>2269 HK</t>
  </si>
  <si>
    <t>Jiangsu Hengrui</t>
  </si>
  <si>
    <t>600276 CH</t>
  </si>
  <si>
    <t>Biogen</t>
  </si>
  <si>
    <t>BIIB</t>
  </si>
  <si>
    <t>Sun Pharmaceuticals</t>
  </si>
  <si>
    <t>SUNP</t>
  </si>
  <si>
    <t>Zhangzhou Pientzehuang</t>
  </si>
  <si>
    <t>600436 CH</t>
  </si>
  <si>
    <t>Shionogi</t>
  </si>
  <si>
    <t>4507 JP</t>
  </si>
  <si>
    <t>UCB</t>
  </si>
  <si>
    <t>Ono</t>
  </si>
  <si>
    <t>4528 JP</t>
  </si>
  <si>
    <t>Eisai</t>
  </si>
  <si>
    <t>4523 JP</t>
  </si>
  <si>
    <t>Kyowa Kirin</t>
  </si>
  <si>
    <t>4151 JP</t>
  </si>
  <si>
    <t>Chongqing Zhifei</t>
  </si>
  <si>
    <t>300122 CH</t>
  </si>
  <si>
    <t>Affilogic</t>
  </si>
  <si>
    <t>Faeth Therapeutics</t>
  </si>
  <si>
    <t>Manifold Bio</t>
  </si>
  <si>
    <t>Boston, MA</t>
  </si>
  <si>
    <t>HQ</t>
  </si>
  <si>
    <t>Avista Therapeutics</t>
  </si>
  <si>
    <t>Main</t>
  </si>
  <si>
    <t>InnoRNA</t>
  </si>
  <si>
    <t>Veru</t>
  </si>
  <si>
    <t>VERU</t>
  </si>
  <si>
    <t>Empirico</t>
  </si>
  <si>
    <t>Everest Medicines</t>
  </si>
  <si>
    <t>1952 HK</t>
  </si>
  <si>
    <t>BioCryst</t>
  </si>
  <si>
    <t>Acquiree</t>
  </si>
  <si>
    <t>Acquirer</t>
  </si>
  <si>
    <t>Hikma</t>
  </si>
  <si>
    <t>HIK LN</t>
  </si>
  <si>
    <t>Siga</t>
  </si>
  <si>
    <t>SIGA</t>
  </si>
  <si>
    <t>SO</t>
  </si>
  <si>
    <t>Q222</t>
  </si>
  <si>
    <t>Altimmune</t>
  </si>
  <si>
    <t>ALT</t>
  </si>
  <si>
    <t>Atai</t>
  </si>
  <si>
    <t>ATAI</t>
  </si>
  <si>
    <t>Last</t>
  </si>
  <si>
    <t>Innovent</t>
  </si>
  <si>
    <t>1801 HK</t>
  </si>
  <si>
    <t>I-Mab</t>
  </si>
  <si>
    <t>IMAB</t>
  </si>
  <si>
    <t>EPS</t>
  </si>
  <si>
    <t>EV/EPS</t>
  </si>
  <si>
    <t>NPV</t>
  </si>
  <si>
    <t>Discount</t>
  </si>
  <si>
    <t>Upside</t>
  </si>
  <si>
    <t>ROIC</t>
  </si>
  <si>
    <t>Terminal</t>
  </si>
  <si>
    <t>NOVOB</t>
  </si>
  <si>
    <t>MiroBio</t>
  </si>
  <si>
    <t>Consideration</t>
  </si>
  <si>
    <t>Avalo</t>
  </si>
  <si>
    <t>AVTX</t>
  </si>
  <si>
    <t>1859, Inc.</t>
  </si>
  <si>
    <t>Round</t>
  </si>
  <si>
    <t>Series A</t>
  </si>
  <si>
    <t>Size</t>
  </si>
  <si>
    <t>Investors</t>
  </si>
  <si>
    <t>Northpond Ventures, OMX Ventures</t>
  </si>
  <si>
    <t>40m</t>
  </si>
  <si>
    <t>Date</t>
  </si>
  <si>
    <t>San Diego, CA</t>
  </si>
  <si>
    <t>Absci</t>
  </si>
  <si>
    <t>ABSI</t>
  </si>
  <si>
    <t>x</t>
  </si>
  <si>
    <t>4502 JP</t>
  </si>
  <si>
    <t>Arcellx</t>
  </si>
  <si>
    <t>ACLX</t>
  </si>
  <si>
    <t>SyntheticGestalt</t>
  </si>
  <si>
    <t>11m</t>
  </si>
  <si>
    <t>Neomorph</t>
  </si>
  <si>
    <t>Moonlake Immunotherapeutics</t>
  </si>
  <si>
    <t>IL-17 A/F mab</t>
  </si>
  <si>
    <t>Iveric</t>
  </si>
  <si>
    <t>ISEE</t>
  </si>
  <si>
    <t>Ablynx</t>
  </si>
  <si>
    <t>Centocor</t>
  </si>
  <si>
    <t>Medarex</t>
  </si>
  <si>
    <t>Cel-Sci</t>
  </si>
  <si>
    <t>CVM</t>
  </si>
  <si>
    <t>Roivant</t>
  </si>
  <si>
    <t>Cytodyn</t>
  </si>
  <si>
    <t>CYDY</t>
  </si>
  <si>
    <t>Celltrion</t>
  </si>
  <si>
    <t>068270 KS</t>
  </si>
  <si>
    <t>Vifor</t>
  </si>
  <si>
    <t>Divi Labs</t>
  </si>
  <si>
    <t>DIVI IN</t>
  </si>
  <si>
    <t>CSPC</t>
  </si>
  <si>
    <t>1093 HK</t>
  </si>
  <si>
    <t>Yunnan Baiyao</t>
  </si>
  <si>
    <t>000538 CH</t>
  </si>
  <si>
    <t>Cipla</t>
  </si>
  <si>
    <t>CIPLA</t>
  </si>
  <si>
    <t>Recordati</t>
  </si>
  <si>
    <t>REC IM</t>
  </si>
  <si>
    <t>Ipsen</t>
  </si>
  <si>
    <t>IPN</t>
  </si>
  <si>
    <t>SK Bioscience</t>
  </si>
  <si>
    <t>302440 KS</t>
  </si>
  <si>
    <t>Shanghai Junshi</t>
  </si>
  <si>
    <t>1877 HK</t>
  </si>
  <si>
    <t>Orion</t>
  </si>
  <si>
    <t>ORNBV FH</t>
  </si>
  <si>
    <t>USD/JPY</t>
  </si>
  <si>
    <t>Springworks</t>
  </si>
  <si>
    <t>SWTX</t>
  </si>
  <si>
    <t>CanSino</t>
  </si>
  <si>
    <t>6185 HK</t>
  </si>
  <si>
    <t>Bharat</t>
  </si>
  <si>
    <t>BIBCL</t>
  </si>
  <si>
    <t>Shanghai Fosun</t>
  </si>
  <si>
    <t>600196 CH</t>
  </si>
  <si>
    <t>2196 HK</t>
  </si>
  <si>
    <t>Meissa Vaccines</t>
  </si>
  <si>
    <t>Vivoryon</t>
  </si>
  <si>
    <t>VVY</t>
  </si>
  <si>
    <t>Wren Therapeutics</t>
  </si>
  <si>
    <t>2019?</t>
  </si>
  <si>
    <t>18m GBP</t>
  </si>
  <si>
    <t>Alzheimer's amyloid aggregation inhibitor</t>
  </si>
  <si>
    <t>Aria Pharmaceuticals</t>
  </si>
  <si>
    <t>FogPharma</t>
  </si>
  <si>
    <t>Series C</t>
  </si>
  <si>
    <t>Beta-Catenin</t>
  </si>
  <si>
    <t>Pasithea</t>
  </si>
  <si>
    <t>KTTA</t>
  </si>
  <si>
    <t>USD/HKD</t>
  </si>
  <si>
    <t>Cellarity</t>
  </si>
  <si>
    <t>KRW/USD</t>
  </si>
  <si>
    <t>Medivation</t>
  </si>
  <si>
    <t>Array</t>
  </si>
  <si>
    <t>Arena</t>
  </si>
  <si>
    <t>Changchun High Tech</t>
  </si>
  <si>
    <t>000661 CH</t>
  </si>
  <si>
    <t>Huadong Medicine</t>
  </si>
  <si>
    <t>000963 CH</t>
  </si>
  <si>
    <t>Sino Biopharm</t>
  </si>
  <si>
    <t>1177 HK</t>
  </si>
  <si>
    <t>Hansoh</t>
  </si>
  <si>
    <t>3692 HK</t>
  </si>
  <si>
    <t>Walvax Biotech</t>
  </si>
  <si>
    <t>300142 CH</t>
  </si>
  <si>
    <t>Beijing Tongren</t>
  </si>
  <si>
    <t>600085 CH</t>
  </si>
  <si>
    <t>Abyssinia Biologics</t>
  </si>
  <si>
    <t>Bioverativ</t>
  </si>
  <si>
    <t>AZN LN</t>
  </si>
  <si>
    <t>Intima Bioscience</t>
  </si>
  <si>
    <t>Q322</t>
  </si>
  <si>
    <t>Noema Pharma</t>
  </si>
  <si>
    <t>CSL AU</t>
  </si>
  <si>
    <t>NOVN VX</t>
  </si>
  <si>
    <t>Viridian</t>
  </si>
  <si>
    <t>VRDN</t>
  </si>
  <si>
    <t>Microgen</t>
  </si>
  <si>
    <t>Microgen.ru</t>
  </si>
  <si>
    <t>Notes</t>
  </si>
  <si>
    <t>Tricida</t>
  </si>
  <si>
    <t>Entrada</t>
  </si>
  <si>
    <t>TRDA</t>
  </si>
  <si>
    <t>Axsome</t>
  </si>
  <si>
    <t>AXSM</t>
  </si>
  <si>
    <t>USD/INR</t>
  </si>
  <si>
    <t>DJS Antibodies</t>
  </si>
  <si>
    <t>Imago (IMGO)</t>
  </si>
  <si>
    <t>Sichuan Kelun</t>
  </si>
  <si>
    <t>USD/CNY</t>
  </si>
  <si>
    <t>RegenxBio</t>
  </si>
  <si>
    <t>RGNX</t>
  </si>
  <si>
    <t>Metagenomi</t>
  </si>
  <si>
    <t>Insitro</t>
  </si>
  <si>
    <t>South San Francisco, CA</t>
  </si>
  <si>
    <t>ReCode Therapeutics</t>
  </si>
  <si>
    <t>Grey Wolf Therapeutics</t>
  </si>
  <si>
    <t>Elicio Therapeutics</t>
  </si>
  <si>
    <t>Amolyt Pharma</t>
  </si>
  <si>
    <t>Ribon Therapeutics</t>
  </si>
  <si>
    <t>Atomwise</t>
  </si>
  <si>
    <t>Acelyrin</t>
  </si>
  <si>
    <t>Nimbus</t>
  </si>
  <si>
    <t>Eikon Therapeutics</t>
  </si>
  <si>
    <t>ArsenalBio</t>
  </si>
  <si>
    <t>Akamis Bio</t>
  </si>
  <si>
    <t>Structure Therapeutics</t>
  </si>
  <si>
    <t>Treeline Biosciences</t>
  </si>
  <si>
    <t>Tmunity Therapeutics</t>
  </si>
  <si>
    <t>Tessera Therapeutics</t>
  </si>
  <si>
    <t>A2 Biotherapeutics</t>
  </si>
  <si>
    <t>Gilgamesh Pharmaceuticals</t>
  </si>
  <si>
    <t>Evozyne</t>
  </si>
  <si>
    <t>Capsida</t>
  </si>
  <si>
    <t>Carisma Therapeutics</t>
  </si>
  <si>
    <t>Forge Biologics</t>
  </si>
  <si>
    <t>LatchBio</t>
  </si>
  <si>
    <t>Goldfinch Biopharma</t>
  </si>
  <si>
    <t>Pathalys Pharma</t>
  </si>
  <si>
    <t>Kernel</t>
  </si>
  <si>
    <t>Cardurion</t>
  </si>
  <si>
    <t>Dyno Therapeutics</t>
  </si>
  <si>
    <t>BigHat Biosciences</t>
  </si>
  <si>
    <t>Shape Therapeutics</t>
  </si>
  <si>
    <t>Alloy Therapeutics</t>
  </si>
  <si>
    <t>Scribe Therapeutics</t>
  </si>
  <si>
    <t>Orna Therapeutics</t>
  </si>
  <si>
    <t>Arch Oncology</t>
  </si>
  <si>
    <t>Remix Therapeutics</t>
  </si>
  <si>
    <t>XtalPi</t>
  </si>
  <si>
    <t>Biosplice Therapeutics</t>
  </si>
  <si>
    <t>ElevateBio</t>
  </si>
  <si>
    <t>Abogen Biosciences</t>
  </si>
  <si>
    <t>Mojave Pharma</t>
  </si>
  <si>
    <t>Laronde</t>
  </si>
  <si>
    <t>Kallyope</t>
  </si>
  <si>
    <t>Kriya Therapeutics</t>
  </si>
  <si>
    <t>Genor Biopharma</t>
  </si>
  <si>
    <t>Generate Biomedicines</t>
  </si>
  <si>
    <t>RayzeBio</t>
  </si>
  <si>
    <t>Insilico Medicine</t>
  </si>
  <si>
    <t>Odyssey Therapeutics</t>
  </si>
  <si>
    <t>Maze Therapeutics</t>
  </si>
  <si>
    <t>TauRx Pharmaceuticals</t>
  </si>
  <si>
    <t>Vividion Therapeutics</t>
  </si>
  <si>
    <t>Tizona Therapeutics</t>
  </si>
  <si>
    <t>Ventus Therapeutics</t>
  </si>
  <si>
    <t>Affinivax</t>
  </si>
  <si>
    <t>Pionyr Immunotherapeutics</t>
  </si>
  <si>
    <t>Areteia Therapeutics</t>
  </si>
  <si>
    <t>Alvotech</t>
  </si>
  <si>
    <t>ALVO</t>
  </si>
  <si>
    <t>Altos</t>
  </si>
  <si>
    <t>ARCH, Bezos</t>
  </si>
  <si>
    <t>Intarcia</t>
  </si>
  <si>
    <t>Chinese RNA</t>
  </si>
  <si>
    <t>Reneo</t>
  </si>
  <si>
    <t>RPHM</t>
  </si>
  <si>
    <t>TG Therapeutics</t>
  </si>
  <si>
    <t>TGTX</t>
  </si>
  <si>
    <t>Provention</t>
  </si>
  <si>
    <t>PRVB</t>
  </si>
  <si>
    <t>Erasca</t>
  </si>
  <si>
    <t>ERAS</t>
  </si>
  <si>
    <t>4D Molecular</t>
  </si>
  <si>
    <t>FDMT</t>
  </si>
  <si>
    <t>GMAB DC</t>
  </si>
  <si>
    <t>Kiora</t>
  </si>
  <si>
    <t>KPRX</t>
  </si>
  <si>
    <t>Q422</t>
  </si>
  <si>
    <t>HotSpot Therapeutics</t>
  </si>
  <si>
    <t>ABBV deal</t>
  </si>
  <si>
    <t>Immunome</t>
  </si>
  <si>
    <t>Anima Biotech</t>
  </si>
  <si>
    <t>Bausch + Lomb</t>
  </si>
  <si>
    <t>Assertio</t>
  </si>
  <si>
    <t>ASRT</t>
  </si>
  <si>
    <t>ELVN</t>
  </si>
  <si>
    <t>Enliven</t>
  </si>
  <si>
    <t>ZyVersa</t>
  </si>
  <si>
    <t>ZVSA</t>
  </si>
  <si>
    <t>Xbiotech</t>
  </si>
  <si>
    <t>XBIT</t>
  </si>
  <si>
    <t>Annovis</t>
  </si>
  <si>
    <t>ANVS</t>
  </si>
  <si>
    <t>Fusion</t>
  </si>
  <si>
    <t>FUSN</t>
  </si>
  <si>
    <t>Tenaya</t>
  </si>
  <si>
    <t>TNYA</t>
  </si>
  <si>
    <t>Praxis Precision Medicines</t>
  </si>
  <si>
    <t>PRAX</t>
  </si>
  <si>
    <t>Opiant Pharma</t>
  </si>
  <si>
    <t>OPNT</t>
  </si>
  <si>
    <t>ESSA</t>
  </si>
  <si>
    <t>EPIX</t>
  </si>
  <si>
    <t>Sol-Gel</t>
  </si>
  <si>
    <t>SLGL</t>
  </si>
  <si>
    <t>Kronos</t>
  </si>
  <si>
    <t>KRON</t>
  </si>
  <si>
    <t>Sesen Bio</t>
  </si>
  <si>
    <t>SESN</t>
  </si>
  <si>
    <t>Orchestra Biomed</t>
  </si>
  <si>
    <t>OBIO</t>
  </si>
  <si>
    <t>Lyra</t>
  </si>
  <si>
    <t>LYRA</t>
  </si>
  <si>
    <t>Olema</t>
  </si>
  <si>
    <t>OLMA</t>
  </si>
  <si>
    <t>CytomX</t>
  </si>
  <si>
    <t>CTMX</t>
  </si>
  <si>
    <t>Alaunos Therapeutics</t>
  </si>
  <si>
    <t>TCRT</t>
  </si>
  <si>
    <t>Taysha Gene Therapies</t>
  </si>
  <si>
    <t>TSHA</t>
  </si>
  <si>
    <t>Urogen</t>
  </si>
  <si>
    <t>URGN</t>
  </si>
  <si>
    <t>Lava</t>
  </si>
  <si>
    <t>LVTX</t>
  </si>
  <si>
    <t>OptiNose</t>
  </si>
  <si>
    <t>OPTN</t>
  </si>
  <si>
    <t>F-Star</t>
  </si>
  <si>
    <t>FSTX</t>
  </si>
  <si>
    <t>INMB</t>
  </si>
  <si>
    <t>INmune Bio</t>
  </si>
  <si>
    <t>Athira Pharma</t>
  </si>
  <si>
    <t>ATHA</t>
  </si>
  <si>
    <t>Medicinova</t>
  </si>
  <si>
    <t>MNOV</t>
  </si>
  <si>
    <t>Trevi</t>
  </si>
  <si>
    <t>TRVI</t>
  </si>
  <si>
    <t>Theratechnologies</t>
  </si>
  <si>
    <t>THTX</t>
  </si>
  <si>
    <t>VBI Vaccines</t>
  </si>
  <si>
    <t>VBIV</t>
  </si>
  <si>
    <t>Omeros</t>
  </si>
  <si>
    <t>OMER</t>
  </si>
  <si>
    <t>Ovid</t>
  </si>
  <si>
    <t>OVID</t>
  </si>
  <si>
    <t>Disc Medicine</t>
  </si>
  <si>
    <t>IRON</t>
  </si>
  <si>
    <t>Frequency</t>
  </si>
  <si>
    <t>FREQ</t>
  </si>
  <si>
    <t>Ryvu Therapeutics</t>
  </si>
  <si>
    <t>RVU</t>
  </si>
  <si>
    <t>Aceragen</t>
  </si>
  <si>
    <t>ACGN</t>
  </si>
  <si>
    <t>Ayala</t>
  </si>
  <si>
    <t>ADXS</t>
  </si>
  <si>
    <t>Shanghai Pharma</t>
  </si>
  <si>
    <t>601607 CH</t>
  </si>
  <si>
    <t>Celltrion Health</t>
  </si>
  <si>
    <t>091990 KS</t>
  </si>
  <si>
    <t>Karuna</t>
  </si>
  <si>
    <t>Mirati</t>
  </si>
  <si>
    <t>MRTX</t>
  </si>
  <si>
    <t>Series B</t>
  </si>
  <si>
    <t>100m</t>
  </si>
  <si>
    <t>45m</t>
  </si>
  <si>
    <t>Series A-2</t>
  </si>
  <si>
    <t>Camp4 Therapeutics</t>
  </si>
  <si>
    <t>Series A-1</t>
  </si>
  <si>
    <t>30m</t>
  </si>
  <si>
    <t>Cambridge, MA</t>
  </si>
  <si>
    <t>Antiverse</t>
  </si>
  <si>
    <t>GPCR antibodies</t>
  </si>
  <si>
    <t>Radiopharma</t>
  </si>
  <si>
    <t>Series D</t>
  </si>
  <si>
    <t>venBio, Versant</t>
  </si>
  <si>
    <t>Venrock</t>
  </si>
  <si>
    <t>Sofinnova, Viking, Wellington</t>
  </si>
  <si>
    <t>Ensoma</t>
  </si>
  <si>
    <t>70m</t>
  </si>
  <si>
    <t>85m</t>
  </si>
  <si>
    <t>Catalio, Solasta, QIA, 5AM, Cormorant</t>
  </si>
  <si>
    <t>SetPoint Medical</t>
  </si>
  <si>
    <t>42m</t>
  </si>
  <si>
    <t>Syndax</t>
  </si>
  <si>
    <t>SNDX</t>
  </si>
  <si>
    <t>Q1</t>
  </si>
  <si>
    <t>Q2</t>
  </si>
  <si>
    <t>Q3</t>
  </si>
  <si>
    <t>Q4</t>
  </si>
  <si>
    <t>Q5</t>
  </si>
  <si>
    <t>Q6</t>
  </si>
  <si>
    <t>Mounjaro</t>
  </si>
  <si>
    <t>Launch</t>
  </si>
  <si>
    <t>US launch 6/2022. First reported quarter Q222</t>
  </si>
  <si>
    <t>Emgality</t>
  </si>
  <si>
    <t>Company</t>
  </si>
  <si>
    <t>Verzenio</t>
  </si>
  <si>
    <t>Olumiant</t>
  </si>
  <si>
    <t>Tyvyt</t>
  </si>
  <si>
    <t>Retevmo</t>
  </si>
  <si>
    <t>Taltz</t>
  </si>
  <si>
    <t>Basaglar</t>
  </si>
  <si>
    <t>Trulicity</t>
  </si>
  <si>
    <t>Jardiance</t>
  </si>
  <si>
    <t>Cyramza</t>
  </si>
  <si>
    <t>Effient</t>
  </si>
  <si>
    <t>Byetta</t>
  </si>
  <si>
    <t>Alimta</t>
  </si>
  <si>
    <t>Cymbalta</t>
  </si>
  <si>
    <t>Q123</t>
  </si>
  <si>
    <t>Zytiga</t>
  </si>
  <si>
    <t>Imbruvica</t>
  </si>
  <si>
    <t>Darzalex</t>
  </si>
  <si>
    <t>Tremfya</t>
  </si>
  <si>
    <t>Keytruda</t>
  </si>
  <si>
    <t>Gardasil</t>
  </si>
  <si>
    <t>Januvia</t>
  </si>
  <si>
    <t>Janumet</t>
  </si>
  <si>
    <t>Januvia+Janumet</t>
  </si>
  <si>
    <t>Bridion</t>
  </si>
  <si>
    <t>MRK/SGP</t>
  </si>
  <si>
    <t>Isentress</t>
  </si>
  <si>
    <t>SLRN</t>
  </si>
  <si>
    <t>Structure</t>
  </si>
  <si>
    <t>GPCR</t>
  </si>
  <si>
    <t>Mineralys</t>
  </si>
  <si>
    <t>MLYS</t>
  </si>
  <si>
    <t>Third Harmonic</t>
  </si>
  <si>
    <t>THRD</t>
  </si>
  <si>
    <t>Ventyx</t>
  </si>
  <si>
    <t>VTYX</t>
  </si>
  <si>
    <t>Dice</t>
  </si>
  <si>
    <t>DICE</t>
  </si>
  <si>
    <t>Morphic</t>
  </si>
  <si>
    <t>MORF</t>
  </si>
  <si>
    <t>MoonLake</t>
  </si>
  <si>
    <t>MLTX</t>
  </si>
  <si>
    <t>Pliant</t>
  </si>
  <si>
    <t>PLRX</t>
  </si>
  <si>
    <t>Madrigal</t>
  </si>
  <si>
    <t>MDGL</t>
  </si>
  <si>
    <t>Lundbeck</t>
  </si>
  <si>
    <t>Prothena</t>
  </si>
  <si>
    <t>PRTA</t>
  </si>
  <si>
    <t>Denali</t>
  </si>
  <si>
    <t>DNLI</t>
  </si>
  <si>
    <t>Cytokinetics</t>
  </si>
  <si>
    <t>CYTK</t>
  </si>
  <si>
    <t>Reata</t>
  </si>
  <si>
    <t>RETA</t>
  </si>
  <si>
    <t>002422 CH</t>
  </si>
  <si>
    <t>ROIV</t>
  </si>
  <si>
    <t>Akero</t>
  </si>
  <si>
    <t>AKRO</t>
  </si>
  <si>
    <t>Immunovant</t>
  </si>
  <si>
    <t>IMVT</t>
  </si>
  <si>
    <t>Nuvalent</t>
  </si>
  <si>
    <t>NUVL</t>
  </si>
  <si>
    <t>Bridgebio</t>
  </si>
  <si>
    <t>BBIO</t>
  </si>
  <si>
    <t>Idorsia</t>
  </si>
  <si>
    <t>IDIA</t>
  </si>
  <si>
    <t>Fibrogen</t>
  </si>
  <si>
    <t>FGEN</t>
  </si>
  <si>
    <t>Kymera</t>
  </si>
  <si>
    <t>KYMR</t>
  </si>
  <si>
    <t>Celldex</t>
  </si>
  <si>
    <t>CLDX</t>
  </si>
  <si>
    <t>Summit</t>
  </si>
  <si>
    <t>SMMT</t>
  </si>
  <si>
    <t>Arcus</t>
  </si>
  <si>
    <t>RCUS</t>
  </si>
  <si>
    <t>Protagonist</t>
  </si>
  <si>
    <t>PTGX</t>
  </si>
  <si>
    <t>Agios</t>
  </si>
  <si>
    <t>AGIO</t>
  </si>
  <si>
    <t>Geron</t>
  </si>
  <si>
    <t>GERN</t>
  </si>
  <si>
    <t>JCR</t>
  </si>
  <si>
    <t>4552 JP</t>
  </si>
  <si>
    <t>Prime</t>
  </si>
  <si>
    <t>PRME</t>
  </si>
  <si>
    <t>Ligand</t>
  </si>
  <si>
    <t>LGND</t>
  </si>
  <si>
    <t>Chinook</t>
  </si>
  <si>
    <t>KDNY</t>
  </si>
  <si>
    <t>Alembic</t>
  </si>
  <si>
    <t>Keros</t>
  </si>
  <si>
    <t>KROS</t>
  </si>
  <si>
    <t>89Bio</t>
  </si>
  <si>
    <t>ETNB</t>
  </si>
  <si>
    <t>Crinetics</t>
  </si>
  <si>
    <t>CRNX</t>
  </si>
  <si>
    <t>Inhibrx</t>
  </si>
  <si>
    <t>INBX</t>
  </si>
  <si>
    <t>Biomea Fusion</t>
  </si>
  <si>
    <t>BMEA</t>
  </si>
  <si>
    <t>Avadel</t>
  </si>
  <si>
    <t>AVDL</t>
  </si>
  <si>
    <t>Sana</t>
  </si>
  <si>
    <t>SANA</t>
  </si>
  <si>
    <t>Ideaya</t>
  </si>
  <si>
    <t>IDYA</t>
  </si>
  <si>
    <t>Cosmo</t>
  </si>
  <si>
    <t>COPN</t>
  </si>
  <si>
    <t>Taimed</t>
  </si>
  <si>
    <t>4147 TT</t>
  </si>
  <si>
    <t>Deciphera</t>
  </si>
  <si>
    <t>Kissei</t>
  </si>
  <si>
    <t>4547 JP</t>
  </si>
  <si>
    <t>Mannkind</t>
  </si>
  <si>
    <t>MNKD</t>
  </si>
  <si>
    <t>Cymabay</t>
  </si>
  <si>
    <t>Uniqure</t>
  </si>
  <si>
    <t>QURE</t>
  </si>
  <si>
    <t>Day One</t>
  </si>
  <si>
    <t>DAWN</t>
  </si>
  <si>
    <t>Verve</t>
  </si>
  <si>
    <t>VERV</t>
  </si>
  <si>
    <t>Mirum</t>
  </si>
  <si>
    <t>MIRM</t>
  </si>
  <si>
    <t>Mochida</t>
  </si>
  <si>
    <t>4534 JP</t>
  </si>
  <si>
    <t>Replimmune</t>
  </si>
  <si>
    <t>REPL</t>
  </si>
  <si>
    <t>Ardelyx</t>
  </si>
  <si>
    <t>ARDX</t>
  </si>
  <si>
    <t>Kiniksa</t>
  </si>
  <si>
    <t>KNSA</t>
  </si>
  <si>
    <t>Merus</t>
  </si>
  <si>
    <t>MRUS</t>
  </si>
  <si>
    <t>Rhythm</t>
  </si>
  <si>
    <t>RYTM</t>
  </si>
  <si>
    <t>Cassava</t>
  </si>
  <si>
    <t>SAVA</t>
  </si>
  <si>
    <t>Valneva</t>
  </si>
  <si>
    <t>VAL FP</t>
  </si>
  <si>
    <t>Carsgen</t>
  </si>
  <si>
    <t>2171 HK</t>
  </si>
  <si>
    <t>Glenmark</t>
  </si>
  <si>
    <t>Zealand</t>
  </si>
  <si>
    <t>ZEAL DC</t>
  </si>
  <si>
    <t>Amylyx</t>
  </si>
  <si>
    <t>AMLX</t>
  </si>
  <si>
    <t>Pacira</t>
  </si>
  <si>
    <t>Dyne</t>
  </si>
  <si>
    <t>DYN</t>
  </si>
  <si>
    <t>Ascentage</t>
  </si>
  <si>
    <t>6855 HK</t>
  </si>
  <si>
    <t>Avidity</t>
  </si>
  <si>
    <t>Innoviva</t>
  </si>
  <si>
    <t>INVA</t>
  </si>
  <si>
    <t>COGT</t>
  </si>
  <si>
    <t>Cogent</t>
  </si>
  <si>
    <t>Collegium</t>
  </si>
  <si>
    <t>COLL</t>
  </si>
  <si>
    <t>Kura</t>
  </si>
  <si>
    <t>KURA</t>
  </si>
  <si>
    <t>Mersana</t>
  </si>
  <si>
    <t>MRSN</t>
  </si>
  <si>
    <t>Pharming</t>
  </si>
  <si>
    <t>Immatics</t>
  </si>
  <si>
    <t>IMTX</t>
  </si>
  <si>
    <t>Morphosys</t>
  </si>
  <si>
    <t>Adma</t>
  </si>
  <si>
    <t>ADMA</t>
  </si>
  <si>
    <t>Seres</t>
  </si>
  <si>
    <t>MCRB</t>
  </si>
  <si>
    <t>Enanta</t>
  </si>
  <si>
    <t>ENTA</t>
  </si>
  <si>
    <t>Towa</t>
  </si>
  <si>
    <t>4553 JP</t>
  </si>
  <si>
    <t>Arcturus</t>
  </si>
  <si>
    <t>ARCT</t>
  </si>
  <si>
    <t>Abivax</t>
  </si>
  <si>
    <t>ABVX FP</t>
  </si>
  <si>
    <t>Theravance</t>
  </si>
  <si>
    <t>TBPH</t>
  </si>
  <si>
    <t>Terns</t>
  </si>
  <si>
    <t>TERN</t>
  </si>
  <si>
    <t>ANI Pharma</t>
  </si>
  <si>
    <t>ANIP</t>
  </si>
  <si>
    <t>Editas</t>
  </si>
  <si>
    <t>EDIT</t>
  </si>
  <si>
    <t>Intercept</t>
  </si>
  <si>
    <t>ICPT</t>
  </si>
  <si>
    <t>Bioxcel</t>
  </si>
  <si>
    <t>BTAI</t>
  </si>
  <si>
    <t>Anavex</t>
  </si>
  <si>
    <t>AVXL</t>
  </si>
  <si>
    <t>VectivBio</t>
  </si>
  <si>
    <t>VECT</t>
  </si>
  <si>
    <t>Lexicon</t>
  </si>
  <si>
    <t>LXRX</t>
  </si>
  <si>
    <t>Rapt</t>
  </si>
  <si>
    <t>RAPT</t>
  </si>
  <si>
    <t>Bicycle</t>
  </si>
  <si>
    <t>BCYC</t>
  </si>
  <si>
    <t>Ambrx</t>
  </si>
  <si>
    <t>AMAM</t>
  </si>
  <si>
    <t>CTI Biopharma</t>
  </si>
  <si>
    <t>CTIC</t>
  </si>
  <si>
    <t>Aclaris</t>
  </si>
  <si>
    <t>ACRS</t>
  </si>
  <si>
    <t>Alector</t>
  </si>
  <si>
    <t>ALEC</t>
  </si>
  <si>
    <t>Janux</t>
  </si>
  <si>
    <t>JANX</t>
  </si>
  <si>
    <t>Edgewise</t>
  </si>
  <si>
    <t>EWTX</t>
  </si>
  <si>
    <t>Northwest</t>
  </si>
  <si>
    <t>NWBO</t>
  </si>
  <si>
    <t>Ars Pharma</t>
  </si>
  <si>
    <t>SPRY</t>
  </si>
  <si>
    <t>Castle Biosciences</t>
  </si>
  <si>
    <t>CSTL</t>
  </si>
  <si>
    <t>AnaptysBio</t>
  </si>
  <si>
    <t>ANAB</t>
  </si>
  <si>
    <t>Coherus</t>
  </si>
  <si>
    <t>CHRS</t>
  </si>
  <si>
    <t>Amneal</t>
  </si>
  <si>
    <t>AMRX</t>
  </si>
  <si>
    <t>2Seventy</t>
  </si>
  <si>
    <t>TSVT</t>
  </si>
  <si>
    <t>Amarin</t>
  </si>
  <si>
    <t>AMRN</t>
  </si>
  <si>
    <t>Autolus</t>
  </si>
  <si>
    <t>AUTL</t>
  </si>
  <si>
    <t>Kalvista</t>
  </si>
  <si>
    <t>KALV</t>
  </si>
  <si>
    <t>Xeris</t>
  </si>
  <si>
    <t>XERS</t>
  </si>
  <si>
    <t>Heron</t>
  </si>
  <si>
    <t>HRTX</t>
  </si>
  <si>
    <t>Prelude</t>
  </si>
  <si>
    <t>PRLD</t>
  </si>
  <si>
    <t>Precigen</t>
  </si>
  <si>
    <t>PGEN</t>
  </si>
  <si>
    <t>Generation</t>
  </si>
  <si>
    <t>GBIO</t>
  </si>
  <si>
    <t>AB Science</t>
  </si>
  <si>
    <t>AB FP</t>
  </si>
  <si>
    <t>Tango</t>
  </si>
  <si>
    <t>TNGX</t>
  </si>
  <si>
    <t>Y-Mabs</t>
  </si>
  <si>
    <t>YMAB</t>
  </si>
  <si>
    <t>IGM Bio</t>
  </si>
  <si>
    <t>IGMS</t>
  </si>
  <si>
    <t>Phathom</t>
  </si>
  <si>
    <t>PHAT</t>
  </si>
  <si>
    <t>ANTX</t>
  </si>
  <si>
    <t>AN2 Therapeutics</t>
  </si>
  <si>
    <t>Oramed</t>
  </si>
  <si>
    <t>ORMP</t>
  </si>
  <si>
    <t>Larimar</t>
  </si>
  <si>
    <t>LRMR</t>
  </si>
  <si>
    <t>Rigel</t>
  </si>
  <si>
    <t>RIGL</t>
  </si>
  <si>
    <t>X4</t>
  </si>
  <si>
    <t>XFOR</t>
  </si>
  <si>
    <t>Akebia</t>
  </si>
  <si>
    <t>AKBA</t>
  </si>
  <si>
    <t>Rallybio</t>
  </si>
  <si>
    <t>RLYB</t>
  </si>
  <si>
    <t>Cue</t>
  </si>
  <si>
    <t>CUE</t>
  </si>
  <si>
    <t>Xoma</t>
  </si>
  <si>
    <t>XOMA</t>
  </si>
  <si>
    <t>Macrogenics</t>
  </si>
  <si>
    <t>MGNX</t>
  </si>
  <si>
    <t>Arbutus</t>
  </si>
  <si>
    <t>ABUS</t>
  </si>
  <si>
    <t>Monte Rosa</t>
  </si>
  <si>
    <t>GLUE</t>
  </si>
  <si>
    <t>Foghorn</t>
  </si>
  <si>
    <t>FHTX</t>
  </si>
  <si>
    <t>Molecular Partners</t>
  </si>
  <si>
    <t>MOLN SW</t>
  </si>
  <si>
    <t>Kodiak</t>
  </si>
  <si>
    <t>KOD</t>
  </si>
  <si>
    <t>Lianbio</t>
  </si>
  <si>
    <t>LIAN</t>
  </si>
  <si>
    <t>Xbrane</t>
  </si>
  <si>
    <t>XBRANE</t>
  </si>
  <si>
    <t>Cara</t>
  </si>
  <si>
    <t>CARA</t>
  </si>
  <si>
    <t>Rani</t>
  </si>
  <si>
    <t>RANI</t>
  </si>
  <si>
    <t>Savara</t>
  </si>
  <si>
    <t>SVRA</t>
  </si>
  <si>
    <t>Oric</t>
  </si>
  <si>
    <t>Sangamo</t>
  </si>
  <si>
    <t>SGMO</t>
  </si>
  <si>
    <t>ORIC</t>
  </si>
  <si>
    <t>Nkarta</t>
  </si>
  <si>
    <t>NKTX</t>
  </si>
  <si>
    <t>Actinium</t>
  </si>
  <si>
    <t>ATNM</t>
  </si>
  <si>
    <t>Eyepoint</t>
  </si>
  <si>
    <t>EYPT</t>
  </si>
  <si>
    <t>PMV Pharma</t>
  </si>
  <si>
    <t>PMVP</t>
  </si>
  <si>
    <t>Gritstone</t>
  </si>
  <si>
    <t>GRTS</t>
  </si>
  <si>
    <t>Spectrum</t>
  </si>
  <si>
    <t>SPPI</t>
  </si>
  <si>
    <t>Carisma</t>
  </si>
  <si>
    <t>CARM</t>
  </si>
  <si>
    <t>Cormedix</t>
  </si>
  <si>
    <t>CRMD</t>
  </si>
  <si>
    <t>Longboard</t>
  </si>
  <si>
    <t>LBPH</t>
  </si>
  <si>
    <t>Inovio</t>
  </si>
  <si>
    <t>INO</t>
  </si>
  <si>
    <t>Protalix</t>
  </si>
  <si>
    <t>PLX</t>
  </si>
  <si>
    <t>Genfit</t>
  </si>
  <si>
    <t>GNFT</t>
  </si>
  <si>
    <t>Century</t>
  </si>
  <si>
    <t>IPSC</t>
  </si>
  <si>
    <t>Merrimack</t>
  </si>
  <si>
    <t>MACK</t>
  </si>
  <si>
    <t>Bioinvent</t>
  </si>
  <si>
    <t>BINV SS</t>
  </si>
  <si>
    <t>Fulcrum</t>
  </si>
  <si>
    <t>FULC</t>
  </si>
  <si>
    <t>AC Immune</t>
  </si>
  <si>
    <t>ACIU</t>
  </si>
  <si>
    <t>ProQR</t>
  </si>
  <si>
    <t>PRQR</t>
  </si>
  <si>
    <t>Zevra</t>
  </si>
  <si>
    <t>ZVRA</t>
  </si>
  <si>
    <t>Jasper</t>
  </si>
  <si>
    <t>JSPR</t>
  </si>
  <si>
    <t>G1 Therapeutics</t>
  </si>
  <si>
    <t>GTHX</t>
  </si>
  <si>
    <t>Ocugen</t>
  </si>
  <si>
    <t>OCGN</t>
  </si>
  <si>
    <t>ADC Therapeutics</t>
  </si>
  <si>
    <t>ADCT</t>
  </si>
  <si>
    <t>Nektar</t>
  </si>
  <si>
    <t>NKTR</t>
  </si>
  <si>
    <t>C4</t>
  </si>
  <si>
    <t>CCCC</t>
  </si>
  <si>
    <t>Selecta</t>
  </si>
  <si>
    <t>SELB</t>
  </si>
  <si>
    <t>Inflarx</t>
  </si>
  <si>
    <t>IFRX</t>
  </si>
  <si>
    <t>ALX Oncology</t>
  </si>
  <si>
    <t>ALXO</t>
  </si>
  <si>
    <t>Icosavax</t>
  </si>
  <si>
    <t>ICVX</t>
  </si>
  <si>
    <t>Aravive</t>
  </si>
  <si>
    <t>Atyr</t>
  </si>
  <si>
    <t>Waltham, Mass</t>
  </si>
  <si>
    <t>Location</t>
  </si>
  <si>
    <t>Vividion</t>
  </si>
  <si>
    <t>AskBio</t>
  </si>
  <si>
    <t>BlueRock</t>
  </si>
  <si>
    <t>Metis Pharmaceuticals</t>
  </si>
  <si>
    <t>Chinese</t>
  </si>
  <si>
    <t>75m</t>
  </si>
  <si>
    <t>Genesis Biomedicines</t>
  </si>
  <si>
    <t>52m</t>
  </si>
  <si>
    <t>Alto Neuroscience</t>
  </si>
  <si>
    <t>Aqemia</t>
  </si>
  <si>
    <t>Charm Therapeutics</t>
  </si>
  <si>
    <t>Pathos</t>
  </si>
  <si>
    <t>Mindrank</t>
  </si>
  <si>
    <t>PharmCADD</t>
  </si>
  <si>
    <t>16m</t>
  </si>
  <si>
    <t>Athos Therapeutics</t>
  </si>
  <si>
    <t>15m</t>
  </si>
  <si>
    <t>Immunogen</t>
  </si>
  <si>
    <t>Vevo Therapeutics</t>
  </si>
  <si>
    <t>Seed</t>
  </si>
  <si>
    <t>12m</t>
  </si>
  <si>
    <t>Verseon</t>
  </si>
  <si>
    <t>Nutcracker Therapeutics</t>
  </si>
  <si>
    <t>Matrix, Softbank, Surveyor, Redmile, Novo Nordisk, Fidelity, EcoR1, Samsara</t>
  </si>
  <si>
    <t>Quris</t>
  </si>
  <si>
    <t>9m</t>
  </si>
  <si>
    <t>Softbank</t>
  </si>
  <si>
    <t>Software</t>
  </si>
  <si>
    <t>Valuation</t>
  </si>
  <si>
    <t>Granata Bio</t>
  </si>
  <si>
    <t>Google, Alumni</t>
  </si>
  <si>
    <t>Comanche Biopharma</t>
  </si>
  <si>
    <t>NEA</t>
  </si>
  <si>
    <t>Accent Therapeutics</t>
  </si>
  <si>
    <t>Mirae</t>
  </si>
  <si>
    <t>Bain, Saturn</t>
  </si>
  <si>
    <t>Pelage Pharma</t>
  </si>
  <si>
    <t>Google</t>
  </si>
  <si>
    <t>Series E</t>
  </si>
  <si>
    <t>Nextech, venBio</t>
  </si>
  <si>
    <t>Zhejiang, venBio, T Rowe, Invus</t>
  </si>
  <si>
    <t>Metsera</t>
  </si>
  <si>
    <t>ARCH, SoftBank</t>
  </si>
  <si>
    <t>Moonwalk</t>
  </si>
  <si>
    <t>Q124</t>
  </si>
  <si>
    <t>Q7</t>
  </si>
  <si>
    <t>Q8</t>
  </si>
  <si>
    <t>Q9</t>
  </si>
  <si>
    <t>Q10</t>
  </si>
  <si>
    <t>Q11</t>
  </si>
  <si>
    <t>Q12</t>
  </si>
  <si>
    <t>Ozempic</t>
  </si>
  <si>
    <t>NOVO</t>
  </si>
  <si>
    <t>DKK</t>
  </si>
  <si>
    <t>Q13</t>
  </si>
  <si>
    <t>Q14</t>
  </si>
  <si>
    <t>Q15</t>
  </si>
  <si>
    <t>Q16</t>
  </si>
  <si>
    <t>Sandoz</t>
  </si>
  <si>
    <t>SDZ SW</t>
  </si>
  <si>
    <t>Swedish Orphan</t>
  </si>
  <si>
    <t>SOBI SS</t>
  </si>
  <si>
    <t>Viking</t>
  </si>
  <si>
    <t>VKTX</t>
  </si>
  <si>
    <t>Zydus Lifesciences</t>
  </si>
  <si>
    <t>ZYDUS</t>
  </si>
  <si>
    <t>Beijing Wantai</t>
  </si>
  <si>
    <t>603392 CH</t>
  </si>
  <si>
    <t>Torrent</t>
  </si>
  <si>
    <t>Lupin</t>
  </si>
  <si>
    <t>Aurobindo</t>
  </si>
  <si>
    <t>Aiolos</t>
  </si>
  <si>
    <t>NewAmsterdam Pharma</t>
  </si>
  <si>
    <t>NAMS</t>
  </si>
  <si>
    <t>Q224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</si>
  <si>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</si>
  <si>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</si>
  <si>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</si>
  <si>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</si>
  <si>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</si>
  <si>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</si>
  <si>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</si>
  <si>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</si>
  <si>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</si>
  <si>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</si>
  <si>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</si>
  <si>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</si>
  <si>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</si>
  <si>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Y1</t>
  </si>
  <si>
    <t>Y2</t>
  </si>
  <si>
    <t>Y3</t>
  </si>
  <si>
    <t>Y4</t>
  </si>
  <si>
    <t>Y5</t>
  </si>
  <si>
    <t>Y6</t>
  </si>
  <si>
    <t>Y7</t>
  </si>
  <si>
    <t>Drug</t>
  </si>
  <si>
    <t>Opdivo</t>
  </si>
  <si>
    <t>Coya</t>
  </si>
  <si>
    <t>COYA</t>
  </si>
  <si>
    <t>Abeona</t>
  </si>
  <si>
    <t>ABEO</t>
  </si>
  <si>
    <t>Leqvio</t>
  </si>
  <si>
    <t>Kesmipta</t>
  </si>
  <si>
    <t>Pluvicto</t>
  </si>
  <si>
    <t>Zolgensma</t>
  </si>
  <si>
    <t>Scemblix</t>
  </si>
  <si>
    <t>Mayzent</t>
  </si>
  <si>
    <t>Fabhalta</t>
  </si>
  <si>
    <t>Piqray</t>
  </si>
  <si>
    <t>Aimovig</t>
  </si>
  <si>
    <t>Beovu</t>
  </si>
  <si>
    <t>Tabrecta</t>
  </si>
  <si>
    <t>Adakveo</t>
  </si>
  <si>
    <t>Patient Square Capital</t>
  </si>
  <si>
    <t>Affinia Therapeutics</t>
  </si>
  <si>
    <t>Alumis</t>
  </si>
  <si>
    <t>SAN</t>
  </si>
  <si>
    <t>Q423</t>
  </si>
  <si>
    <t>Zhejiang Nhu</t>
  </si>
  <si>
    <t>002001 CH</t>
  </si>
  <si>
    <t>Alkem Labs</t>
  </si>
  <si>
    <t>ALKEM</t>
  </si>
  <si>
    <t>Vaxcyte</t>
  </si>
  <si>
    <t>PCVX</t>
  </si>
  <si>
    <t>Aspen</t>
  </si>
  <si>
    <t>APN SJ</t>
  </si>
  <si>
    <t>Gedeon Richter</t>
  </si>
  <si>
    <t>RICHT</t>
  </si>
  <si>
    <t>San Rafael, CA</t>
  </si>
  <si>
    <t>Denmark</t>
  </si>
  <si>
    <t>Delcath</t>
  </si>
  <si>
    <t>DCTH</t>
  </si>
  <si>
    <t>ORGO - look at new product for OA</t>
  </si>
  <si>
    <t>DCTH - assess revenue potential, look at dilutive instruments</t>
  </si>
  <si>
    <t>CTAS</t>
  </si>
  <si>
    <t>GTLB</t>
  </si>
  <si>
    <t>DG</t>
  </si>
  <si>
    <t>FDX</t>
  </si>
  <si>
    <t>XPEV</t>
  </si>
  <si>
    <t>RKLB</t>
  </si>
  <si>
    <t>Canon</t>
  </si>
  <si>
    <t>NBIX - luva</t>
  </si>
  <si>
    <t>ASTS</t>
  </si>
  <si>
    <t>Idrx</t>
  </si>
  <si>
    <t>Jnana</t>
  </si>
  <si>
    <t>Copenhagen, Denmark</t>
  </si>
  <si>
    <t>QXO - study Brad Jacobs</t>
  </si>
  <si>
    <t>NVCT</t>
  </si>
  <si>
    <t>SQ - listen to conference calls, check if new product/pipeline disclosed</t>
  </si>
  <si>
    <t>Elan</t>
  </si>
  <si>
    <t>Akeso</t>
  </si>
  <si>
    <t>9926 HK</t>
  </si>
  <si>
    <t>ID Biomedical</t>
  </si>
  <si>
    <t>Corixa</t>
  </si>
  <si>
    <t>Crucell</t>
  </si>
  <si>
    <t>HIMS - listen to conference calls</t>
  </si>
  <si>
    <t>ABCL - deeper dive</t>
  </si>
  <si>
    <t>PCVX - deeper dive, conf calls, patents</t>
  </si>
  <si>
    <t>SAVA - continue</t>
  </si>
  <si>
    <t>SYM - keep an eye on it</t>
  </si>
  <si>
    <t>JBL - listen to conference calls, model more years, do forecasts, look into customers, compare to macroeconomic data</t>
  </si>
  <si>
    <t>Nuvation</t>
  </si>
  <si>
    <t>NUVB</t>
  </si>
  <si>
    <t>PDS Biotechnology</t>
  </si>
  <si>
    <t>PDSB</t>
  </si>
  <si>
    <t>Soleno</t>
  </si>
  <si>
    <t>SLNO</t>
  </si>
  <si>
    <t>Bellus</t>
  </si>
  <si>
    <t>TRVI - dig deeper</t>
  </si>
  <si>
    <t>Acrivon</t>
  </si>
  <si>
    <t>ACRV</t>
  </si>
  <si>
    <t>Clearside Biomedical</t>
  </si>
  <si>
    <t>CLSD</t>
  </si>
  <si>
    <t>Pepgen</t>
  </si>
  <si>
    <t>PEPG</t>
  </si>
  <si>
    <t>Black Diamond</t>
  </si>
  <si>
    <t>BDTX</t>
  </si>
  <si>
    <t>RNA</t>
  </si>
  <si>
    <t>Equillium</t>
  </si>
  <si>
    <t>EQ</t>
  </si>
  <si>
    <t>EVT</t>
  </si>
  <si>
    <t>Tubulis</t>
  </si>
  <si>
    <t>Kazia</t>
  </si>
  <si>
    <t>KZIA</t>
  </si>
  <si>
    <t>Sellas</t>
  </si>
  <si>
    <t>SLS</t>
  </si>
  <si>
    <t>Eureka Therapeutics</t>
  </si>
  <si>
    <t>688180 CH</t>
  </si>
  <si>
    <t>Verona</t>
  </si>
  <si>
    <t>VRNA</t>
  </si>
  <si>
    <t>HUMA</t>
  </si>
  <si>
    <t>Baxalta</t>
  </si>
  <si>
    <t>Shire</t>
  </si>
  <si>
    <t>Ensysce</t>
  </si>
  <si>
    <t>ENSC</t>
  </si>
  <si>
    <t>Applied</t>
  </si>
  <si>
    <t>APLT</t>
  </si>
  <si>
    <t>Gossamer</t>
  </si>
  <si>
    <t>GOSS</t>
  </si>
  <si>
    <t>Corvus</t>
  </si>
  <si>
    <t>CRVS</t>
  </si>
  <si>
    <t>Y8</t>
  </si>
  <si>
    <t>Hospira</t>
  </si>
  <si>
    <t>Announce Date</t>
  </si>
  <si>
    <t>Allergan</t>
  </si>
  <si>
    <t>Celgene</t>
  </si>
  <si>
    <t>Genzyme</t>
  </si>
  <si>
    <t>Wyeth</t>
  </si>
  <si>
    <t>2002</t>
  </si>
  <si>
    <t>Pharmacia</t>
  </si>
  <si>
    <t>Sugen</t>
  </si>
  <si>
    <t>1999</t>
  </si>
  <si>
    <t>Schering-Plough</t>
  </si>
  <si>
    <t>Cubist</t>
  </si>
  <si>
    <t>The Medicines Company</t>
  </si>
  <si>
    <t>AveXis</t>
  </si>
  <si>
    <t>Actavis Generics</t>
  </si>
  <si>
    <t>Pharmasset</t>
  </si>
  <si>
    <t>Idenix</t>
  </si>
  <si>
    <t>Close Date</t>
  </si>
  <si>
    <t>Immunex</t>
  </si>
  <si>
    <t>Scios</t>
  </si>
  <si>
    <t>Genentech</t>
  </si>
  <si>
    <t>Acquired 56% stake</t>
  </si>
  <si>
    <t>Acquired publicly traded minority stake.</t>
  </si>
  <si>
    <t>Aventis</t>
  </si>
  <si>
    <t>MedImmune</t>
  </si>
  <si>
    <t>Pharmacyclics</t>
  </si>
  <si>
    <t>Immunomedics</t>
  </si>
  <si>
    <t>Myogen</t>
  </si>
  <si>
    <t>Kite</t>
  </si>
  <si>
    <t>Bausch &amp; Lomb</t>
  </si>
  <si>
    <t>Valeant</t>
  </si>
  <si>
    <t>Salix</t>
  </si>
  <si>
    <t>Cephalon</t>
  </si>
  <si>
    <t>IDEC</t>
  </si>
  <si>
    <t>2003</t>
  </si>
  <si>
    <t>Chiron</t>
  </si>
  <si>
    <t>Owned 40% or so</t>
  </si>
  <si>
    <t>Fujisawa</t>
  </si>
  <si>
    <t>Yamanouchi</t>
  </si>
  <si>
    <t>Combination renamed Astellas.</t>
  </si>
  <si>
    <t>OSI Pharmaceuticals</t>
  </si>
  <si>
    <t>GW Pharmaceuticals</t>
  </si>
  <si>
    <t>Juno</t>
  </si>
  <si>
    <t>Cougar</t>
  </si>
  <si>
    <t>Alcon</t>
  </si>
  <si>
    <t>Acquired 77% via Nestle</t>
  </si>
  <si>
    <t>Astra</t>
  </si>
  <si>
    <t>Zeneca</t>
  </si>
  <si>
    <t>Merger of equals.</t>
  </si>
  <si>
    <t>SmithKline Beecham</t>
  </si>
  <si>
    <t>Glaxo Wellcome</t>
  </si>
  <si>
    <t>Merger of equals (182B)</t>
  </si>
  <si>
    <t>ICOS</t>
  </si>
  <si>
    <t>Lilly</t>
  </si>
  <si>
    <t>Icos</t>
  </si>
  <si>
    <t>ImClone</t>
  </si>
  <si>
    <t>Bristol also made an offer.</t>
  </si>
  <si>
    <t>Actelion</t>
  </si>
  <si>
    <t>Monsanto</t>
  </si>
  <si>
    <t>Daiichi</t>
  </si>
  <si>
    <t>Sankyo</t>
  </si>
  <si>
    <t>Savient</t>
  </si>
  <si>
    <t>Ciba-Geigy</t>
  </si>
  <si>
    <t>Merger of equals to create Novartis.</t>
  </si>
  <si>
    <t>Ciba</t>
  </si>
  <si>
    <t>JR Geigy</t>
  </si>
  <si>
    <t>Ivax</t>
  </si>
  <si>
    <t>HMR</t>
  </si>
  <si>
    <t>Alza</t>
  </si>
  <si>
    <t>Medicis</t>
  </si>
  <si>
    <t>Relmada</t>
  </si>
  <si>
    <t>RLMD</t>
  </si>
  <si>
    <t>Forward Pharma</t>
  </si>
  <si>
    <t>Curatis</t>
  </si>
  <si>
    <t>CURN SW</t>
  </si>
  <si>
    <t>Hexal</t>
  </si>
  <si>
    <t>Serono</t>
  </si>
  <si>
    <t>Merck KgAA</t>
  </si>
  <si>
    <t>Q324</t>
  </si>
  <si>
    <t>Q424</t>
  </si>
  <si>
    <t>Revenue</t>
  </si>
  <si>
    <t>AbbVie COGS</t>
  </si>
  <si>
    <t>Lilly COGS</t>
  </si>
  <si>
    <t>J&amp;J COGS</t>
  </si>
  <si>
    <t>COGS</t>
  </si>
  <si>
    <t>Gross Margin</t>
  </si>
  <si>
    <t>Industry GM%</t>
  </si>
  <si>
    <t>Novo</t>
  </si>
  <si>
    <t>Novo COGS</t>
  </si>
  <si>
    <t>Merck COGS</t>
  </si>
  <si>
    <t>Q223</t>
  </si>
  <si>
    <t>Q323</t>
  </si>
  <si>
    <t>Scholar Rock</t>
  </si>
  <si>
    <t>SRRK</t>
  </si>
  <si>
    <t>Estrella</t>
  </si>
  <si>
    <t>ESLA</t>
  </si>
  <si>
    <t>Zogenix</t>
  </si>
  <si>
    <t>Neumora</t>
  </si>
  <si>
    <t>NMRA</t>
  </si>
  <si>
    <t>IMNM</t>
  </si>
  <si>
    <t>Brainstorm</t>
  </si>
  <si>
    <t>BCLI</t>
  </si>
  <si>
    <t>Allakos</t>
  </si>
  <si>
    <t>ALLK</t>
  </si>
  <si>
    <t>Sutro</t>
  </si>
  <si>
    <t>STRO</t>
  </si>
  <si>
    <t>Novartis spin-out? They owned 22% at acquisition.</t>
  </si>
  <si>
    <t>Humacyte</t>
  </si>
  <si>
    <t>Alto</t>
  </si>
  <si>
    <t>ANRO</t>
  </si>
  <si>
    <t>Q115</t>
  </si>
  <si>
    <t>22</t>
  </si>
  <si>
    <t>30</t>
  </si>
  <si>
    <t>Cosentyx</t>
  </si>
  <si>
    <t>Entresto</t>
  </si>
  <si>
    <t>Kisqali</t>
  </si>
  <si>
    <t>Avalyn</t>
  </si>
  <si>
    <t>Perceptive, SR One, Eventide, Vida Ventures, Wellington, Rock Springs, T. Rowe, Surveyor Capital, Catalio</t>
  </si>
  <si>
    <t>Type</t>
  </si>
  <si>
    <t>Baker Brothers</t>
  </si>
  <si>
    <t>Public Long-Only</t>
  </si>
  <si>
    <t>Perceptive</t>
  </si>
  <si>
    <t>RTW</t>
  </si>
  <si>
    <t>Rock Springs</t>
  </si>
  <si>
    <t>Cormorant</t>
  </si>
  <si>
    <t>EcoR1</t>
  </si>
  <si>
    <t>Adar1</t>
  </si>
  <si>
    <t>ADV</t>
  </si>
  <si>
    <t>13F</t>
  </si>
  <si>
    <t>Palo Alto</t>
  </si>
  <si>
    <t>Camber</t>
  </si>
  <si>
    <t>Avoro</t>
  </si>
  <si>
    <t>Armistice</t>
  </si>
  <si>
    <t>RA Capital</t>
  </si>
  <si>
    <t>Deerfield</t>
  </si>
  <si>
    <t>Orbimed</t>
  </si>
  <si>
    <t>Deep Track</t>
  </si>
  <si>
    <t>Founder</t>
  </si>
  <si>
    <t>Braidwell</t>
  </si>
  <si>
    <t>Alex Karnal</t>
  </si>
  <si>
    <t>Tang</t>
  </si>
  <si>
    <t>Casdin</t>
  </si>
  <si>
    <t>Felix &amp; Julian Baker</t>
  </si>
  <si>
    <t>Peter Kolchinsky</t>
  </si>
  <si>
    <t>Rod Wong</t>
  </si>
  <si>
    <t>Steve Boyd</t>
  </si>
  <si>
    <t>Bihua Chen</t>
  </si>
  <si>
    <t>Kevin Tang</t>
  </si>
  <si>
    <t>Kynam Capital</t>
  </si>
  <si>
    <t>Oracle</t>
  </si>
  <si>
    <t>Flagship</t>
  </si>
  <si>
    <t>iBio</t>
  </si>
  <si>
    <t>IBIO</t>
  </si>
  <si>
    <t>Galapagos</t>
  </si>
  <si>
    <t>GLPG</t>
  </si>
  <si>
    <t>Ortho Cell</t>
  </si>
  <si>
    <t>MyoKardia</t>
  </si>
  <si>
    <t>Pharmion</t>
  </si>
  <si>
    <t>Mixed</t>
  </si>
  <si>
    <t>Venture, Hedge</t>
  </si>
  <si>
    <t>Venture, Hedge, Royalty</t>
  </si>
  <si>
    <t>Hedge Fund</t>
  </si>
  <si>
    <t>Millennium</t>
  </si>
  <si>
    <t>Israel Englander</t>
  </si>
  <si>
    <t>Tularik</t>
  </si>
  <si>
    <t>Teneobio</t>
  </si>
  <si>
    <t>Micromet</t>
  </si>
  <si>
    <t>Five Prime</t>
  </si>
  <si>
    <t>Citadel</t>
  </si>
  <si>
    <t>Ken Griffin</t>
  </si>
  <si>
    <t>Biktarvy</t>
  </si>
  <si>
    <t>Descovy</t>
  </si>
  <si>
    <t>Lifetime</t>
  </si>
  <si>
    <t>Genvoya</t>
  </si>
  <si>
    <t>Sovaldi</t>
  </si>
  <si>
    <t>Harvony</t>
  </si>
  <si>
    <t>Comirnaty</t>
  </si>
  <si>
    <t>Paxlovid</t>
  </si>
  <si>
    <t>Vyndaqel</t>
  </si>
  <si>
    <t>Ibrance</t>
  </si>
  <si>
    <t>Indication</t>
  </si>
  <si>
    <t>COVID-19</t>
  </si>
  <si>
    <t>Oncology</t>
  </si>
  <si>
    <t>Cardiovascular</t>
  </si>
  <si>
    <t>Autoimmune</t>
  </si>
  <si>
    <t>HIV</t>
  </si>
  <si>
    <t>Diabetes</t>
  </si>
  <si>
    <t>Vaccine, Oncology</t>
  </si>
  <si>
    <t>Psychiatry</t>
  </si>
  <si>
    <t>#</t>
  </si>
  <si>
    <t># in Class</t>
  </si>
  <si>
    <t>Eliquis WW</t>
  </si>
  <si>
    <t>PFE/BMY</t>
  </si>
  <si>
    <t>Q113</t>
  </si>
  <si>
    <t>Y9</t>
  </si>
  <si>
    <t>Y10</t>
  </si>
  <si>
    <t>Y11</t>
  </si>
  <si>
    <t>Y12</t>
  </si>
  <si>
    <t>Rare</t>
  </si>
  <si>
    <t>Xeljanz</t>
  </si>
  <si>
    <t>Lipitor</t>
  </si>
  <si>
    <t>Q197</t>
  </si>
  <si>
    <t>Y13</t>
  </si>
  <si>
    <t>Y14</t>
  </si>
  <si>
    <t>Y15</t>
  </si>
  <si>
    <t>Y16</t>
  </si>
  <si>
    <t>Viagra</t>
  </si>
  <si>
    <t>HCV</t>
  </si>
  <si>
    <t>Abbott</t>
  </si>
  <si>
    <t>Knoll</t>
  </si>
  <si>
    <t>Humira</t>
  </si>
  <si>
    <t>Q103</t>
  </si>
  <si>
    <t>Skyrizi</t>
  </si>
  <si>
    <t>Rinvoq</t>
  </si>
  <si>
    <t>Zyprexa</t>
  </si>
  <si>
    <t>Eliquis ROW</t>
  </si>
  <si>
    <t>Eliquis US</t>
  </si>
  <si>
    <t>Zepbound</t>
  </si>
  <si>
    <t>Humalog</t>
  </si>
  <si>
    <t>Y17</t>
  </si>
  <si>
    <t>Y18</t>
  </si>
  <si>
    <t>Y19</t>
  </si>
  <si>
    <t>Cialis</t>
  </si>
  <si>
    <t>Remicade US</t>
  </si>
  <si>
    <t>Inhibikase</t>
  </si>
  <si>
    <t>IKT</t>
  </si>
  <si>
    <t>Aerovate</t>
  </si>
  <si>
    <t>AVTE</t>
  </si>
  <si>
    <t>Esperion</t>
  </si>
  <si>
    <t>ESPR</t>
  </si>
  <si>
    <t>Pharvaris</t>
  </si>
  <si>
    <t>Prevnar</t>
  </si>
  <si>
    <t>Vaccine</t>
  </si>
  <si>
    <t>2,439</t>
  </si>
  <si>
    <t>2,716</t>
  </si>
  <si>
    <t>Tonix</t>
  </si>
  <si>
    <t>TNXP</t>
  </si>
  <si>
    <t>AGTC</t>
  </si>
  <si>
    <t>Syncova</t>
  </si>
  <si>
    <t>Momenta</t>
  </si>
  <si>
    <t>Monopar</t>
  </si>
  <si>
    <t>MNPR</t>
  </si>
  <si>
    <t>DBID</t>
  </si>
  <si>
    <t>Brand</t>
  </si>
  <si>
    <t>Generic</t>
  </si>
  <si>
    <t>secukinumab</t>
  </si>
  <si>
    <t>MOA</t>
  </si>
  <si>
    <t>lepirudin</t>
  </si>
  <si>
    <t>Erbitux</t>
  </si>
  <si>
    <t>cetuximab</t>
  </si>
  <si>
    <t>Target</t>
  </si>
  <si>
    <t>thrombin</t>
  </si>
  <si>
    <t>EGFR</t>
  </si>
  <si>
    <t>mab</t>
  </si>
  <si>
    <t>MW</t>
  </si>
  <si>
    <t>Pulmozyme</t>
  </si>
  <si>
    <t>dornase alfa</t>
  </si>
  <si>
    <t>extracellular DNA</t>
  </si>
  <si>
    <t>recombinant enzyme</t>
  </si>
  <si>
    <t>IL-17A</t>
  </si>
  <si>
    <t>FDA</t>
  </si>
  <si>
    <t>Refludan</t>
  </si>
  <si>
    <t>Class</t>
  </si>
  <si>
    <t>rhProtein</t>
  </si>
  <si>
    <t>peptide</t>
  </si>
  <si>
    <t>AA</t>
  </si>
  <si>
    <t>peptide inhibitor</t>
  </si>
  <si>
    <t>denileukin difitox</t>
  </si>
  <si>
    <t>fusion protein</t>
  </si>
  <si>
    <t>Ontak</t>
  </si>
  <si>
    <t>IL-2</t>
  </si>
  <si>
    <t>protein-toxin conjugate</t>
  </si>
  <si>
    <t>etanercept</t>
  </si>
  <si>
    <t>Enbrel</t>
  </si>
  <si>
    <t>TNF-alpha</t>
  </si>
  <si>
    <t>soluble receptor</t>
  </si>
  <si>
    <t>bivalirudin</t>
  </si>
  <si>
    <t>Angiomax</t>
  </si>
  <si>
    <t>Lupron</t>
  </si>
  <si>
    <t>leuprolide</t>
  </si>
  <si>
    <t>GnRH analog</t>
  </si>
  <si>
    <t>GnRHR</t>
  </si>
  <si>
    <t>peginterferon alfa-2a</t>
  </si>
  <si>
    <t>Type 1 IFNR</t>
  </si>
  <si>
    <t>Pegasys</t>
  </si>
  <si>
    <t>alteplase</t>
  </si>
  <si>
    <t>fibrin, plasminogen</t>
  </si>
  <si>
    <t>Activase</t>
  </si>
  <si>
    <t>sermorelin</t>
  </si>
  <si>
    <t>GHRHR</t>
  </si>
  <si>
    <t>GRF mimetic</t>
  </si>
  <si>
    <t>Geref</t>
  </si>
  <si>
    <t>interferon alfa-n1</t>
  </si>
  <si>
    <t>Wellferon</t>
  </si>
  <si>
    <t>Aranesp</t>
  </si>
  <si>
    <t>darbepoetin alfa</t>
  </si>
  <si>
    <t>EPOR</t>
  </si>
  <si>
    <t>EPOR agonist</t>
  </si>
  <si>
    <t>IFNR agonist</t>
  </si>
  <si>
    <t>urokinase</t>
  </si>
  <si>
    <t>protease</t>
  </si>
  <si>
    <t>plasminogen</t>
  </si>
  <si>
    <t>Kinlytic</t>
  </si>
  <si>
    <t>Syncona</t>
  </si>
  <si>
    <t>Zoladex</t>
  </si>
  <si>
    <t>goserelin</t>
  </si>
  <si>
    <t>LHRH analog</t>
  </si>
  <si>
    <t>small molecule</t>
  </si>
  <si>
    <t>N/A</t>
  </si>
  <si>
    <t>reteplase</t>
  </si>
  <si>
    <t>tPA analog</t>
  </si>
  <si>
    <t>erythropoietin</t>
  </si>
  <si>
    <t>Procrit</t>
  </si>
  <si>
    <t>salmon calcitonin</t>
  </si>
  <si>
    <t>calcitonin receptor agonist</t>
  </si>
  <si>
    <t>Calcitonin receptor</t>
  </si>
  <si>
    <t>interferon alfa-n3</t>
  </si>
  <si>
    <t>purified protein</t>
  </si>
  <si>
    <t>pegfilgrastim</t>
  </si>
  <si>
    <t>Neulasta</t>
  </si>
  <si>
    <t>G-CSF</t>
  </si>
  <si>
    <t>G-CSF Receptor</t>
  </si>
  <si>
    <t>sargramostim</t>
  </si>
  <si>
    <t>Leukine</t>
  </si>
  <si>
    <t>GM-CSF</t>
  </si>
  <si>
    <t>GM-CSF-R-alpha</t>
  </si>
  <si>
    <t>secretin</t>
  </si>
  <si>
    <t>secretin receptor</t>
  </si>
  <si>
    <t>secretin receptor agonist</t>
  </si>
  <si>
    <t>peginterferon alfa-2b</t>
  </si>
  <si>
    <t>asparginase</t>
  </si>
  <si>
    <t>Rylaze</t>
  </si>
  <si>
    <t>L-asparagine</t>
  </si>
  <si>
    <t>Thyrogen</t>
  </si>
  <si>
    <t>thyrotropin alfa</t>
  </si>
  <si>
    <t>TSH receptor</t>
  </si>
  <si>
    <t>TSH receptor agonist</t>
  </si>
  <si>
    <t>Advate</t>
  </si>
  <si>
    <t>antihemophilic factor</t>
  </si>
  <si>
    <t>Factor IXa</t>
  </si>
  <si>
    <t>Factor IXa complex component</t>
  </si>
  <si>
    <t>Kineret</t>
  </si>
  <si>
    <t>anakinra</t>
  </si>
  <si>
    <t>IL-1</t>
  </si>
  <si>
    <t>gramicidin D</t>
  </si>
  <si>
    <t>Gammagard</t>
  </si>
  <si>
    <t>human immunoglobulin G</t>
  </si>
  <si>
    <t>anistreplase</t>
  </si>
  <si>
    <t>insulin human</t>
  </si>
  <si>
    <t>Humulin</t>
  </si>
  <si>
    <t>Insulin Receptor</t>
  </si>
  <si>
    <t>insulin receptor agonist</t>
  </si>
  <si>
    <t>TNKase</t>
  </si>
  <si>
    <t>tenecteplase</t>
  </si>
  <si>
    <t>Menopur</t>
  </si>
  <si>
    <t>menotropins</t>
  </si>
  <si>
    <t>FSH receptor</t>
  </si>
  <si>
    <t>FSH agonist</t>
  </si>
  <si>
    <t>Actimmune</t>
  </si>
  <si>
    <t>interferon gamma-1b</t>
  </si>
  <si>
    <t>interferon alfa-2a</t>
  </si>
  <si>
    <t>desmopressin</t>
  </si>
  <si>
    <t>V1, V2, V3 receptors</t>
  </si>
  <si>
    <t>vasopressin receptor agonist</t>
  </si>
  <si>
    <t>Ddavp</t>
  </si>
  <si>
    <t>coagulation factor VIIa recombinant human</t>
  </si>
  <si>
    <t>NovoSeven</t>
  </si>
  <si>
    <t>Factor IX, Factor X</t>
  </si>
  <si>
    <t>oprelvekin</t>
  </si>
  <si>
    <t>Neumega</t>
  </si>
  <si>
    <t>IL-11 receptor</t>
  </si>
  <si>
    <t>IL-11 receptor agonist</t>
  </si>
  <si>
    <t>Kepivance</t>
  </si>
  <si>
    <t>palifermin</t>
  </si>
  <si>
    <t>KGF receptor</t>
  </si>
  <si>
    <t>KGF receptor agonist</t>
  </si>
  <si>
    <t>glucagon</t>
  </si>
  <si>
    <t>Glucagen</t>
  </si>
  <si>
    <t>Glucagon receptor</t>
  </si>
  <si>
    <t>Glucagon receptor agonist</t>
  </si>
  <si>
    <t>Proleukin</t>
  </si>
  <si>
    <t>aldesleukin</t>
  </si>
  <si>
    <t>IL-2 receptor</t>
  </si>
  <si>
    <t>IL-2 receptor agonist</t>
  </si>
  <si>
    <t>Myobloc</t>
  </si>
  <si>
    <t>botulinum toxin type B</t>
  </si>
  <si>
    <t>Xolair</t>
  </si>
  <si>
    <t>omalizumab</t>
  </si>
  <si>
    <t>IgE</t>
  </si>
  <si>
    <t>lutropin alfa</t>
  </si>
  <si>
    <t>LH receptor</t>
  </si>
  <si>
    <t>LH receptor agonist</t>
  </si>
  <si>
    <t>lyme disease vaccine</t>
  </si>
  <si>
    <t>insulin lispro</t>
  </si>
  <si>
    <t>insulin glargine</t>
  </si>
  <si>
    <t>Lantus</t>
  </si>
  <si>
    <t>collagenase clostridium histolyticum</t>
  </si>
  <si>
    <t>Xiaflex</t>
  </si>
  <si>
    <t>rasburicase</t>
  </si>
  <si>
    <t>Elitek</t>
  </si>
  <si>
    <t>cetrorelix</t>
  </si>
  <si>
    <t>adalimumab</t>
  </si>
  <si>
    <t>imiglucerase</t>
  </si>
  <si>
    <t>Cerezyme</t>
  </si>
  <si>
    <t>somatotropin</t>
  </si>
  <si>
    <t>Genotropin</t>
  </si>
  <si>
    <t>Growth Hormone receptor</t>
  </si>
  <si>
    <t>GH receptor agonist</t>
  </si>
  <si>
    <t>abciximab</t>
  </si>
  <si>
    <t>Q32 Bio</t>
  </si>
  <si>
    <t>QTTB</t>
  </si>
  <si>
    <t>Artiva</t>
  </si>
  <si>
    <t>ARTV</t>
  </si>
  <si>
    <t>Atossa</t>
  </si>
  <si>
    <t>ATOS</t>
  </si>
  <si>
    <t>NervGen</t>
  </si>
  <si>
    <t>NGEN</t>
  </si>
  <si>
    <t>Q224?</t>
  </si>
  <si>
    <t>GALT</t>
  </si>
  <si>
    <t>Galectin</t>
  </si>
  <si>
    <t>Evaxion</t>
  </si>
  <si>
    <t>EVAX</t>
  </si>
  <si>
    <t>Murai Oncology</t>
  </si>
  <si>
    <t>MURA</t>
  </si>
  <si>
    <t>RZLT</t>
  </si>
  <si>
    <t>Rezolute</t>
  </si>
  <si>
    <t>LPTX</t>
  </si>
  <si>
    <t>Leap</t>
  </si>
  <si>
    <t>CABA</t>
  </si>
  <si>
    <t>Cabaletta</t>
  </si>
  <si>
    <t>Cognition</t>
  </si>
  <si>
    <t>CGTX</t>
  </si>
  <si>
    <t>Voyager</t>
  </si>
  <si>
    <t>VYGR</t>
  </si>
  <si>
    <t>ALGS</t>
  </si>
  <si>
    <t>Aligos</t>
  </si>
  <si>
    <t>DRUG</t>
  </si>
  <si>
    <t>Bright Minds</t>
  </si>
  <si>
    <t>R</t>
  </si>
  <si>
    <t>C</t>
  </si>
  <si>
    <t>Stoke</t>
  </si>
  <si>
    <t>STOK</t>
  </si>
  <si>
    <t>Candel</t>
  </si>
  <si>
    <t>CADL</t>
  </si>
  <si>
    <t>Reviva</t>
  </si>
  <si>
    <t>RVPH</t>
  </si>
  <si>
    <t>Checkpoint</t>
  </si>
  <si>
    <t>CKPT</t>
  </si>
  <si>
    <t>Aquestive</t>
  </si>
  <si>
    <t>AQST</t>
  </si>
  <si>
    <t>Afimmune</t>
  </si>
  <si>
    <t>Melinta Therapeutics</t>
  </si>
  <si>
    <t>Cempra</t>
  </si>
  <si>
    <t>Melinta</t>
  </si>
  <si>
    <t>Chemomab</t>
  </si>
  <si>
    <t>CMMB</t>
  </si>
  <si>
    <t>Gyre</t>
  </si>
  <si>
    <t>GYRE</t>
  </si>
  <si>
    <t>ArriVent</t>
  </si>
  <si>
    <t>AVBP</t>
  </si>
  <si>
    <t>Vaxart</t>
  </si>
  <si>
    <t>VXRT</t>
  </si>
  <si>
    <t>Cambridge Antibody Technology</t>
  </si>
  <si>
    <t>Domantis</t>
  </si>
  <si>
    <t>IMUX</t>
  </si>
  <si>
    <t>Immunic</t>
  </si>
  <si>
    <t>Vyne</t>
  </si>
  <si>
    <t>VYNE</t>
  </si>
  <si>
    <t>CRDL</t>
  </si>
  <si>
    <t>Cardiol</t>
  </si>
  <si>
    <t>Tenax</t>
  </si>
  <si>
    <t>TENX</t>
  </si>
  <si>
    <t>EVA Pharma</t>
  </si>
  <si>
    <t>Egypt based company, deal with LLY</t>
  </si>
  <si>
    <t>Forte</t>
  </si>
  <si>
    <t>FBRX</t>
  </si>
  <si>
    <t>Simcere</t>
  </si>
  <si>
    <t>2096 HK</t>
  </si>
  <si>
    <t>Cugene</t>
  </si>
  <si>
    <t>EvolveImmune</t>
  </si>
  <si>
    <t>Aliada</t>
  </si>
  <si>
    <t>Nimble</t>
  </si>
  <si>
    <t>Softbank, RA</t>
  </si>
  <si>
    <t>-</t>
  </si>
  <si>
    <t>Valo Health</t>
  </si>
  <si>
    <t>TARIS Biomedical</t>
  </si>
  <si>
    <t>Vyvgart</t>
  </si>
  <si>
    <t>Y20</t>
  </si>
  <si>
    <t>Y21</t>
  </si>
  <si>
    <t>Y22</t>
  </si>
  <si>
    <t>Y23</t>
  </si>
  <si>
    <t>Y24</t>
  </si>
  <si>
    <t>Y25</t>
  </si>
  <si>
    <t>Y26</t>
  </si>
  <si>
    <t>ALMS</t>
  </si>
  <si>
    <t>Johnson &amp; Johnson</t>
  </si>
  <si>
    <t>Merck KGaA</t>
  </si>
  <si>
    <t>CIBA</t>
  </si>
  <si>
    <t>J.R. Geigy</t>
  </si>
  <si>
    <t>Merck &amp; Co</t>
  </si>
  <si>
    <t>Abbott Laboratories</t>
  </si>
  <si>
    <t>MERGED WITH JR. Geigy SA</t>
  </si>
  <si>
    <t>Founded 1758</t>
  </si>
  <si>
    <t>Founded 1850s</t>
  </si>
  <si>
    <t>MERGED with CIBA</t>
  </si>
  <si>
    <t>Squibb</t>
  </si>
  <si>
    <t>Founded as Clinton Pharmaceutical Company</t>
  </si>
  <si>
    <t>Renamed Bristol-Myers</t>
  </si>
  <si>
    <t>Renamed Bristol, Myers Company</t>
  </si>
  <si>
    <t>IPO</t>
  </si>
  <si>
    <t>Merged with Bristol-Myers</t>
  </si>
  <si>
    <t>Merged with Squibb</t>
  </si>
  <si>
    <t>Bristol-Myers Squibb</t>
  </si>
  <si>
    <t>Warner-Lambert</t>
  </si>
  <si>
    <t>Glaxo</t>
  </si>
  <si>
    <t>Wellcome</t>
  </si>
  <si>
    <t>SmithKline</t>
  </si>
  <si>
    <t>Beecham</t>
  </si>
  <si>
    <t>Synthelabo</t>
  </si>
  <si>
    <t>Rhone-Poulenc</t>
  </si>
  <si>
    <t>Laboratoires Dausse</t>
  </si>
  <si>
    <t>Founded 1834</t>
  </si>
  <si>
    <t>Laboratoires Robert &amp; Carrière</t>
  </si>
  <si>
    <t>Merged with Laboratoires Robert &amp; Carrière to create Synthelabo</t>
  </si>
  <si>
    <t>Merged with Laboratoires Dausse to create Synthelabo</t>
  </si>
  <si>
    <t>Merged with Sanofi to create Sanofi-Synthelabo</t>
  </si>
  <si>
    <t>Hoechst</t>
  </si>
  <si>
    <t>Wittmann et Poulenc Jeune</t>
  </si>
  <si>
    <t>Founded as subsidiary of Elf Aquitaine</t>
  </si>
  <si>
    <t>Sanofi-Synthelabo</t>
  </si>
  <si>
    <t>William R. Warner and Company Limited</t>
  </si>
  <si>
    <t>Renamed Warner-Hudnut, Inc</t>
  </si>
  <si>
    <t>Lambert Pharmacal Company</t>
  </si>
  <si>
    <t>Acquired by Pfizer</t>
  </si>
  <si>
    <t>Acquired Warner-Lambert</t>
  </si>
  <si>
    <t>Upjohn</t>
  </si>
  <si>
    <t>Founded in Michigan</t>
  </si>
  <si>
    <t>Merged with Upjohn</t>
  </si>
  <si>
    <t>Merged with Pharmacia</t>
  </si>
  <si>
    <t>Pharmacia-Upjohn</t>
  </si>
  <si>
    <t>Searle</t>
  </si>
  <si>
    <t>Founded in Sweden (actually Farmitalia Carlo Erba and Kabi, so goes back further)</t>
  </si>
  <si>
    <t>Merged with Pharmacia-Upjohn</t>
  </si>
  <si>
    <t>Acquires Searle</t>
  </si>
  <si>
    <t>Acquired by Monsanto</t>
  </si>
  <si>
    <t>Acquires Pharmacia</t>
  </si>
  <si>
    <t>American Home Products</t>
  </si>
  <si>
    <t>John Wyeth &amp; Brother, Inc.</t>
  </si>
  <si>
    <t>American Cyanamid</t>
  </si>
  <si>
    <t>Founded by brothers John &amp; Frank Wyeth in Philadelphia.</t>
  </si>
  <si>
    <t>Stuart Wyeth dies, bequeaths company to Harvard.</t>
  </si>
  <si>
    <t>Sold to AHP for $2.9m.</t>
  </si>
  <si>
    <t>Acquires Wyeth</t>
  </si>
  <si>
    <t>Parke-Davis</t>
  </si>
  <si>
    <t>Genetics Institute</t>
  </si>
  <si>
    <t>Lederle Antitoxin Laboratories</t>
  </si>
  <si>
    <t>Founded by Frank Washburn and Charles Baker</t>
  </si>
  <si>
    <t>Acquired by American Cyanamid</t>
  </si>
  <si>
    <t>Acquired Lederle</t>
  </si>
  <si>
    <t>Acquired by AHP</t>
  </si>
  <si>
    <t>Ayerst, McKenna &amp; Harrison Limited</t>
  </si>
  <si>
    <t>Acquires Ayerst</t>
  </si>
  <si>
    <t>Acquires American Cyanamid</t>
  </si>
  <si>
    <t>Acquires Wyeth/AHP</t>
  </si>
  <si>
    <t>Founded in Detroit</t>
  </si>
  <si>
    <t>Lambert merges with Warner</t>
  </si>
  <si>
    <t>Warner merges with Lambert</t>
  </si>
  <si>
    <t>Parke-Davis acquired by Warner-Lambert</t>
  </si>
  <si>
    <t>Warner-Lambert Acquires Parke-Davis</t>
  </si>
  <si>
    <t>Seattle Genetics</t>
  </si>
  <si>
    <t>Arena (1997 - 2022)</t>
  </si>
  <si>
    <t>Hospira (2004-2015)</t>
  </si>
  <si>
    <t>Seattle Genetics (1997-2023)</t>
  </si>
  <si>
    <t>Medivation (2004-2016)</t>
  </si>
  <si>
    <t>Acquired by Pharmacia</t>
  </si>
  <si>
    <t>Spun-out of Abbott</t>
  </si>
  <si>
    <t>Abbott Labs</t>
  </si>
  <si>
    <t>Biohaven (2013-2022)</t>
  </si>
  <si>
    <t>Aviron</t>
  </si>
  <si>
    <t>Cidara</t>
  </si>
  <si>
    <t>CDTX</t>
  </si>
  <si>
    <t>Q314</t>
  </si>
  <si>
    <t>Duality Biologics</t>
  </si>
  <si>
    <t>BNTX deal</t>
  </si>
  <si>
    <t>OncoC4</t>
  </si>
  <si>
    <t>spun out of MRK after their acquisition of OncoImmune</t>
  </si>
  <si>
    <t>Avilar Therapeutics</t>
  </si>
  <si>
    <t>Curon Biopharmaceuticals</t>
  </si>
  <si>
    <t>Peloton Therapeutics</t>
  </si>
  <si>
    <t>Immune-Onc</t>
  </si>
  <si>
    <t>ILT family mabs</t>
  </si>
  <si>
    <t>Tectonic</t>
  </si>
  <si>
    <t>TECX</t>
  </si>
  <si>
    <t>GH Research</t>
  </si>
  <si>
    <t>GHRS</t>
  </si>
  <si>
    <t>IVVD</t>
  </si>
  <si>
    <t>Invivyd</t>
  </si>
  <si>
    <t>Upstream Bio</t>
  </si>
  <si>
    <t>UPB</t>
  </si>
  <si>
    <t>Lilly R&amp;D</t>
  </si>
  <si>
    <t>AbbVie R&amp;D</t>
  </si>
  <si>
    <t>Novo R&amp;D</t>
  </si>
  <si>
    <t>Pfizer R&amp;D</t>
  </si>
  <si>
    <t>Merck R&amp;D</t>
  </si>
  <si>
    <t>J&amp;J R&amp;D</t>
  </si>
  <si>
    <t>Sanofi R&amp;D</t>
  </si>
  <si>
    <t>GSK R&amp;D</t>
  </si>
  <si>
    <t>Amgen R&amp;D</t>
  </si>
  <si>
    <t>R&amp;D</t>
  </si>
  <si>
    <t>Novartis R&amp;D</t>
  </si>
  <si>
    <t>PHAR</t>
  </si>
  <si>
    <t>Xilio</t>
  </si>
  <si>
    <t>XLO</t>
  </si>
  <si>
    <t>Assembly</t>
  </si>
  <si>
    <t>Barinthus</t>
  </si>
  <si>
    <t>BRNS</t>
  </si>
  <si>
    <t>ASMB</t>
  </si>
  <si>
    <t>Tarsus</t>
  </si>
  <si>
    <t>TARS</t>
  </si>
  <si>
    <t>Telix</t>
  </si>
  <si>
    <t>TLX</t>
  </si>
  <si>
    <t>Capricor</t>
  </si>
  <si>
    <t>CAPR</t>
  </si>
  <si>
    <t>Fractyl</t>
  </si>
  <si>
    <t>GUTS</t>
  </si>
  <si>
    <t>Apogee</t>
  </si>
  <si>
    <t>APGE</t>
  </si>
  <si>
    <t>HLUN DE</t>
  </si>
  <si>
    <t>ONC</t>
  </si>
  <si>
    <t>Galderma</t>
  </si>
  <si>
    <t>GALD SW</t>
  </si>
  <si>
    <t>Tourmaline</t>
  </si>
  <si>
    <t>TRML</t>
  </si>
  <si>
    <t>Compass</t>
  </si>
  <si>
    <t>CMPS</t>
  </si>
  <si>
    <t>Elevation Oncology</t>
  </si>
  <si>
    <t>ELEV</t>
  </si>
  <si>
    <t>ProKidney</t>
  </si>
  <si>
    <t>PROK</t>
  </si>
  <si>
    <t>Merida Biosciences</t>
  </si>
  <si>
    <t>Bain, BVF, Third Rock</t>
  </si>
  <si>
    <t>Serina</t>
  </si>
  <si>
    <t>SER</t>
  </si>
  <si>
    <t>Okyo</t>
  </si>
  <si>
    <t>OKYO</t>
  </si>
  <si>
    <t>Q125</t>
  </si>
  <si>
    <t>Arcutis</t>
  </si>
  <si>
    <t>ARQT</t>
  </si>
  <si>
    <t>PHVS</t>
  </si>
  <si>
    <t>196170 KS</t>
  </si>
  <si>
    <t>Alteogen</t>
  </si>
  <si>
    <t>Mankind</t>
  </si>
  <si>
    <t>MANKIND</t>
  </si>
  <si>
    <t>Sichuan</t>
  </si>
  <si>
    <t>6990 HK</t>
  </si>
  <si>
    <t>KRKA</t>
  </si>
  <si>
    <t>KRKG SV</t>
  </si>
  <si>
    <t>Yuhan</t>
  </si>
  <si>
    <t>000100 KS</t>
  </si>
  <si>
    <t>Wuxi XDC</t>
  </si>
  <si>
    <t>2268 HK</t>
  </si>
  <si>
    <t>Ypsomed</t>
  </si>
  <si>
    <t>YPSN</t>
  </si>
  <si>
    <t>Pharmessentia</t>
  </si>
  <si>
    <t>6446 TT</t>
  </si>
  <si>
    <t>Alk-Abello</t>
  </si>
  <si>
    <t>ALKB DC</t>
  </si>
  <si>
    <t>HLB</t>
  </si>
  <si>
    <t>028300 KS</t>
  </si>
  <si>
    <t>SK Biopharmaceuticals</t>
  </si>
  <si>
    <t>326030 KS</t>
  </si>
  <si>
    <t>Laurus Labs</t>
  </si>
  <si>
    <t>LAURUS</t>
  </si>
  <si>
    <t>Santen</t>
  </si>
  <si>
    <t>4536 JP</t>
  </si>
  <si>
    <t>MTSR</t>
  </si>
  <si>
    <t>CG Oncology</t>
  </si>
  <si>
    <t>CGON</t>
  </si>
  <si>
    <t>Centessa</t>
  </si>
  <si>
    <t>CNTA</t>
  </si>
  <si>
    <t>Vera</t>
  </si>
  <si>
    <t>VERA</t>
  </si>
  <si>
    <t>Ocular Therapeutix</t>
  </si>
  <si>
    <t>OCUL</t>
  </si>
  <si>
    <t>Wave</t>
  </si>
  <si>
    <t>WVE</t>
  </si>
  <si>
    <t>Biocon</t>
  </si>
  <si>
    <t>BIOS IN</t>
  </si>
  <si>
    <t>Lenz</t>
  </si>
  <si>
    <t>LENZ</t>
  </si>
  <si>
    <t>Nurix</t>
  </si>
  <si>
    <t>NRIX</t>
  </si>
  <si>
    <t>Sionna</t>
  </si>
  <si>
    <t>SION</t>
  </si>
  <si>
    <t>Tyra</t>
  </si>
  <si>
    <t>TYRA</t>
  </si>
  <si>
    <t>Elite</t>
  </si>
  <si>
    <t>ELTP</t>
  </si>
  <si>
    <t>Regencell</t>
  </si>
  <si>
    <t>RGC</t>
  </si>
  <si>
    <t>Bachem</t>
  </si>
  <si>
    <t>BANB</t>
  </si>
  <si>
    <t>Ipca</t>
  </si>
  <si>
    <t>Spyre</t>
  </si>
  <si>
    <t>SYRE</t>
  </si>
  <si>
    <t>Evolus</t>
  </si>
  <si>
    <t>EOLS</t>
  </si>
  <si>
    <t>Mind Medicine</t>
  </si>
  <si>
    <t>MNMD</t>
  </si>
  <si>
    <t>Eton</t>
  </si>
  <si>
    <t>ETON</t>
  </si>
  <si>
    <t>Knight</t>
  </si>
  <si>
    <t>GUD</t>
  </si>
  <si>
    <t>Maze</t>
  </si>
  <si>
    <t>MAZE</t>
  </si>
  <si>
    <t>Iteos</t>
  </si>
  <si>
    <t>ITOS</t>
  </si>
  <si>
    <t>Neurogene</t>
  </si>
  <si>
    <t>NGNE</t>
  </si>
  <si>
    <t>CMPX</t>
  </si>
  <si>
    <t>Cartesian</t>
  </si>
  <si>
    <t>RNAC</t>
  </si>
  <si>
    <t>Jade</t>
  </si>
  <si>
    <t>JBIO</t>
  </si>
  <si>
    <t>Aura</t>
  </si>
  <si>
    <t>AURA</t>
  </si>
  <si>
    <t>Tvardi</t>
  </si>
  <si>
    <t>TVRD</t>
  </si>
  <si>
    <t>Palvella</t>
  </si>
  <si>
    <t>PVLA</t>
  </si>
  <si>
    <t>Vanda</t>
  </si>
  <si>
    <t>VNDA</t>
  </si>
  <si>
    <t>Atea</t>
  </si>
  <si>
    <t>AVIR</t>
  </si>
  <si>
    <t>Astria</t>
  </si>
  <si>
    <t>ATXS</t>
  </si>
  <si>
    <t>Nuvectis</t>
  </si>
  <si>
    <t>Aardvark</t>
  </si>
  <si>
    <t>AARD</t>
  </si>
  <si>
    <t>Tevogen</t>
  </si>
  <si>
    <t>TVGN</t>
  </si>
  <si>
    <t>Solid</t>
  </si>
  <si>
    <t>SLDB</t>
  </si>
  <si>
    <t>Actuate</t>
  </si>
  <si>
    <t>ACTU</t>
  </si>
  <si>
    <t>Silence</t>
  </si>
  <si>
    <t>SLN</t>
  </si>
  <si>
    <t>Annexon</t>
  </si>
  <si>
    <t>ANNX</t>
  </si>
  <si>
    <t>Design</t>
  </si>
  <si>
    <t>DSGN</t>
  </si>
  <si>
    <t>Diamedica</t>
  </si>
  <si>
    <t>DMAC</t>
  </si>
  <si>
    <t>Liminatus</t>
  </si>
  <si>
    <t>LIMN</t>
  </si>
  <si>
    <t>Cardo</t>
  </si>
  <si>
    <t>Cardiff</t>
  </si>
  <si>
    <t>CRDF</t>
  </si>
  <si>
    <t>CRGX</t>
  </si>
  <si>
    <t>Eledon</t>
  </si>
  <si>
    <t>ELDN</t>
  </si>
  <si>
    <t>HURA</t>
  </si>
  <si>
    <t>Tuhura</t>
  </si>
  <si>
    <t>Perspective</t>
  </si>
  <si>
    <t>CATX</t>
  </si>
  <si>
    <t>Anika</t>
  </si>
  <si>
    <t>ANIK</t>
  </si>
  <si>
    <t>DERM</t>
  </si>
  <si>
    <t>Journey Medical</t>
  </si>
  <si>
    <t>Puma</t>
  </si>
  <si>
    <t>PBYI</t>
  </si>
  <si>
    <t>Compugen</t>
  </si>
  <si>
    <t>CGEN</t>
  </si>
  <si>
    <t>Protara</t>
  </si>
  <si>
    <t>TARA</t>
  </si>
  <si>
    <t>SC</t>
  </si>
  <si>
    <t>SCPH</t>
  </si>
  <si>
    <t>Vigil</t>
  </si>
  <si>
    <t>VIGL</t>
  </si>
  <si>
    <t>Viela</t>
  </si>
  <si>
    <t>Sagimet</t>
  </si>
  <si>
    <t>SGMT</t>
  </si>
  <si>
    <t>Belite</t>
  </si>
  <si>
    <t>BLTE</t>
  </si>
  <si>
    <t>Kala</t>
  </si>
  <si>
    <t>KALA</t>
  </si>
  <si>
    <t>ATYR</t>
  </si>
  <si>
    <t>Celcuity</t>
  </si>
  <si>
    <t>CELC</t>
  </si>
  <si>
    <t>LPC</t>
  </si>
  <si>
    <t>ARBP</t>
  </si>
  <si>
    <t>TRP</t>
  </si>
  <si>
    <t>ALBC</t>
  </si>
  <si>
    <t>GNP</t>
  </si>
  <si>
    <t>IPCA</t>
  </si>
  <si>
    <t>ABVX</t>
  </si>
  <si>
    <t>SYNC</t>
  </si>
  <si>
    <t>OCC</t>
  </si>
  <si>
    <t>Q225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</si>
</sst>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164" formatCode="#,##0.0000"/>
    <numFmt numFmtId="165" formatCode="0\x"/>
    <numFmt numFmtId="166" formatCode="[$€-2]\ #,##0.00"/>
    <numFmt numFmtId="167" formatCode="[$£-809]#,##0.00"/>
    <numFmt numFmtId="168" formatCode="[$¥-411]#,##0"/>
    <numFmt numFmtId="169" formatCode="[$₹-4009]\ #,##0"/>
    <numFmt numFmtId="170" formatCode="[$HK$-C04]#,##0.00"/>
    <numFmt numFmtId="171" formatCode="[$₩-412]#,##0"/>
    <numFmt numFmtId="172" formatCode="[$CHF-807]\ #,##0.00"/>
    <numFmt numFmtId="173" formatCode="[$£-809]#,##0"/>
    <numFmt numFmtId="174" formatCode="[$€-2]\ #,##0"/>
    <numFmt numFmtId="175" formatCode="[$₩-412]#,##0.0"/>
    <numFmt numFmtId="176" formatCode="[$¥-804]#,##0.00"/>
    <numFmt numFmtId="177" formatCode="#,##0.00\ [$kr.-406]"/>
    <numFmt numFmtId="178" formatCode="[$AUD]\ #,##0.00"/>
    <numFmt numFmtId="179" formatCode="#,##0.00\ [$zł-415]"/>
    <numFmt numFmtId="180" formatCode="[$CAD]\ #,##0.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Arial"/>
      <family val="2"/>
    </font>
    <font>
      <i/>
      <sz val="10"/>
      <color theme="1"/>
      <name val="Arial"/>
      <family val="2"/>
    </font>
    <font>
      <b/>
      <u/>
      <sz val="10"/>
      <color theme="10"/>
      <name val="Arial"/>
      <family val="2"/>
    </font>
    <font>
      <i/>
      <u/>
      <sz val="10"/>
      <color theme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6"/>
      <color theme="1"/>
      <name val="Arial"/>
      <family val="2"/>
    </font>
    <font>
      <b/>
      <sz val="24"/>
      <color theme="1"/>
      <name val="Arial"/>
      <family val="2"/>
    </font>
    <font>
      <b/>
      <sz val="48"/>
      <color theme="1"/>
      <name val="Arial"/>
      <family val="2"/>
    </font>
    <font>
      <strike/>
      <sz val="10"/>
      <color theme="1"/>
      <name val="Arial"/>
      <family val="2"/>
    </font>
    <font>
      <strike/>
      <u/>
      <sz val="10"/>
      <color theme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7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1"/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center"/>
    </xf>
    <xf numFmtId="14" fontId="0" fillId="0" borderId="0" xfId="0" applyNumberFormat="1"/>
    <xf numFmtId="0" fontId="2" fillId="0" borderId="0" xfId="1" applyFill="1"/>
    <xf numFmtId="166" fontId="1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170" fontId="1" fillId="0" borderId="0" xfId="0" applyNumberFormat="1" applyFont="1" applyAlignment="1">
      <alignment horizontal="right"/>
    </xf>
    <xf numFmtId="171" fontId="1" fillId="0" borderId="0" xfId="0" applyNumberFormat="1" applyFont="1" applyAlignment="1">
      <alignment horizontal="right"/>
    </xf>
    <xf numFmtId="172" fontId="1" fillId="0" borderId="0" xfId="0" applyNumberFormat="1" applyFont="1" applyAlignment="1">
      <alignment horizontal="right"/>
    </xf>
    <xf numFmtId="173" fontId="1" fillId="0" borderId="0" xfId="0" applyNumberFormat="1" applyFont="1" applyAlignment="1">
      <alignment horizontal="right"/>
    </xf>
    <xf numFmtId="0" fontId="0" fillId="0" borderId="0" xfId="0" quotePrefix="1"/>
    <xf numFmtId="174" fontId="1" fillId="0" borderId="0" xfId="0" applyNumberFormat="1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3" fontId="4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0" xfId="0" applyNumberFormat="1"/>
    <xf numFmtId="3" fontId="7" fillId="0" borderId="0" xfId="0" applyNumberFormat="1" applyFont="1" applyAlignment="1">
      <alignment horizontal="right"/>
    </xf>
    <xf numFmtId="3" fontId="8" fillId="0" borderId="0" xfId="0" applyNumberFormat="1" applyFont="1"/>
    <xf numFmtId="0" fontId="8" fillId="0" borderId="0" xfId="0" applyFont="1"/>
    <xf numFmtId="4" fontId="8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/>
    </xf>
    <xf numFmtId="14" fontId="0" fillId="0" borderId="0" xfId="0" applyNumberFormat="1" applyAlignment="1">
      <alignment horizontal="right"/>
    </xf>
    <xf numFmtId="4" fontId="1" fillId="0" borderId="0" xfId="0" applyNumberFormat="1" applyFont="1"/>
    <xf numFmtId="0" fontId="2" fillId="0" borderId="0" xfId="1" applyFill="1" applyBorder="1"/>
    <xf numFmtId="4" fontId="0" fillId="0" borderId="0" xfId="0" applyNumberFormat="1"/>
    <xf numFmtId="175" fontId="1" fillId="0" borderId="0" xfId="0" applyNumberFormat="1" applyFont="1" applyAlignment="1">
      <alignment horizontal="right"/>
    </xf>
    <xf numFmtId="0" fontId="9" fillId="0" borderId="0" xfId="1" applyFont="1"/>
    <xf numFmtId="14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76" fontId="0" fillId="0" borderId="0" xfId="0" applyNumberFormat="1" applyAlignment="1">
      <alignment horizontal="right"/>
    </xf>
    <xf numFmtId="4" fontId="3" fillId="0" borderId="0" xfId="0" applyNumberFormat="1" applyFont="1" applyAlignment="1">
      <alignment horizontal="right"/>
    </xf>
    <xf numFmtId="17" fontId="0" fillId="0" borderId="0" xfId="0" applyNumberFormat="1"/>
    <xf numFmtId="14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  <xf numFmtId="3" fontId="1" fillId="0" borderId="0" xfId="0" applyNumberFormat="1" applyFont="1" applyAlignment="1">
      <alignment horizontal="left"/>
    </xf>
    <xf numFmtId="1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77" fontId="1" fillId="0" borderId="0" xfId="0" applyNumberFormat="1" applyFont="1" applyAlignment="1">
      <alignment horizontal="right"/>
    </xf>
    <xf numFmtId="178" fontId="1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10" fillId="0" borderId="0" xfId="1" applyFont="1"/>
    <xf numFmtId="0" fontId="8" fillId="0" borderId="0" xfId="0" applyFont="1" applyAlignment="1">
      <alignment horizontal="right"/>
    </xf>
    <xf numFmtId="14" fontId="8" fillId="0" borderId="0" xfId="0" applyNumberFormat="1" applyFont="1" applyAlignment="1">
      <alignment horizontal="right"/>
    </xf>
    <xf numFmtId="0" fontId="8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8" borderId="0" xfId="0" quotePrefix="1" applyFill="1"/>
    <xf numFmtId="0" fontId="0" fillId="11" borderId="0" xfId="0" applyFill="1"/>
    <xf numFmtId="0" fontId="3" fillId="11" borderId="0" xfId="0" applyFont="1" applyFill="1"/>
    <xf numFmtId="0" fontId="0" fillId="12" borderId="0" xfId="0" applyFill="1"/>
    <xf numFmtId="0" fontId="0" fillId="13" borderId="0" xfId="0" applyFill="1"/>
    <xf numFmtId="0" fontId="0" fillId="15" borderId="0" xfId="0" applyFill="1"/>
    <xf numFmtId="0" fontId="12" fillId="15" borderId="0" xfId="0" applyFont="1" applyFill="1"/>
    <xf numFmtId="0" fontId="0" fillId="17" borderId="0" xfId="0" applyFill="1"/>
    <xf numFmtId="0" fontId="12" fillId="17" borderId="0" xfId="0" applyFont="1" applyFill="1"/>
    <xf numFmtId="0" fontId="0" fillId="18" borderId="0" xfId="0" applyFill="1"/>
    <xf numFmtId="0" fontId="0" fillId="20" borderId="0" xfId="0" applyFill="1"/>
    <xf numFmtId="0" fontId="3" fillId="5" borderId="0" xfId="0" applyFont="1" applyFill="1" applyAlignment="1">
      <alignment horizontal="center"/>
    </xf>
    <xf numFmtId="0" fontId="11" fillId="15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0" fontId="0" fillId="22" borderId="0" xfId="0" applyFill="1"/>
    <xf numFmtId="0" fontId="3" fillId="23" borderId="0" xfId="0" applyFont="1" applyFill="1" applyAlignment="1">
      <alignment horizontal="center" vertical="center"/>
    </xf>
    <xf numFmtId="0" fontId="0" fillId="16" borderId="0" xfId="0" applyFill="1"/>
    <xf numFmtId="0" fontId="0" fillId="16" borderId="0" xfId="0" applyFill="1" applyAlignment="1">
      <alignment horizontal="center"/>
    </xf>
    <xf numFmtId="0" fontId="3" fillId="16" borderId="0" xfId="0" applyFont="1" applyFill="1" applyAlignment="1">
      <alignment horizontal="center"/>
    </xf>
    <xf numFmtId="0" fontId="3" fillId="22" borderId="0" xfId="0" applyFont="1" applyFill="1" applyAlignment="1">
      <alignment horizontal="center"/>
    </xf>
    <xf numFmtId="0" fontId="0" fillId="14" borderId="0" xfId="0" applyFill="1"/>
    <xf numFmtId="0" fontId="3" fillId="14" borderId="0" xfId="0" applyFont="1" applyFill="1" applyAlignment="1">
      <alignment horizontal="center"/>
    </xf>
    <xf numFmtId="0" fontId="16" fillId="0" borderId="0" xfId="0" applyFont="1"/>
    <xf numFmtId="0" fontId="17" fillId="0" borderId="0" xfId="1" applyFont="1"/>
    <xf numFmtId="0" fontId="16" fillId="0" borderId="0" xfId="0" applyFont="1" applyAlignment="1">
      <alignment horizontal="right"/>
    </xf>
    <xf numFmtId="3" fontId="16" fillId="0" borderId="0" xfId="0" applyNumberFormat="1" applyFont="1" applyAlignment="1">
      <alignment horizontal="right"/>
    </xf>
    <xf numFmtId="14" fontId="16" fillId="0" borderId="0" xfId="0" applyNumberFormat="1" applyFont="1" applyAlignment="1">
      <alignment horizontal="right"/>
    </xf>
    <xf numFmtId="0" fontId="16" fillId="0" borderId="0" xfId="0" applyFont="1" applyAlignment="1">
      <alignment horizontal="center"/>
    </xf>
    <xf numFmtId="3" fontId="3" fillId="0" borderId="0" xfId="0" applyNumberFormat="1" applyFont="1"/>
    <xf numFmtId="0" fontId="1" fillId="16" borderId="0" xfId="0" applyFont="1" applyFill="1"/>
    <xf numFmtId="0" fontId="3" fillId="16" borderId="0" xfId="0" applyFont="1" applyFill="1"/>
    <xf numFmtId="0" fontId="4" fillId="0" borderId="0" xfId="1" applyFont="1"/>
    <xf numFmtId="4" fontId="3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165" fontId="3" fillId="0" borderId="0" xfId="0" applyNumberFormat="1" applyFont="1" applyAlignment="1">
      <alignment horizontal="center"/>
    </xf>
    <xf numFmtId="1" fontId="3" fillId="0" borderId="0" xfId="0" applyNumberFormat="1" applyFont="1"/>
    <xf numFmtId="0" fontId="8" fillId="16" borderId="0" xfId="0" applyFont="1" applyFill="1"/>
    <xf numFmtId="4" fontId="8" fillId="0" borderId="0" xfId="0" applyNumberFormat="1" applyFont="1" applyAlignment="1">
      <alignment horizontal="center"/>
    </xf>
    <xf numFmtId="179" fontId="1" fillId="0" borderId="0" xfId="0" applyNumberFormat="1" applyFont="1" applyAlignment="1">
      <alignment horizontal="right"/>
    </xf>
    <xf numFmtId="180" fontId="1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3" fillId="6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10" borderId="0" xfId="0" applyFill="1" applyAlignment="1">
      <alignment horizontal="left" vertical="center"/>
    </xf>
    <xf numFmtId="0" fontId="3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3" fillId="10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1" fillId="21" borderId="0" xfId="0" applyFont="1" applyFill="1" applyAlignment="1">
      <alignment horizontal="center" vertical="center"/>
    </xf>
    <xf numFmtId="0" fontId="11" fillId="21" borderId="0" xfId="0" applyFont="1" applyFill="1" applyAlignment="1">
      <alignment horizontal="left" vertical="center"/>
    </xf>
    <xf numFmtId="0" fontId="3" fillId="16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13" fillId="6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center" vertical="center" wrapText="1"/>
    </xf>
    <xf numFmtId="0" fontId="0" fillId="14" borderId="0" xfId="0" applyFill="1" applyAlignment="1">
      <alignment horizontal="center" vertical="center"/>
    </xf>
    <xf numFmtId="0" fontId="3" fillId="19" borderId="0" xfId="0" applyFont="1" applyFill="1" applyAlignment="1">
      <alignment horizontal="center" vertical="center" wrapText="1"/>
    </xf>
    <xf numFmtId="0" fontId="3" fillId="19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14" borderId="0" xfId="0" applyFill="1" applyAlignment="1">
      <alignment horizontal="left" vertical="center"/>
    </xf>
    <xf numFmtId="0" fontId="15" fillId="20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3" fillId="16" borderId="0" xfId="0" applyFont="1" applyFill="1" applyAlignment="1">
      <alignment horizontal="center" vertical="center" wrapText="1"/>
    </xf>
    <xf numFmtId="0" fontId="0" fillId="16" borderId="0" xfId="0" applyFill="1" applyAlignment="1">
      <alignment horizontal="left" vertical="center"/>
    </xf>
    <xf numFmtId="0" fontId="13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3" fillId="16" borderId="0" xfId="0" applyFont="1" applyFill="1" applyAlignment="1">
      <alignment horizontal="left" vertical="center"/>
    </xf>
    <xf numFmtId="0" fontId="13" fillId="6" borderId="0" xfId="0" applyFont="1" applyFill="1" applyAlignment="1">
      <alignment horizontal="left" vertical="center"/>
    </xf>
    <xf numFmtId="0" fontId="14" fillId="8" borderId="0" xfId="0" applyFont="1" applyFill="1" applyAlignment="1">
      <alignment horizontal="left" vertical="center"/>
    </xf>
    <xf numFmtId="0" fontId="3" fillId="0" borderId="0" xfId="0" applyFont="1" applyFill="1"/>
    <xf numFmtId="3" fontId="2" fillId="0" borderId="0" xfId="1" applyNumberFormat="1" applyFill="1"/>
    <xf numFmtId="0" fontId="1" fillId="0" borderId="0" xfId="0" applyFont="1" applyFill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B0E00E0E-E35F-430D-8665-E3B07BF7FE4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05.xml"/><Relationship Id="rId21" Type="http://schemas.openxmlformats.org/officeDocument/2006/relationships/externalLink" Target="externalLinks/externalLink9.xml"/><Relationship Id="rId42" Type="http://schemas.openxmlformats.org/officeDocument/2006/relationships/externalLink" Target="externalLinks/externalLink30.xml"/><Relationship Id="rId63" Type="http://schemas.openxmlformats.org/officeDocument/2006/relationships/externalLink" Target="externalLinks/externalLink51.xml"/><Relationship Id="rId84" Type="http://schemas.openxmlformats.org/officeDocument/2006/relationships/externalLink" Target="externalLinks/externalLink72.xml"/><Relationship Id="rId138" Type="http://schemas.openxmlformats.org/officeDocument/2006/relationships/externalLink" Target="externalLinks/externalLink126.xml"/><Relationship Id="rId159" Type="http://schemas.openxmlformats.org/officeDocument/2006/relationships/externalLink" Target="externalLinks/externalLink147.xml"/><Relationship Id="rId170" Type="http://schemas.openxmlformats.org/officeDocument/2006/relationships/externalLink" Target="externalLinks/externalLink158.xml"/><Relationship Id="rId191" Type="http://schemas.openxmlformats.org/officeDocument/2006/relationships/externalLink" Target="externalLinks/externalLink179.xml"/><Relationship Id="rId205" Type="http://schemas.openxmlformats.org/officeDocument/2006/relationships/externalLink" Target="externalLinks/externalLink193.xml"/><Relationship Id="rId107" Type="http://schemas.openxmlformats.org/officeDocument/2006/relationships/externalLink" Target="externalLinks/externalLink95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20.xml"/><Relationship Id="rId53" Type="http://schemas.openxmlformats.org/officeDocument/2006/relationships/externalLink" Target="externalLinks/externalLink41.xml"/><Relationship Id="rId74" Type="http://schemas.openxmlformats.org/officeDocument/2006/relationships/externalLink" Target="externalLinks/externalLink62.xml"/><Relationship Id="rId128" Type="http://schemas.openxmlformats.org/officeDocument/2006/relationships/externalLink" Target="externalLinks/externalLink116.xml"/><Relationship Id="rId149" Type="http://schemas.openxmlformats.org/officeDocument/2006/relationships/externalLink" Target="externalLinks/externalLink137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83.xml"/><Relationship Id="rId160" Type="http://schemas.openxmlformats.org/officeDocument/2006/relationships/externalLink" Target="externalLinks/externalLink148.xml"/><Relationship Id="rId181" Type="http://schemas.openxmlformats.org/officeDocument/2006/relationships/externalLink" Target="externalLinks/externalLink169.xml"/><Relationship Id="rId216" Type="http://schemas.openxmlformats.org/officeDocument/2006/relationships/sharedStrings" Target="sharedStrings.xml"/><Relationship Id="rId22" Type="http://schemas.openxmlformats.org/officeDocument/2006/relationships/externalLink" Target="externalLinks/externalLink10.xml"/><Relationship Id="rId43" Type="http://schemas.openxmlformats.org/officeDocument/2006/relationships/externalLink" Target="externalLinks/externalLink31.xml"/><Relationship Id="rId64" Type="http://schemas.openxmlformats.org/officeDocument/2006/relationships/externalLink" Target="externalLinks/externalLink52.xml"/><Relationship Id="rId118" Type="http://schemas.openxmlformats.org/officeDocument/2006/relationships/externalLink" Target="externalLinks/externalLink106.xml"/><Relationship Id="rId139" Type="http://schemas.openxmlformats.org/officeDocument/2006/relationships/externalLink" Target="externalLinks/externalLink127.xml"/><Relationship Id="rId85" Type="http://schemas.openxmlformats.org/officeDocument/2006/relationships/externalLink" Target="externalLinks/externalLink73.xml"/><Relationship Id="rId150" Type="http://schemas.openxmlformats.org/officeDocument/2006/relationships/externalLink" Target="externalLinks/externalLink138.xml"/><Relationship Id="rId171" Type="http://schemas.openxmlformats.org/officeDocument/2006/relationships/externalLink" Target="externalLinks/externalLink159.xml"/><Relationship Id="rId192" Type="http://schemas.openxmlformats.org/officeDocument/2006/relationships/externalLink" Target="externalLinks/externalLink180.xml"/><Relationship Id="rId206" Type="http://schemas.openxmlformats.org/officeDocument/2006/relationships/externalLink" Target="externalLinks/externalLink194.xml"/><Relationship Id="rId12" Type="http://schemas.openxmlformats.org/officeDocument/2006/relationships/worksheet" Target="worksheets/sheet12.xml"/><Relationship Id="rId33" Type="http://schemas.openxmlformats.org/officeDocument/2006/relationships/externalLink" Target="externalLinks/externalLink21.xml"/><Relationship Id="rId108" Type="http://schemas.openxmlformats.org/officeDocument/2006/relationships/externalLink" Target="externalLinks/externalLink96.xml"/><Relationship Id="rId129" Type="http://schemas.openxmlformats.org/officeDocument/2006/relationships/externalLink" Target="externalLinks/externalLink117.xml"/><Relationship Id="rId54" Type="http://schemas.openxmlformats.org/officeDocument/2006/relationships/externalLink" Target="externalLinks/externalLink42.xml"/><Relationship Id="rId75" Type="http://schemas.openxmlformats.org/officeDocument/2006/relationships/externalLink" Target="externalLinks/externalLink63.xml"/><Relationship Id="rId96" Type="http://schemas.openxmlformats.org/officeDocument/2006/relationships/externalLink" Target="externalLinks/externalLink84.xml"/><Relationship Id="rId140" Type="http://schemas.openxmlformats.org/officeDocument/2006/relationships/externalLink" Target="externalLinks/externalLink128.xml"/><Relationship Id="rId161" Type="http://schemas.openxmlformats.org/officeDocument/2006/relationships/externalLink" Target="externalLinks/externalLink149.xml"/><Relationship Id="rId182" Type="http://schemas.openxmlformats.org/officeDocument/2006/relationships/externalLink" Target="externalLinks/externalLink170.xml"/><Relationship Id="rId217" Type="http://schemas.openxmlformats.org/officeDocument/2006/relationships/sheetMetadata" Target="metadata.xml"/><Relationship Id="rId6" Type="http://schemas.openxmlformats.org/officeDocument/2006/relationships/worksheet" Target="worksheets/sheet6.xml"/><Relationship Id="rId23" Type="http://schemas.openxmlformats.org/officeDocument/2006/relationships/externalLink" Target="externalLinks/externalLink11.xml"/><Relationship Id="rId119" Type="http://schemas.openxmlformats.org/officeDocument/2006/relationships/externalLink" Target="externalLinks/externalLink107.xml"/><Relationship Id="rId44" Type="http://schemas.openxmlformats.org/officeDocument/2006/relationships/externalLink" Target="externalLinks/externalLink32.xml"/><Relationship Id="rId65" Type="http://schemas.openxmlformats.org/officeDocument/2006/relationships/externalLink" Target="externalLinks/externalLink53.xml"/><Relationship Id="rId86" Type="http://schemas.openxmlformats.org/officeDocument/2006/relationships/externalLink" Target="externalLinks/externalLink74.xml"/><Relationship Id="rId130" Type="http://schemas.openxmlformats.org/officeDocument/2006/relationships/externalLink" Target="externalLinks/externalLink118.xml"/><Relationship Id="rId151" Type="http://schemas.openxmlformats.org/officeDocument/2006/relationships/externalLink" Target="externalLinks/externalLink139.xml"/><Relationship Id="rId172" Type="http://schemas.openxmlformats.org/officeDocument/2006/relationships/externalLink" Target="externalLinks/externalLink160.xml"/><Relationship Id="rId193" Type="http://schemas.openxmlformats.org/officeDocument/2006/relationships/externalLink" Target="externalLinks/externalLink181.xml"/><Relationship Id="rId207" Type="http://schemas.openxmlformats.org/officeDocument/2006/relationships/externalLink" Target="externalLinks/externalLink195.xml"/><Relationship Id="rId13" Type="http://schemas.openxmlformats.org/officeDocument/2006/relationships/externalLink" Target="externalLinks/externalLink1.xml"/><Relationship Id="rId109" Type="http://schemas.openxmlformats.org/officeDocument/2006/relationships/externalLink" Target="externalLinks/externalLink97.xml"/><Relationship Id="rId34" Type="http://schemas.openxmlformats.org/officeDocument/2006/relationships/externalLink" Target="externalLinks/externalLink22.xml"/><Relationship Id="rId55" Type="http://schemas.openxmlformats.org/officeDocument/2006/relationships/externalLink" Target="externalLinks/externalLink43.xml"/><Relationship Id="rId76" Type="http://schemas.openxmlformats.org/officeDocument/2006/relationships/externalLink" Target="externalLinks/externalLink64.xml"/><Relationship Id="rId97" Type="http://schemas.openxmlformats.org/officeDocument/2006/relationships/externalLink" Target="externalLinks/externalLink85.xml"/><Relationship Id="rId120" Type="http://schemas.openxmlformats.org/officeDocument/2006/relationships/externalLink" Target="externalLinks/externalLink108.xml"/><Relationship Id="rId141" Type="http://schemas.openxmlformats.org/officeDocument/2006/relationships/externalLink" Target="externalLinks/externalLink129.xml"/><Relationship Id="rId7" Type="http://schemas.openxmlformats.org/officeDocument/2006/relationships/worksheet" Target="worksheets/sheet7.xml"/><Relationship Id="rId162" Type="http://schemas.openxmlformats.org/officeDocument/2006/relationships/externalLink" Target="externalLinks/externalLink150.xml"/><Relationship Id="rId183" Type="http://schemas.openxmlformats.org/officeDocument/2006/relationships/externalLink" Target="externalLinks/externalLink171.xml"/><Relationship Id="rId218" Type="http://schemas.microsoft.com/office/2017/10/relationships/person" Target="persons/person.xml"/><Relationship Id="rId24" Type="http://schemas.openxmlformats.org/officeDocument/2006/relationships/externalLink" Target="externalLinks/externalLink12.xml"/><Relationship Id="rId45" Type="http://schemas.openxmlformats.org/officeDocument/2006/relationships/externalLink" Target="externalLinks/externalLink33.xml"/><Relationship Id="rId66" Type="http://schemas.openxmlformats.org/officeDocument/2006/relationships/externalLink" Target="externalLinks/externalLink54.xml"/><Relationship Id="rId87" Type="http://schemas.openxmlformats.org/officeDocument/2006/relationships/externalLink" Target="externalLinks/externalLink75.xml"/><Relationship Id="rId110" Type="http://schemas.openxmlformats.org/officeDocument/2006/relationships/externalLink" Target="externalLinks/externalLink98.xml"/><Relationship Id="rId131" Type="http://schemas.openxmlformats.org/officeDocument/2006/relationships/externalLink" Target="externalLinks/externalLink119.xml"/><Relationship Id="rId152" Type="http://schemas.openxmlformats.org/officeDocument/2006/relationships/externalLink" Target="externalLinks/externalLink140.xml"/><Relationship Id="rId173" Type="http://schemas.openxmlformats.org/officeDocument/2006/relationships/externalLink" Target="externalLinks/externalLink161.xml"/><Relationship Id="rId194" Type="http://schemas.openxmlformats.org/officeDocument/2006/relationships/externalLink" Target="externalLinks/externalLink182.xml"/><Relationship Id="rId208" Type="http://schemas.openxmlformats.org/officeDocument/2006/relationships/externalLink" Target="externalLinks/externalLink196.xml"/><Relationship Id="rId14" Type="http://schemas.openxmlformats.org/officeDocument/2006/relationships/externalLink" Target="externalLinks/externalLink2.xml"/><Relationship Id="rId30" Type="http://schemas.openxmlformats.org/officeDocument/2006/relationships/externalLink" Target="externalLinks/externalLink18.xml"/><Relationship Id="rId35" Type="http://schemas.openxmlformats.org/officeDocument/2006/relationships/externalLink" Target="externalLinks/externalLink23.xml"/><Relationship Id="rId56" Type="http://schemas.openxmlformats.org/officeDocument/2006/relationships/externalLink" Target="externalLinks/externalLink44.xml"/><Relationship Id="rId77" Type="http://schemas.openxmlformats.org/officeDocument/2006/relationships/externalLink" Target="externalLinks/externalLink65.xml"/><Relationship Id="rId100" Type="http://schemas.openxmlformats.org/officeDocument/2006/relationships/externalLink" Target="externalLinks/externalLink88.xml"/><Relationship Id="rId105" Type="http://schemas.openxmlformats.org/officeDocument/2006/relationships/externalLink" Target="externalLinks/externalLink93.xml"/><Relationship Id="rId126" Type="http://schemas.openxmlformats.org/officeDocument/2006/relationships/externalLink" Target="externalLinks/externalLink114.xml"/><Relationship Id="rId147" Type="http://schemas.openxmlformats.org/officeDocument/2006/relationships/externalLink" Target="externalLinks/externalLink135.xml"/><Relationship Id="rId168" Type="http://schemas.openxmlformats.org/officeDocument/2006/relationships/externalLink" Target="externalLinks/externalLink156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9.xml"/><Relationship Id="rId72" Type="http://schemas.openxmlformats.org/officeDocument/2006/relationships/externalLink" Target="externalLinks/externalLink60.xml"/><Relationship Id="rId93" Type="http://schemas.openxmlformats.org/officeDocument/2006/relationships/externalLink" Target="externalLinks/externalLink81.xml"/><Relationship Id="rId98" Type="http://schemas.openxmlformats.org/officeDocument/2006/relationships/externalLink" Target="externalLinks/externalLink86.xml"/><Relationship Id="rId121" Type="http://schemas.openxmlformats.org/officeDocument/2006/relationships/externalLink" Target="externalLinks/externalLink109.xml"/><Relationship Id="rId142" Type="http://schemas.openxmlformats.org/officeDocument/2006/relationships/externalLink" Target="externalLinks/externalLink130.xml"/><Relationship Id="rId163" Type="http://schemas.openxmlformats.org/officeDocument/2006/relationships/externalLink" Target="externalLinks/externalLink151.xml"/><Relationship Id="rId184" Type="http://schemas.openxmlformats.org/officeDocument/2006/relationships/externalLink" Target="externalLinks/externalLink172.xml"/><Relationship Id="rId189" Type="http://schemas.openxmlformats.org/officeDocument/2006/relationships/externalLink" Target="externalLinks/externalLink177.xml"/><Relationship Id="rId219" Type="http://schemas.openxmlformats.org/officeDocument/2006/relationships/calcChain" Target="calcChain.xml"/><Relationship Id="rId3" Type="http://schemas.openxmlformats.org/officeDocument/2006/relationships/worksheet" Target="worksheets/sheet3.xml"/><Relationship Id="rId214" Type="http://schemas.openxmlformats.org/officeDocument/2006/relationships/theme" Target="theme/theme1.xml"/><Relationship Id="rId25" Type="http://schemas.openxmlformats.org/officeDocument/2006/relationships/externalLink" Target="externalLinks/externalLink13.xml"/><Relationship Id="rId46" Type="http://schemas.openxmlformats.org/officeDocument/2006/relationships/externalLink" Target="externalLinks/externalLink34.xml"/><Relationship Id="rId67" Type="http://schemas.openxmlformats.org/officeDocument/2006/relationships/externalLink" Target="externalLinks/externalLink55.xml"/><Relationship Id="rId116" Type="http://schemas.openxmlformats.org/officeDocument/2006/relationships/externalLink" Target="externalLinks/externalLink104.xml"/><Relationship Id="rId137" Type="http://schemas.openxmlformats.org/officeDocument/2006/relationships/externalLink" Target="externalLinks/externalLink125.xml"/><Relationship Id="rId158" Type="http://schemas.openxmlformats.org/officeDocument/2006/relationships/externalLink" Target="externalLinks/externalLink146.xml"/><Relationship Id="rId20" Type="http://schemas.openxmlformats.org/officeDocument/2006/relationships/externalLink" Target="externalLinks/externalLink8.xml"/><Relationship Id="rId41" Type="http://schemas.openxmlformats.org/officeDocument/2006/relationships/externalLink" Target="externalLinks/externalLink29.xml"/><Relationship Id="rId62" Type="http://schemas.openxmlformats.org/officeDocument/2006/relationships/externalLink" Target="externalLinks/externalLink50.xml"/><Relationship Id="rId83" Type="http://schemas.openxmlformats.org/officeDocument/2006/relationships/externalLink" Target="externalLinks/externalLink71.xml"/><Relationship Id="rId88" Type="http://schemas.openxmlformats.org/officeDocument/2006/relationships/externalLink" Target="externalLinks/externalLink76.xml"/><Relationship Id="rId111" Type="http://schemas.openxmlformats.org/officeDocument/2006/relationships/externalLink" Target="externalLinks/externalLink99.xml"/><Relationship Id="rId132" Type="http://schemas.openxmlformats.org/officeDocument/2006/relationships/externalLink" Target="externalLinks/externalLink120.xml"/><Relationship Id="rId153" Type="http://schemas.openxmlformats.org/officeDocument/2006/relationships/externalLink" Target="externalLinks/externalLink141.xml"/><Relationship Id="rId174" Type="http://schemas.openxmlformats.org/officeDocument/2006/relationships/externalLink" Target="externalLinks/externalLink162.xml"/><Relationship Id="rId179" Type="http://schemas.openxmlformats.org/officeDocument/2006/relationships/externalLink" Target="externalLinks/externalLink167.xml"/><Relationship Id="rId195" Type="http://schemas.openxmlformats.org/officeDocument/2006/relationships/externalLink" Target="externalLinks/externalLink183.xml"/><Relationship Id="rId209" Type="http://schemas.openxmlformats.org/officeDocument/2006/relationships/externalLink" Target="externalLinks/externalLink197.xml"/><Relationship Id="rId190" Type="http://schemas.openxmlformats.org/officeDocument/2006/relationships/externalLink" Target="externalLinks/externalLink178.xml"/><Relationship Id="rId204" Type="http://schemas.openxmlformats.org/officeDocument/2006/relationships/externalLink" Target="externalLinks/externalLink192.xml"/><Relationship Id="rId15" Type="http://schemas.openxmlformats.org/officeDocument/2006/relationships/externalLink" Target="externalLinks/externalLink3.xml"/><Relationship Id="rId36" Type="http://schemas.openxmlformats.org/officeDocument/2006/relationships/externalLink" Target="externalLinks/externalLink24.xml"/><Relationship Id="rId57" Type="http://schemas.openxmlformats.org/officeDocument/2006/relationships/externalLink" Target="externalLinks/externalLink45.xml"/><Relationship Id="rId106" Type="http://schemas.openxmlformats.org/officeDocument/2006/relationships/externalLink" Target="externalLinks/externalLink94.xml"/><Relationship Id="rId127" Type="http://schemas.openxmlformats.org/officeDocument/2006/relationships/externalLink" Target="externalLinks/externalLink115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9.xml"/><Relationship Id="rId52" Type="http://schemas.openxmlformats.org/officeDocument/2006/relationships/externalLink" Target="externalLinks/externalLink40.xml"/><Relationship Id="rId73" Type="http://schemas.openxmlformats.org/officeDocument/2006/relationships/externalLink" Target="externalLinks/externalLink61.xml"/><Relationship Id="rId78" Type="http://schemas.openxmlformats.org/officeDocument/2006/relationships/externalLink" Target="externalLinks/externalLink66.xml"/><Relationship Id="rId94" Type="http://schemas.openxmlformats.org/officeDocument/2006/relationships/externalLink" Target="externalLinks/externalLink82.xml"/><Relationship Id="rId99" Type="http://schemas.openxmlformats.org/officeDocument/2006/relationships/externalLink" Target="externalLinks/externalLink87.xml"/><Relationship Id="rId101" Type="http://schemas.openxmlformats.org/officeDocument/2006/relationships/externalLink" Target="externalLinks/externalLink89.xml"/><Relationship Id="rId122" Type="http://schemas.openxmlformats.org/officeDocument/2006/relationships/externalLink" Target="externalLinks/externalLink110.xml"/><Relationship Id="rId143" Type="http://schemas.openxmlformats.org/officeDocument/2006/relationships/externalLink" Target="externalLinks/externalLink131.xml"/><Relationship Id="rId148" Type="http://schemas.openxmlformats.org/officeDocument/2006/relationships/externalLink" Target="externalLinks/externalLink136.xml"/><Relationship Id="rId164" Type="http://schemas.openxmlformats.org/officeDocument/2006/relationships/externalLink" Target="externalLinks/externalLink152.xml"/><Relationship Id="rId169" Type="http://schemas.openxmlformats.org/officeDocument/2006/relationships/externalLink" Target="externalLinks/externalLink157.xml"/><Relationship Id="rId185" Type="http://schemas.openxmlformats.org/officeDocument/2006/relationships/externalLink" Target="externalLinks/externalLink1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externalLink" Target="externalLinks/externalLink168.xml"/><Relationship Id="rId210" Type="http://schemas.openxmlformats.org/officeDocument/2006/relationships/externalLink" Target="externalLinks/externalLink198.xml"/><Relationship Id="rId215" Type="http://schemas.openxmlformats.org/officeDocument/2006/relationships/styles" Target="styles.xml"/><Relationship Id="rId26" Type="http://schemas.openxmlformats.org/officeDocument/2006/relationships/externalLink" Target="externalLinks/externalLink14.xml"/><Relationship Id="rId47" Type="http://schemas.openxmlformats.org/officeDocument/2006/relationships/externalLink" Target="externalLinks/externalLink35.xml"/><Relationship Id="rId68" Type="http://schemas.openxmlformats.org/officeDocument/2006/relationships/externalLink" Target="externalLinks/externalLink56.xml"/><Relationship Id="rId89" Type="http://schemas.openxmlformats.org/officeDocument/2006/relationships/externalLink" Target="externalLinks/externalLink77.xml"/><Relationship Id="rId112" Type="http://schemas.openxmlformats.org/officeDocument/2006/relationships/externalLink" Target="externalLinks/externalLink100.xml"/><Relationship Id="rId133" Type="http://schemas.openxmlformats.org/officeDocument/2006/relationships/externalLink" Target="externalLinks/externalLink121.xml"/><Relationship Id="rId154" Type="http://schemas.openxmlformats.org/officeDocument/2006/relationships/externalLink" Target="externalLinks/externalLink142.xml"/><Relationship Id="rId175" Type="http://schemas.openxmlformats.org/officeDocument/2006/relationships/externalLink" Target="externalLinks/externalLink163.xml"/><Relationship Id="rId196" Type="http://schemas.openxmlformats.org/officeDocument/2006/relationships/externalLink" Target="externalLinks/externalLink184.xml"/><Relationship Id="rId200" Type="http://schemas.openxmlformats.org/officeDocument/2006/relationships/externalLink" Target="externalLinks/externalLink188.xml"/><Relationship Id="rId16" Type="http://schemas.openxmlformats.org/officeDocument/2006/relationships/externalLink" Target="externalLinks/externalLink4.xml"/><Relationship Id="rId37" Type="http://schemas.openxmlformats.org/officeDocument/2006/relationships/externalLink" Target="externalLinks/externalLink25.xml"/><Relationship Id="rId58" Type="http://schemas.openxmlformats.org/officeDocument/2006/relationships/externalLink" Target="externalLinks/externalLink46.xml"/><Relationship Id="rId79" Type="http://schemas.openxmlformats.org/officeDocument/2006/relationships/externalLink" Target="externalLinks/externalLink67.xml"/><Relationship Id="rId102" Type="http://schemas.openxmlformats.org/officeDocument/2006/relationships/externalLink" Target="externalLinks/externalLink90.xml"/><Relationship Id="rId123" Type="http://schemas.openxmlformats.org/officeDocument/2006/relationships/externalLink" Target="externalLinks/externalLink111.xml"/><Relationship Id="rId144" Type="http://schemas.openxmlformats.org/officeDocument/2006/relationships/externalLink" Target="externalLinks/externalLink132.xml"/><Relationship Id="rId90" Type="http://schemas.openxmlformats.org/officeDocument/2006/relationships/externalLink" Target="externalLinks/externalLink78.xml"/><Relationship Id="rId165" Type="http://schemas.openxmlformats.org/officeDocument/2006/relationships/externalLink" Target="externalLinks/externalLink153.xml"/><Relationship Id="rId186" Type="http://schemas.openxmlformats.org/officeDocument/2006/relationships/externalLink" Target="externalLinks/externalLink174.xml"/><Relationship Id="rId211" Type="http://schemas.openxmlformats.org/officeDocument/2006/relationships/externalLink" Target="externalLinks/externalLink199.xml"/><Relationship Id="rId27" Type="http://schemas.openxmlformats.org/officeDocument/2006/relationships/externalLink" Target="externalLinks/externalLink15.xml"/><Relationship Id="rId48" Type="http://schemas.openxmlformats.org/officeDocument/2006/relationships/externalLink" Target="externalLinks/externalLink36.xml"/><Relationship Id="rId69" Type="http://schemas.openxmlformats.org/officeDocument/2006/relationships/externalLink" Target="externalLinks/externalLink57.xml"/><Relationship Id="rId113" Type="http://schemas.openxmlformats.org/officeDocument/2006/relationships/externalLink" Target="externalLinks/externalLink101.xml"/><Relationship Id="rId134" Type="http://schemas.openxmlformats.org/officeDocument/2006/relationships/externalLink" Target="externalLinks/externalLink122.xml"/><Relationship Id="rId80" Type="http://schemas.openxmlformats.org/officeDocument/2006/relationships/externalLink" Target="externalLinks/externalLink68.xml"/><Relationship Id="rId155" Type="http://schemas.openxmlformats.org/officeDocument/2006/relationships/externalLink" Target="externalLinks/externalLink143.xml"/><Relationship Id="rId176" Type="http://schemas.openxmlformats.org/officeDocument/2006/relationships/externalLink" Target="externalLinks/externalLink164.xml"/><Relationship Id="rId197" Type="http://schemas.openxmlformats.org/officeDocument/2006/relationships/externalLink" Target="externalLinks/externalLink185.xml"/><Relationship Id="rId201" Type="http://schemas.openxmlformats.org/officeDocument/2006/relationships/externalLink" Target="externalLinks/externalLink189.xml"/><Relationship Id="rId17" Type="http://schemas.openxmlformats.org/officeDocument/2006/relationships/externalLink" Target="externalLinks/externalLink5.xml"/><Relationship Id="rId38" Type="http://schemas.openxmlformats.org/officeDocument/2006/relationships/externalLink" Target="externalLinks/externalLink26.xml"/><Relationship Id="rId59" Type="http://schemas.openxmlformats.org/officeDocument/2006/relationships/externalLink" Target="externalLinks/externalLink47.xml"/><Relationship Id="rId103" Type="http://schemas.openxmlformats.org/officeDocument/2006/relationships/externalLink" Target="externalLinks/externalLink91.xml"/><Relationship Id="rId124" Type="http://schemas.openxmlformats.org/officeDocument/2006/relationships/externalLink" Target="externalLinks/externalLink112.xml"/><Relationship Id="rId70" Type="http://schemas.openxmlformats.org/officeDocument/2006/relationships/externalLink" Target="externalLinks/externalLink58.xml"/><Relationship Id="rId91" Type="http://schemas.openxmlformats.org/officeDocument/2006/relationships/externalLink" Target="externalLinks/externalLink79.xml"/><Relationship Id="rId145" Type="http://schemas.openxmlformats.org/officeDocument/2006/relationships/externalLink" Target="externalLinks/externalLink133.xml"/><Relationship Id="rId166" Type="http://schemas.openxmlformats.org/officeDocument/2006/relationships/externalLink" Target="externalLinks/externalLink154.xml"/><Relationship Id="rId187" Type="http://schemas.openxmlformats.org/officeDocument/2006/relationships/externalLink" Target="externalLinks/externalLink175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00.xml"/><Relationship Id="rId28" Type="http://schemas.openxmlformats.org/officeDocument/2006/relationships/externalLink" Target="externalLinks/externalLink16.xml"/><Relationship Id="rId49" Type="http://schemas.openxmlformats.org/officeDocument/2006/relationships/externalLink" Target="externalLinks/externalLink37.xml"/><Relationship Id="rId114" Type="http://schemas.openxmlformats.org/officeDocument/2006/relationships/externalLink" Target="externalLinks/externalLink102.xml"/><Relationship Id="rId60" Type="http://schemas.openxmlformats.org/officeDocument/2006/relationships/externalLink" Target="externalLinks/externalLink48.xml"/><Relationship Id="rId81" Type="http://schemas.openxmlformats.org/officeDocument/2006/relationships/externalLink" Target="externalLinks/externalLink69.xml"/><Relationship Id="rId135" Type="http://schemas.openxmlformats.org/officeDocument/2006/relationships/externalLink" Target="externalLinks/externalLink123.xml"/><Relationship Id="rId156" Type="http://schemas.openxmlformats.org/officeDocument/2006/relationships/externalLink" Target="externalLinks/externalLink144.xml"/><Relationship Id="rId177" Type="http://schemas.openxmlformats.org/officeDocument/2006/relationships/externalLink" Target="externalLinks/externalLink165.xml"/><Relationship Id="rId198" Type="http://schemas.openxmlformats.org/officeDocument/2006/relationships/externalLink" Target="externalLinks/externalLink186.xml"/><Relationship Id="rId202" Type="http://schemas.openxmlformats.org/officeDocument/2006/relationships/externalLink" Target="externalLinks/externalLink190.xml"/><Relationship Id="rId18" Type="http://schemas.openxmlformats.org/officeDocument/2006/relationships/externalLink" Target="externalLinks/externalLink6.xml"/><Relationship Id="rId39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38.xml"/><Relationship Id="rId104" Type="http://schemas.openxmlformats.org/officeDocument/2006/relationships/externalLink" Target="externalLinks/externalLink92.xml"/><Relationship Id="rId125" Type="http://schemas.openxmlformats.org/officeDocument/2006/relationships/externalLink" Target="externalLinks/externalLink113.xml"/><Relationship Id="rId146" Type="http://schemas.openxmlformats.org/officeDocument/2006/relationships/externalLink" Target="externalLinks/externalLink134.xml"/><Relationship Id="rId167" Type="http://schemas.openxmlformats.org/officeDocument/2006/relationships/externalLink" Target="externalLinks/externalLink155.xml"/><Relationship Id="rId188" Type="http://schemas.openxmlformats.org/officeDocument/2006/relationships/externalLink" Target="externalLinks/externalLink176.xml"/><Relationship Id="rId71" Type="http://schemas.openxmlformats.org/officeDocument/2006/relationships/externalLink" Target="externalLinks/externalLink59.xml"/><Relationship Id="rId92" Type="http://schemas.openxmlformats.org/officeDocument/2006/relationships/externalLink" Target="externalLinks/externalLink80.xml"/><Relationship Id="rId213" Type="http://schemas.openxmlformats.org/officeDocument/2006/relationships/externalLink" Target="externalLinks/externalLink201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28.xml"/><Relationship Id="rId115" Type="http://schemas.openxmlformats.org/officeDocument/2006/relationships/externalLink" Target="externalLinks/externalLink103.xml"/><Relationship Id="rId136" Type="http://schemas.openxmlformats.org/officeDocument/2006/relationships/externalLink" Target="externalLinks/externalLink124.xml"/><Relationship Id="rId157" Type="http://schemas.openxmlformats.org/officeDocument/2006/relationships/externalLink" Target="externalLinks/externalLink145.xml"/><Relationship Id="rId178" Type="http://schemas.openxmlformats.org/officeDocument/2006/relationships/externalLink" Target="externalLinks/externalLink166.xml"/><Relationship Id="rId61" Type="http://schemas.openxmlformats.org/officeDocument/2006/relationships/externalLink" Target="externalLinks/externalLink49.xml"/><Relationship Id="rId82" Type="http://schemas.openxmlformats.org/officeDocument/2006/relationships/externalLink" Target="externalLinks/externalLink70.xml"/><Relationship Id="rId199" Type="http://schemas.openxmlformats.org/officeDocument/2006/relationships/externalLink" Target="externalLinks/externalLink187.xml"/><Relationship Id="rId203" Type="http://schemas.openxmlformats.org/officeDocument/2006/relationships/externalLink" Target="externalLinks/externalLink191.xml"/><Relationship Id="rId19" Type="http://schemas.openxmlformats.org/officeDocument/2006/relationships/externalLink" Target="externalLinks/externalLink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157</xdr:col>
      <xdr:colOff>629478</xdr:colOff>
      <xdr:row>21</xdr:row>
      <xdr:rowOff>132521</xdr:rowOff>
    </xdr:from>
    <xdr:to>
      <xdr:col>157</xdr:col>
      <xdr:colOff>629478</xdr:colOff>
      <xdr:row>38</xdr:row>
      <xdr:rowOff>66261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BC2DEFEB-7437-59D1-9E00-EAA38C25AC65}"/>
            </a:ext>
          </a:extLst>
        </xdr:cNvPr>
        <xdr:cNvCxnSpPr/>
      </xdr:nvCxnSpPr>
      <xdr:spPr>
        <a:xfrm flipV="1">
          <a:off x="106588891" y="3611217"/>
          <a:ext cx="0" cy="159026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LLY.xlsx" TargetMode="External"/><Relationship Id="rId1" Type="http://schemas.openxmlformats.org/officeDocument/2006/relationships/externalLinkPath" Target="LL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JNJ.xlsx" TargetMode="External"/><Relationship Id="rId1" Type="http://schemas.openxmlformats.org/officeDocument/2006/relationships/externalLinkPath" Target="JNJ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BBV.xlsx" TargetMode="External"/><Relationship Id="rId1" Type="http://schemas.openxmlformats.org/officeDocument/2006/relationships/externalLinkPath" Target="ABBV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ZN.xlsx" TargetMode="External"/><Relationship Id="rId1" Type="http://schemas.openxmlformats.org/officeDocument/2006/relationships/externalLinkPath" Target="AZN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NOVOB.xlsx" TargetMode="External"/><Relationship Id="rId1" Type="http://schemas.openxmlformats.org/officeDocument/2006/relationships/externalLinkPath" Target="NOVOB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ROG%20VX.xlsx" TargetMode="External"/><Relationship Id="rId1" Type="http://schemas.openxmlformats.org/officeDocument/2006/relationships/externalLinkPath" Target="ROG%20VX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NVS.xlsx" TargetMode="External"/><Relationship Id="rId1" Type="http://schemas.openxmlformats.org/officeDocument/2006/relationships/externalLinkPath" Target="NVS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MRK.xlsx" TargetMode="External"/><Relationship Id="rId1" Type="http://schemas.openxmlformats.org/officeDocument/2006/relationships/externalLinkPath" Target="MRK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AMGN.xlsx" TargetMode="External"/><Relationship Id="rId1" Type="http://schemas.openxmlformats.org/officeDocument/2006/relationships/externalLinkPath" Target="AMGN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PFE.xlsx" TargetMode="External"/><Relationship Id="rId1" Type="http://schemas.openxmlformats.org/officeDocument/2006/relationships/externalLinkPath" Target="PF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GILD.xlsx" TargetMode="External"/><Relationship Id="rId1" Type="http://schemas.openxmlformats.org/officeDocument/2006/relationships/externalLinkPath" Target="GIL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9ffda80931a57275/Models%20Backup/SAN%20FP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SAN%20FP.xlsx" TargetMode="External"/><Relationship Id="rId1" Type="http://schemas.openxmlformats.org/officeDocument/2006/relationships/externalLinkPath" Target="SAN%20FP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BMY.xlsx" TargetMode="External"/><Relationship Id="rId1" Type="http://schemas.openxmlformats.org/officeDocument/2006/relationships/externalLinkPath" Target="BMY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VRTX.xlsx" TargetMode="External"/><Relationship Id="rId1" Type="http://schemas.openxmlformats.org/officeDocument/2006/relationships/externalLinkPath" Target="VRTX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GSK.xlsx" TargetMode="External"/><Relationship Id="rId1" Type="http://schemas.openxmlformats.org/officeDocument/2006/relationships/externalLinkPath" Target="GSK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CSL%20AU.xlsx" TargetMode="External"/><Relationship Id="rId1" Type="http://schemas.openxmlformats.org/officeDocument/2006/relationships/externalLinkPath" Target="CSL%20AU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4502%20Takeda.xlsx" TargetMode="External"/><Relationship Id="rId1" Type="http://schemas.openxmlformats.org/officeDocument/2006/relationships/externalLinkPath" Target="4502%20Takeda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4519%20Chugai.xlsx" TargetMode="External"/><Relationship Id="rId1" Type="http://schemas.openxmlformats.org/officeDocument/2006/relationships/externalLinkPath" Target="4519%20Chugai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MRK%20GR.xlsx" TargetMode="External"/><Relationship Id="rId1" Type="http://schemas.openxmlformats.org/officeDocument/2006/relationships/externalLinkPath" Target="MRK%20GR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BAYN%20GY.xlsx" TargetMode="External"/><Relationship Id="rId1" Type="http://schemas.openxmlformats.org/officeDocument/2006/relationships/externalLinkPath" Target="BAYN%20GY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REGN.xlsx" TargetMode="External"/><Relationship Id="rId1" Type="http://schemas.openxmlformats.org/officeDocument/2006/relationships/externalLinkPath" Target="REGN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Sun%20Pharmaceutical.xlsx" TargetMode="External"/><Relationship Id="rId1" Type="http://schemas.openxmlformats.org/officeDocument/2006/relationships/externalLinkPath" Target="Sun%20Pharmaceutical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207940%20Samsung%20Biologics.xlsx" TargetMode="External"/><Relationship Id="rId1" Type="http://schemas.openxmlformats.org/officeDocument/2006/relationships/externalLinkPath" Target="207940%20Samsung%20Biologics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4568%20JP%20Daiichi%20Sankyo.xlsx" TargetMode="External"/><Relationship Id="rId1" Type="http://schemas.openxmlformats.org/officeDocument/2006/relationships/externalLinkPath" Target="4568%20JP%20Daiichi%20Sankyo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UCB.xlsx" TargetMode="External"/><Relationship Id="rId1" Type="http://schemas.openxmlformats.org/officeDocument/2006/relationships/externalLinkPath" Target="UCB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TEVA.xlsx" TargetMode="External"/><Relationship Id="rId1" Type="http://schemas.openxmlformats.org/officeDocument/2006/relationships/externalLinkPath" Target="TEVA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ALNY.xlsx" TargetMode="External"/><Relationship Id="rId1" Type="http://schemas.openxmlformats.org/officeDocument/2006/relationships/externalLinkPath" Target="ALN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RGX.xlsx" TargetMode="External"/><Relationship Id="rId1" Type="http://schemas.openxmlformats.org/officeDocument/2006/relationships/externalLinkPath" Target="ARGX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BAX.xlsx" TargetMode="External"/><Relationship Id="rId1" Type="http://schemas.openxmlformats.org/officeDocument/2006/relationships/externalLinkPath" Target="BAX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VTRS.xlsx" TargetMode="External"/><Relationship Id="rId1" Type="http://schemas.openxmlformats.org/officeDocument/2006/relationships/externalLinkPath" Target="VTRS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BGNE.xlsx" TargetMode="External"/><Relationship Id="rId1" Type="http://schemas.openxmlformats.org/officeDocument/2006/relationships/externalLinkPath" Target="BGNE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4503%20JP.xlsx" TargetMode="External"/><Relationship Id="rId1" Type="http://schemas.openxmlformats.org/officeDocument/2006/relationships/externalLinkPath" Target="4503%20JP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4578%20Otsuka.xlsx" TargetMode="External"/><Relationship Id="rId1" Type="http://schemas.openxmlformats.org/officeDocument/2006/relationships/externalLinkPath" Target="4578%20Otsuka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RPRX.xlsx" TargetMode="External"/><Relationship Id="rId1" Type="http://schemas.openxmlformats.org/officeDocument/2006/relationships/externalLinkPath" Target="RPRX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BIIB.xlsx" TargetMode="External"/><Relationship Id="rId1" Type="http://schemas.openxmlformats.org/officeDocument/2006/relationships/externalLinkPath" Target="BIIB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SMMT.xlsx" TargetMode="External"/><Relationship Id="rId1" Type="http://schemas.openxmlformats.org/officeDocument/2006/relationships/externalLinkPath" Target="SMMT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068270%20Celltrion.xlsx" TargetMode="External"/><Relationship Id="rId1" Type="http://schemas.openxmlformats.org/officeDocument/2006/relationships/externalLinkPath" Target="068270%20Celltrion.xlsx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GRFS.xlsx" TargetMode="External"/><Relationship Id="rId1" Type="http://schemas.openxmlformats.org/officeDocument/2006/relationships/externalLinkPath" Target="GRFS.xlsx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INSM.xlsx" TargetMode="External"/><Relationship Id="rId1" Type="http://schemas.openxmlformats.org/officeDocument/2006/relationships/externalLinkPath" Target="INSM.xlsx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BMRN.xlsx" TargetMode="External"/><Relationship Id="rId1" Type="http://schemas.openxmlformats.org/officeDocument/2006/relationships/externalLinkPath" Target="BMRN.xlsx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GMAB.xlsx" TargetMode="External"/><Relationship Id="rId1" Type="http://schemas.openxmlformats.org/officeDocument/2006/relationships/externalLinkPath" Target="GMAB.xlsx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3692%20HK%20Hansoh.xlsx" TargetMode="External"/><Relationship Id="rId1" Type="http://schemas.openxmlformats.org/officeDocument/2006/relationships/externalLinkPath" Target="3692%20HK%20Hansoh.xlsx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UTHR.xlsx" TargetMode="External"/><Relationship Id="rId1" Type="http://schemas.openxmlformats.org/officeDocument/2006/relationships/externalLinkPath" Target="UTHR.xlsx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OGN.xlsx" TargetMode="External"/><Relationship Id="rId1" Type="http://schemas.openxmlformats.org/officeDocument/2006/relationships/externalLinkPath" Target="OGN.xlsx" TargetMode="External"/></Relationships>
</file>

<file path=xl/externalLinks/_rels/externalLink4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2196%20HK.xlsx" TargetMode="External"/><Relationship Id="rId1" Type="http://schemas.openxmlformats.org/officeDocument/2006/relationships/externalLinkPath" Target="2196%20HK.xlsx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INCY.xlsx" TargetMode="External"/><Relationship Id="rId1" Type="http://schemas.openxmlformats.org/officeDocument/2006/relationships/externalLinkPath" Target="INCY.xlsx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4523%20JP.xlsx" TargetMode="External"/><Relationship Id="rId1" Type="http://schemas.openxmlformats.org/officeDocument/2006/relationships/externalLinkPath" Target="4523%20JP.xlsx" TargetMode="External"/></Relationships>
</file>

<file path=xl/externalLinks/_rels/externalLink4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JAZZ.xlsx" TargetMode="External"/><Relationship Id="rId1" Type="http://schemas.openxmlformats.org/officeDocument/2006/relationships/externalLinkPath" Target="JAZZ.xlsx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PCVX.xlsx" TargetMode="External"/><Relationship Id="rId1" Type="http://schemas.openxmlformats.org/officeDocument/2006/relationships/externalLinkPath" Target="PCVX.xlsx" TargetMode="External"/></Relationships>
</file>

<file path=xl/externalLinks/_rels/externalLink5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IPN%20FP.xlsx" TargetMode="External"/><Relationship Id="rId1" Type="http://schemas.openxmlformats.org/officeDocument/2006/relationships/externalLinkPath" Target="IPN%20FP.xlsx" TargetMode="External"/></Relationships>
</file>

<file path=xl/externalLinks/_rels/externalLink5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BNTX.xlsx" TargetMode="External"/><Relationship Id="rId1" Type="http://schemas.openxmlformats.org/officeDocument/2006/relationships/externalLinkPath" Target="BNTX.xlsx" TargetMode="External"/></Relationships>
</file>

<file path=xl/externalLinks/_rels/externalLink5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REC.xlsx" TargetMode="External"/><Relationship Id="rId1" Type="http://schemas.openxmlformats.org/officeDocument/2006/relationships/externalLinkPath" Target="REC.xlsx" TargetMode="External"/></Relationships>
</file>

<file path=xl/externalLinks/_rels/externalLink5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NBIX.xlsx" TargetMode="External"/><Relationship Id="rId1" Type="http://schemas.openxmlformats.org/officeDocument/2006/relationships/externalLinkPath" Target="NBIX.xlsx" TargetMode="External"/></Relationships>
</file>

<file path=xl/externalLinks/_rels/externalLink5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EXEL.xlsx" TargetMode="External"/><Relationship Id="rId1" Type="http://schemas.openxmlformats.org/officeDocument/2006/relationships/externalLinkPath" Target="EXEL.xlsx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HALO.xlsx" TargetMode="External"/><Relationship Id="rId1" Type="http://schemas.openxmlformats.org/officeDocument/2006/relationships/externalLinkPath" Target="HALO.xlsx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LNTH.xlsx" TargetMode="External"/><Relationship Id="rId1" Type="http://schemas.openxmlformats.org/officeDocument/2006/relationships/externalLinkPath" Target="LNTH.xlsx" TargetMode="External"/></Relationships>
</file>

<file path=xl/externalLinks/_rels/externalLink5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ORNBV.xlsx" TargetMode="External"/><Relationship Id="rId1" Type="http://schemas.openxmlformats.org/officeDocument/2006/relationships/externalLinkPath" Target="ORNBV.xlsx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SND.xlsx" TargetMode="External"/><Relationship Id="rId1" Type="http://schemas.openxmlformats.org/officeDocument/2006/relationships/externalLinkPath" Target="ASND.xlsx" TargetMode="External"/></Relationships>
</file>

<file path=xl/externalLinks/_rels/externalLink6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VKTX.xlsx" TargetMode="External"/><Relationship Id="rId1" Type="http://schemas.openxmlformats.org/officeDocument/2006/relationships/externalLinkPath" Target="VKTX.xlsx" TargetMode="External"/></Relationships>
</file>

<file path=xl/externalLinks/_rels/externalLink6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IONS.xlsx" TargetMode="External"/><Relationship Id="rId1" Type="http://schemas.openxmlformats.org/officeDocument/2006/relationships/externalLinkPath" Target="IONS.xlsx" TargetMode="External"/></Relationships>
</file>

<file path=xl/externalLinks/_rels/externalLink6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HIK%20LN.xlsx" TargetMode="External"/><Relationship Id="rId1" Type="http://schemas.openxmlformats.org/officeDocument/2006/relationships/externalLinkPath" Target="HIK%20LN.xlsx" TargetMode="External"/></Relationships>
</file>

<file path=xl/externalLinks/_rels/externalLink6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4151%20JP.xlsx" TargetMode="External"/><Relationship Id="rId1" Type="http://schemas.openxmlformats.org/officeDocument/2006/relationships/externalLinkPath" Target="4151%20JP.xlsx" TargetMode="External"/></Relationships>
</file>

<file path=xl/externalLinks/_rels/externalLink6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PRGO.xlsx" TargetMode="External"/><Relationship Id="rId1" Type="http://schemas.openxmlformats.org/officeDocument/2006/relationships/externalLinkPath" Target="PRGO.xlsx" TargetMode="External"/></Relationships>
</file>

<file path=xl/externalLinks/_rels/externalLink6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YTK.xlsx" TargetMode="External"/><Relationship Id="rId1" Type="http://schemas.openxmlformats.org/officeDocument/2006/relationships/externalLinkPath" Target="CYTK.xlsx" TargetMode="External"/></Relationships>
</file>

<file path=xl/externalLinks/_rels/externalLink6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BBIO.xlsx" TargetMode="External"/><Relationship Id="rId1" Type="http://schemas.openxmlformats.org/officeDocument/2006/relationships/externalLinkPath" Target="BBIO.xlsx" TargetMode="External"/></Relationships>
</file>

<file path=xl/externalLinks/_rels/externalLink6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MDGL.xlsx" TargetMode="External"/><Relationship Id="rId1" Type="http://schemas.openxmlformats.org/officeDocument/2006/relationships/externalLinkPath" Target="MDGL.xlsx" TargetMode="External"/></Relationships>
</file>

<file path=xl/externalLinks/_rels/externalLink6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TGTX.xlsx" TargetMode="External"/><Relationship Id="rId1" Type="http://schemas.openxmlformats.org/officeDocument/2006/relationships/externalLinkPath" Target="TGTX.xlsx" TargetMode="External"/></Relationships>
</file>

<file path=xl/externalLinks/_rels/externalLink6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shkreli\code\models\AXSM.xlsx" TargetMode="External"/><Relationship Id="rId1" Type="http://schemas.openxmlformats.org/officeDocument/2006/relationships/externalLinkPath" Target="AXSM.xlsx" TargetMode="External"/></Relationships>
</file>

<file path=xl/externalLinks/_rels/externalLink7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LEGN.xlsx" TargetMode="External"/><Relationship Id="rId1" Type="http://schemas.openxmlformats.org/officeDocument/2006/relationships/externalLinkPath" Target="LEGN.xlsx" TargetMode="External"/></Relationships>
</file>

<file path=xl/externalLinks/_rels/externalLink7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DMA.xlsx" TargetMode="External"/><Relationship Id="rId1" Type="http://schemas.openxmlformats.org/officeDocument/2006/relationships/externalLinkPath" Target="ADMA.xlsx" TargetMode="External"/></Relationships>
</file>

<file path=xl/externalLinks/_rels/externalLink7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LKS.xlsx" TargetMode="External"/><Relationship Id="rId1" Type="http://schemas.openxmlformats.org/officeDocument/2006/relationships/externalLinkPath" Target="ALKS.xlsx" TargetMode="External"/></Relationships>
</file>

<file path=xl/externalLinks/_rels/externalLink7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KRYS.xlsx" TargetMode="External"/><Relationship Id="rId1" Type="http://schemas.openxmlformats.org/officeDocument/2006/relationships/externalLinkPath" Target="KRYS.xlsx" TargetMode="External"/></Relationships>
</file>

<file path=xl/externalLinks/_rels/externalLink7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HLUN.xlsx" TargetMode="External"/><Relationship Id="rId1" Type="http://schemas.openxmlformats.org/officeDocument/2006/relationships/externalLinkPath" Target="HLUN.xlsx" TargetMode="External"/></Relationships>
</file>

<file path=xl/externalLinks/_rels/externalLink7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1177%20HK%20Sino.xlsx" TargetMode="External"/><Relationship Id="rId1" Type="http://schemas.openxmlformats.org/officeDocument/2006/relationships/externalLinkPath" Target="1177%20HK%20Sino.xlsx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LVO.xlsx" TargetMode="External"/><Relationship Id="rId1" Type="http://schemas.openxmlformats.org/officeDocument/2006/relationships/externalLinkPath" Target="ALVO.xlsx" TargetMode="External"/></Relationships>
</file>

<file path=xl/externalLinks/_rels/externalLink7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shkreli\code\models\FOLD.xlsx" TargetMode="External"/><Relationship Id="rId1" Type="http://schemas.openxmlformats.org/officeDocument/2006/relationships/externalLinkPath" Target="FOLD.xlsx" TargetMode="External"/></Relationships>
</file>

<file path=xl/externalLinks/_rels/externalLink7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ROIV.xlsx" TargetMode="External"/><Relationship Id="rId1" Type="http://schemas.openxmlformats.org/officeDocument/2006/relationships/externalLinkPath" Target="ROIV.xlsx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RARE.xlsx" TargetMode="External"/><Relationship Id="rId1" Type="http://schemas.openxmlformats.org/officeDocument/2006/relationships/externalLinkPath" Target="RARE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IBRX.xlsx" TargetMode="External"/><Relationship Id="rId1" Type="http://schemas.openxmlformats.org/officeDocument/2006/relationships/externalLinkPath" Target="IBRX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PLS.xlsx" TargetMode="External"/><Relationship Id="rId1" Type="http://schemas.openxmlformats.org/officeDocument/2006/relationships/externalLinkPath" Target="APLS.xlsx" TargetMode="External"/></Relationships>
</file>

<file path=xl/externalLinks/_rels/externalLink8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SLNO.xlsx" TargetMode="External"/><Relationship Id="rId1" Type="http://schemas.openxmlformats.org/officeDocument/2006/relationships/externalLinkPath" Target="SLNO.xlsx" TargetMode="External"/></Relationships>
</file>

<file path=xl/externalLinks/_rels/externalLink8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SRRK.xlsx" TargetMode="External"/><Relationship Id="rId1" Type="http://schemas.openxmlformats.org/officeDocument/2006/relationships/externalLinkPath" Target="SRRK.xlsx" TargetMode="External"/></Relationships>
</file>

<file path=xl/externalLinks/_rels/externalLink8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CLX.xlsx" TargetMode="External"/><Relationship Id="rId1" Type="http://schemas.openxmlformats.org/officeDocument/2006/relationships/externalLinkPath" Target="ACLX.xlsx" TargetMode="External"/></Relationships>
</file>

<file path=xl/externalLinks/_rels/externalLink8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MPH.xlsx" TargetMode="External"/><Relationship Id="rId1" Type="http://schemas.openxmlformats.org/officeDocument/2006/relationships/externalLinkPath" Target="AMPH.xlsx" TargetMode="External"/></Relationships>
</file>

<file path=xl/externalLinks/_rels/externalLink8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EWTX.xlsx" TargetMode="External"/><Relationship Id="rId1" Type="http://schemas.openxmlformats.org/officeDocument/2006/relationships/externalLinkPath" Target="EWTX.xlsx" TargetMode="External"/></Relationships>
</file>

<file path=xl/externalLinks/_rels/externalLink8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KRO.xlsx" TargetMode="External"/><Relationship Id="rId1" Type="http://schemas.openxmlformats.org/officeDocument/2006/relationships/externalLinkPath" Target="AKRO.xlsx" TargetMode="External"/></Relationships>
</file>

<file path=xl/externalLinks/_rels/externalLink8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RNA.xlsx" TargetMode="External"/><Relationship Id="rId1" Type="http://schemas.openxmlformats.org/officeDocument/2006/relationships/externalLinkPath" Target="RNA.xlsx" TargetMode="External"/></Relationships>
</file>

<file path=xl/externalLinks/_rels/externalLink8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SRPT.xlsx" TargetMode="External"/><Relationship Id="rId1" Type="http://schemas.openxmlformats.org/officeDocument/2006/relationships/externalLinkPath" Target="SRPT.xlsx" TargetMode="External"/></Relationships>
</file>

<file path=xl/externalLinks/_rels/externalLink9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BHVN.xlsx" TargetMode="External"/><Relationship Id="rId1" Type="http://schemas.openxmlformats.org/officeDocument/2006/relationships/externalLinkPath" Target="BHVN.xlsx" TargetMode="External"/></Relationships>
</file>

<file path=xl/externalLinks/_rels/externalLink9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MRNA.xlsx" TargetMode="External"/><Relationship Id="rId1" Type="http://schemas.openxmlformats.org/officeDocument/2006/relationships/externalLinkPath" Target="MRNA.xlsx" TargetMode="External"/></Relationships>
</file>

<file path=xl/externalLinks/_rels/externalLink9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DNLI.xlsx" TargetMode="External"/><Relationship Id="rId1" Type="http://schemas.openxmlformats.org/officeDocument/2006/relationships/externalLinkPath" Target="DNLI.xlsx" TargetMode="External"/></Relationships>
</file>

<file path=xl/externalLinks/_rels/externalLink9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CAD.xlsx" TargetMode="External"/><Relationship Id="rId1" Type="http://schemas.openxmlformats.org/officeDocument/2006/relationships/externalLinkPath" Target="ACAD.xlsx" TargetMode="External"/></Relationships>
</file>

<file path=xl/externalLinks/_rels/externalLink9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RWR.xlsx" TargetMode="External"/><Relationship Id="rId1" Type="http://schemas.openxmlformats.org/officeDocument/2006/relationships/externalLinkPath" Target="ARWR.xlsx" TargetMode="External"/></Relationships>
</file>

<file path=xl/externalLinks/_rels/externalLink9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RSP.xlsx" TargetMode="External"/><Relationship Id="rId1" Type="http://schemas.openxmlformats.org/officeDocument/2006/relationships/externalLinkPath" Target="CRSP.xlsx" TargetMode="External"/></Relationships>
</file>

<file path=xl/externalLinks/_rels/externalLink9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PTGX.xlsx" TargetMode="External"/><Relationship Id="rId1" Type="http://schemas.openxmlformats.org/officeDocument/2006/relationships/externalLinkPath" Target="PTGX.xlsx" TargetMode="External"/></Relationships>
</file>

<file path=xl/externalLinks/_rels/externalLink9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302440%20KS.xlsx" TargetMode="External"/><Relationship Id="rId1" Type="http://schemas.openxmlformats.org/officeDocument/2006/relationships/externalLinkPath" Target="302440%20KS.xlsx" TargetMode="External"/></Relationships>
</file>

<file path=xl/externalLinks/_rels/externalLink9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JANX.xlsx" TargetMode="External"/><Relationship Id="rId1" Type="http://schemas.openxmlformats.org/officeDocument/2006/relationships/externalLinkPath" Target="JANX.xlsx" TargetMode="External"/></Relationships>
</file>

<file path=xl/externalLinks/_rels/externalLink9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GPCR.xlsx" TargetMode="External"/><Relationship Id="rId1" Type="http://schemas.openxmlformats.org/officeDocument/2006/relationships/externalLinkPath" Target="GPCR.xlsx" TargetMode="External"/></Relationships>
</file>

<file path=xl/externalLinks/_rels/externalLink10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BCRX.xlsx" TargetMode="External"/><Relationship Id="rId1" Type="http://schemas.openxmlformats.org/officeDocument/2006/relationships/externalLinkPath" Target="BCRX.xlsx" TargetMode="External"/></Relationships>
</file>

<file path=xl/externalLinks/_rels/externalLink10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RXRX.xlsx" TargetMode="External"/><Relationship Id="rId1" Type="http://schemas.openxmlformats.org/officeDocument/2006/relationships/externalLinkPath" Target="RXRX.xlsx" TargetMode="External"/></Relationships>
</file>

<file path=xl/externalLinks/_rels/externalLink10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RCKT.xlsx" TargetMode="External"/><Relationship Id="rId1" Type="http://schemas.openxmlformats.org/officeDocument/2006/relationships/externalLinkPath" Target="RCKT.xlsx" TargetMode="External"/></Relationships>
</file>

<file path=xl/externalLinks/_rels/externalLink10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SANA.xlsx" TargetMode="External"/><Relationship Id="rId1" Type="http://schemas.openxmlformats.org/officeDocument/2006/relationships/externalLinkPath" Target="SANA.xlsx" TargetMode="External"/></Relationships>
</file>

<file path=xl/externalLinks/_rels/externalLink10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BEAM.xlsx" TargetMode="External"/><Relationship Id="rId1" Type="http://schemas.openxmlformats.org/officeDocument/2006/relationships/externalLinkPath" Target="BEAM.xlsx" TargetMode="External"/></Relationships>
</file>

<file path=xl/externalLinks/_rels/externalLink10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NTLA.xlsx" TargetMode="External"/><Relationship Id="rId1" Type="http://schemas.openxmlformats.org/officeDocument/2006/relationships/externalLinkPath" Target="NTLA.xlsx" TargetMode="External"/></Relationships>
</file>

<file path=xl/externalLinks/_rels/externalLink10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1877%20HK.xlsx" TargetMode="External"/><Relationship Id="rId1" Type="http://schemas.openxmlformats.org/officeDocument/2006/relationships/externalLinkPath" Target="1877%20HK.xlsx" TargetMode="External"/></Relationships>
</file>

<file path=xl/externalLinks/_rels/externalLink10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IOVA.xlsx" TargetMode="External"/><Relationship Id="rId1" Type="http://schemas.openxmlformats.org/officeDocument/2006/relationships/externalLinkPath" Target="IOVA.xlsx" TargetMode="External"/></Relationships>
</file>

<file path=xl/externalLinks/_rels/externalLink10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XNCR.xlsx" TargetMode="External"/><Relationship Id="rId1" Type="http://schemas.openxmlformats.org/officeDocument/2006/relationships/externalLinkPath" Target="XNCR.xlsx" TargetMode="External"/></Relationships>
</file>

<file path=xl/externalLinks/_rels/externalLink10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REPL.xlsx" TargetMode="External"/><Relationship Id="rId1" Type="http://schemas.openxmlformats.org/officeDocument/2006/relationships/externalLinkPath" Target="REPL.xlsx" TargetMode="External"/></Relationships>
</file>

<file path=xl/externalLinks/_rels/externalLink1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NUVB.xlsx" TargetMode="External"/><Relationship Id="rId1" Type="http://schemas.openxmlformats.org/officeDocument/2006/relationships/externalLinkPath" Target="NUVB.xlsx" TargetMode="External"/></Relationships>
</file>

<file path=xl/externalLinks/_rels/externalLink1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BCL.xlsx" TargetMode="External"/><Relationship Id="rId1" Type="http://schemas.openxmlformats.org/officeDocument/2006/relationships/externalLinkPath" Target="ABCL.xlsx" TargetMode="External"/></Relationships>
</file>

<file path=xl/externalLinks/_rels/externalLink1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SWTX.xlsx" TargetMode="External"/><Relationship Id="rId1" Type="http://schemas.openxmlformats.org/officeDocument/2006/relationships/externalLinkPath" Target="SWTX.xlsx" TargetMode="External"/></Relationships>
</file>

<file path=xl/externalLinks/_rels/externalLink1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TARS.xlsx" TargetMode="External"/><Relationship Id="rId1" Type="http://schemas.openxmlformats.org/officeDocument/2006/relationships/externalLinkPath" Target="TARS.xlsx" TargetMode="External"/></Relationships>
</file>

<file path=xl/externalLinks/_rels/externalLink1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NAMS.xlsx" TargetMode="External"/><Relationship Id="rId1" Type="http://schemas.openxmlformats.org/officeDocument/2006/relationships/externalLinkPath" Target="NAMS.xlsx" TargetMode="External"/></Relationships>
</file>

<file path=xl/externalLinks/_rels/externalLink1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FDMT.xlsx" TargetMode="External"/><Relationship Id="rId1" Type="http://schemas.openxmlformats.org/officeDocument/2006/relationships/externalLinkPath" Target="FDMT.xlsx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AMLX.xlsx" TargetMode="External"/></Relationships>
</file>

<file path=xl/externalLinks/_rels/externalLink1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RVN.xlsx" TargetMode="External"/><Relationship Id="rId1" Type="http://schemas.openxmlformats.org/officeDocument/2006/relationships/externalLinkPath" Target="ARVN.xlsx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SAGE.xlsx" TargetMode="External"/></Relationships>
</file>

<file path=xl/externalLinks/_rels/externalLink1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RYTM.xlsx" TargetMode="External"/><Relationship Id="rId1" Type="http://schemas.openxmlformats.org/officeDocument/2006/relationships/externalLinkPath" Target="RYTM.xlsx" TargetMode="External"/></Relationships>
</file>

<file path=xl/externalLinks/_rels/externalLink1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BLTE.xlsx" TargetMode="External"/><Relationship Id="rId1" Type="http://schemas.openxmlformats.org/officeDocument/2006/relationships/externalLinkPath" Target="BLTE.xlsx" TargetMode="External"/></Relationships>
</file>

<file path=xl/externalLinks/_rels/externalLink1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KYMR.xlsx" TargetMode="External"/><Relationship Id="rId1" Type="http://schemas.openxmlformats.org/officeDocument/2006/relationships/externalLinkPath" Target="KYMR.xlsx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SIGA.xlsx" TargetMode="External"/></Relationships>
</file>

<file path=xl/externalLinks/_rels/externalLink1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DAWN.xlsx" TargetMode="External"/><Relationship Id="rId1" Type="http://schemas.openxmlformats.org/officeDocument/2006/relationships/externalLinkPath" Target="DAWN.xlsx" TargetMode="External"/></Relationships>
</file>

<file path=xl/externalLinks/_rels/externalLink1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RVS.xlsx" TargetMode="External"/><Relationship Id="rId1" Type="http://schemas.openxmlformats.org/officeDocument/2006/relationships/externalLinkPath" Target="CRVS.xlsx" TargetMode="External"/></Relationships>
</file>

<file path=xl/externalLinks/_rels/externalLink1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DYN.xlsx" TargetMode="External"/><Relationship Id="rId1" Type="http://schemas.openxmlformats.org/officeDocument/2006/relationships/externalLinkPath" Target="DYN.xlsx" TargetMode="External"/></Relationships>
</file>

<file path=xl/externalLinks/_rels/externalLink1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GOSS.xlsx" TargetMode="External"/><Relationship Id="rId1" Type="http://schemas.openxmlformats.org/officeDocument/2006/relationships/externalLinkPath" Target="GOSS.xlsx" TargetMode="External"/></Relationships>
</file>

<file path=xl/externalLinks/_rels/externalLink1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SLS.xlsx" TargetMode="External"/><Relationship Id="rId1" Type="http://schemas.openxmlformats.org/officeDocument/2006/relationships/externalLinkPath" Target="SLS.xlsx" TargetMode="External"/></Relationships>
</file>

<file path=xl/externalLinks/_rels/externalLink1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KROS.xlsx" TargetMode="External"/><Relationship Id="rId1" Type="http://schemas.openxmlformats.org/officeDocument/2006/relationships/externalLinkPath" Target="KROS.xlsx" TargetMode="External"/></Relationships>
</file>

<file path=xl/externalLinks/_rels/externalLink1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NIP.xlsx" TargetMode="External"/><Relationship Id="rId1" Type="http://schemas.openxmlformats.org/officeDocument/2006/relationships/externalLinkPath" Target="ANIP.xlsx" TargetMode="External"/></Relationships>
</file>

<file path=xl/externalLinks/_rels/externalLink1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PGE.xlsx" TargetMode="External"/><Relationship Id="rId1" Type="http://schemas.openxmlformats.org/officeDocument/2006/relationships/externalLinkPath" Target="APGE.xlsx" TargetMode="External"/></Relationships>
</file>

<file path=xl/externalLinks/_rels/externalLink1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XERS.xlsx" TargetMode="External"/><Relationship Id="rId1" Type="http://schemas.openxmlformats.org/officeDocument/2006/relationships/externalLinkPath" Target="XERS.xlsx" TargetMode="External"/></Relationships>
</file>

<file path=xl/externalLinks/_rels/externalLink1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VRDN.xlsx" TargetMode="External"/><Relationship Id="rId1" Type="http://schemas.openxmlformats.org/officeDocument/2006/relationships/externalLinkPath" Target="VRDN.xlsx" TargetMode="External"/></Relationships>
</file>

<file path=xl/externalLinks/_rels/externalLink1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PHAR.xlsx" TargetMode="External"/><Relationship Id="rId1" Type="http://schemas.openxmlformats.org/officeDocument/2006/relationships/externalLinkPath" Target="PHAR.xlsx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CYDY.xlsx" TargetMode="External"/></Relationships>
</file>

<file path=xl/externalLinks/_rels/externalLink1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HUMA.xlsx" TargetMode="External"/><Relationship Id="rId1" Type="http://schemas.openxmlformats.org/officeDocument/2006/relationships/externalLinkPath" Target="HUMA.xlsx" TargetMode="External"/></Relationships>
</file>

<file path=xl/externalLinks/_rels/externalLink1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TYR.xlsx" TargetMode="External"/><Relationship Id="rId1" Type="http://schemas.openxmlformats.org/officeDocument/2006/relationships/externalLinkPath" Target="ATYR.xlsx" TargetMode="External"/></Relationships>
</file>

<file path=xl/externalLinks/_rels/externalLink1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URGN.xlsx" TargetMode="External"/><Relationship Id="rId1" Type="http://schemas.openxmlformats.org/officeDocument/2006/relationships/externalLinkPath" Target="URGN.xlsx" TargetMode="External"/></Relationships>
</file>

<file path=xl/externalLinks/_rels/externalLink1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MGTX.xlsx" TargetMode="External"/><Relationship Id="rId1" Type="http://schemas.openxmlformats.org/officeDocument/2006/relationships/externalLinkPath" Target="MGTX.xlsx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LQDA.xlsx" TargetMode="External"/></Relationships>
</file>

<file path=xl/externalLinks/_rels/externalLink14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INMB.xlsx" TargetMode="External"/><Relationship Id="rId1" Type="http://schemas.openxmlformats.org/officeDocument/2006/relationships/externalLinkPath" Target="INMB.xlsx" TargetMode="External"/></Relationships>
</file>

<file path=xl/externalLinks/_rels/externalLink14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SGMT.xlsx" TargetMode="External"/><Relationship Id="rId1" Type="http://schemas.openxmlformats.org/officeDocument/2006/relationships/externalLinkPath" Target="SGMT.xlsx" TargetMode="External"/></Relationships>
</file>

<file path=xl/externalLinks/_rels/externalLink14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YMAB.xlsx" TargetMode="External"/><Relationship Id="rId1" Type="http://schemas.openxmlformats.org/officeDocument/2006/relationships/externalLinkPath" Target="YMAB.xlsx" TargetMode="External"/></Relationships>
</file>

<file path=xl/externalLinks/_rels/externalLink14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KALV.xlsx" TargetMode="External"/><Relationship Id="rId1" Type="http://schemas.openxmlformats.org/officeDocument/2006/relationships/externalLinkPath" Target="KALV.xlsx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IRON.xlsx" TargetMode="External"/></Relationships>
</file>

<file path=xl/externalLinks/_rels/externalLink14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EYPT.xlsx" TargetMode="External"/><Relationship Id="rId1" Type="http://schemas.openxmlformats.org/officeDocument/2006/relationships/externalLinkPath" Target="EYPT.xlsx" TargetMode="External"/></Relationships>
</file>

<file path=xl/externalLinks/_rels/externalLink14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TRVI.xlsx" TargetMode="External"/><Relationship Id="rId1" Type="http://schemas.openxmlformats.org/officeDocument/2006/relationships/externalLinkPath" Target="TRVI.xlsx" TargetMode="External"/></Relationships>
</file>

<file path=xl/externalLinks/_rels/externalLink14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LSD.xlsx" TargetMode="External"/><Relationship Id="rId1" Type="http://schemas.openxmlformats.org/officeDocument/2006/relationships/externalLinkPath" Target="CLSD.xlsx" TargetMode="External"/></Relationships>
</file>

<file path=xl/externalLinks/_rels/externalLink14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EQ.xlsx" TargetMode="External"/><Relationship Id="rId1" Type="http://schemas.openxmlformats.org/officeDocument/2006/relationships/externalLinkPath" Target="EQ.xlsx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REQ.xlsx" TargetMode="External"/></Relationships>
</file>

<file path=xl/externalLinks/_rels/externalLink15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NKTR.xlsx" TargetMode="External"/><Relationship Id="rId1" Type="http://schemas.openxmlformats.org/officeDocument/2006/relationships/externalLinkPath" Target="NKTR.xlsx" TargetMode="External"/></Relationships>
</file>

<file path=xl/externalLinks/_rels/externalLink15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NKTX.xlsx" TargetMode="External"/><Relationship Id="rId1" Type="http://schemas.openxmlformats.org/officeDocument/2006/relationships/externalLinkPath" Target="NKTX.xlsx" TargetMode="External"/></Relationships>
</file>

<file path=xl/externalLinks/_rels/externalLink15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KALA.xlsx" TargetMode="External"/><Relationship Id="rId1" Type="http://schemas.openxmlformats.org/officeDocument/2006/relationships/externalLinkPath" Target="KALA.xlsx" TargetMode="External"/></Relationships>
</file>

<file path=xl/externalLinks/_rels/externalLink15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VXL.xlsx" TargetMode="External"/><Relationship Id="rId1" Type="http://schemas.openxmlformats.org/officeDocument/2006/relationships/externalLinkPath" Target="AVXL.xlsx" TargetMode="External"/></Relationships>
</file>

<file path=xl/externalLinks/_rels/externalLink15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IMNM.xlsx" TargetMode="External"/><Relationship Id="rId1" Type="http://schemas.openxmlformats.org/officeDocument/2006/relationships/externalLinkPath" Target="IMNM.xlsx" TargetMode="External"/></Relationships>
</file>

<file path=xl/externalLinks/_rels/externalLink15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NAB.xlsx" TargetMode="External"/><Relationship Id="rId1" Type="http://schemas.openxmlformats.org/officeDocument/2006/relationships/externalLinkPath" Target="ANAB.xlsx" TargetMode="External"/></Relationships>
</file>

<file path=xl/externalLinks/_rels/externalLink15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HRS.xlsx" TargetMode="External"/><Relationship Id="rId1" Type="http://schemas.openxmlformats.org/officeDocument/2006/relationships/externalLinkPath" Target="CHRS.xlsx" TargetMode="External"/></Relationships>
</file>

<file path=xl/externalLinks/_rels/externalLink15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PGEN.xlsx" TargetMode="External"/><Relationship Id="rId1" Type="http://schemas.openxmlformats.org/officeDocument/2006/relationships/externalLinkPath" Target="PGEN.xlsx" TargetMode="External"/></Relationships>
</file>

<file path=xl/externalLinks/_rels/externalLink15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BUS.xlsx" TargetMode="External"/><Relationship Id="rId1" Type="http://schemas.openxmlformats.org/officeDocument/2006/relationships/externalLinkPath" Target="ABUS.xlsx" TargetMode="External"/></Relationships>
</file>

<file path=xl/externalLinks/_rels/externalLink15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CAPR.xlsx" TargetMode="External"/><Relationship Id="rId1" Type="http://schemas.openxmlformats.org/officeDocument/2006/relationships/externalLinkPath" Target="CAPR.xlsx" TargetMode="External"/></Relationships>
</file>

<file path=xl/externalLinks/_rels/externalLink16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MPS.xlsx" TargetMode="External"/><Relationship Id="rId1" Type="http://schemas.openxmlformats.org/officeDocument/2006/relationships/externalLinkPath" Target="CMPS.xlsx" TargetMode="External"/></Relationships>
</file>

<file path=xl/externalLinks/_rels/externalLink16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LRMR.xlsx" TargetMode="External"/><Relationship Id="rId1" Type="http://schemas.openxmlformats.org/officeDocument/2006/relationships/externalLinkPath" Target="LRMR.xlsx" TargetMode="External"/></Relationships>
</file>

<file path=xl/externalLinks/_rels/externalLink16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TECX.xlsx" TargetMode="External"/><Relationship Id="rId1" Type="http://schemas.openxmlformats.org/officeDocument/2006/relationships/externalLinkPath" Target="TECX.xlsx" TargetMode="External"/></Relationships>
</file>

<file path=xl/externalLinks/_rels/externalLink16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DRUG.xlsx" TargetMode="External"/><Relationship Id="rId1" Type="http://schemas.openxmlformats.org/officeDocument/2006/relationships/externalLinkPath" Target="DRUG.xlsx" TargetMode="External"/></Relationships>
</file>

<file path=xl/externalLinks/_rels/externalLink16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RZLT.xlsx" TargetMode="External"/><Relationship Id="rId1" Type="http://schemas.openxmlformats.org/officeDocument/2006/relationships/externalLinkPath" Target="RZLT.xlsx" TargetMode="External"/></Relationships>
</file>

<file path=xl/externalLinks/_rels/externalLink16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CADL.xlsx" TargetMode="External"/><Relationship Id="rId1" Type="http://schemas.openxmlformats.org/officeDocument/2006/relationships/externalLinkPath" Target="CADL.xlsx" TargetMode="External"/></Relationships>
</file>

<file path=xl/externalLinks/_rels/externalLink16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TOS.xlsx" TargetMode="External"/><Relationship Id="rId1" Type="http://schemas.openxmlformats.org/officeDocument/2006/relationships/externalLinkPath" Target="ATOS.xlsx" TargetMode="External"/></Relationships>
</file>

<file path=xl/externalLinks/_rels/externalLink16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BEO.xlsx" TargetMode="External"/><Relationship Id="rId1" Type="http://schemas.openxmlformats.org/officeDocument/2006/relationships/externalLinkPath" Target="ABEO.xlsx" TargetMode="External"/></Relationships>
</file>

<file path=xl/externalLinks/_rels/externalLink16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TNXP.xlsx" TargetMode="External"/><Relationship Id="rId1" Type="http://schemas.openxmlformats.org/officeDocument/2006/relationships/externalLinkPath" Target="TNXP.xlsx" TargetMode="External"/></Relationships>
</file>

<file path=xl/externalLinks/_rels/externalLink16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VYGR.xlsx" TargetMode="External"/><Relationship Id="rId1" Type="http://schemas.openxmlformats.org/officeDocument/2006/relationships/externalLinkPath" Target="VYGR.xlsx" TargetMode="External"/></Relationships>
</file>

<file path=xl/externalLinks/_rels/externalLink17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GHRS.xlsx" TargetMode="External"/><Relationship Id="rId1" Type="http://schemas.openxmlformats.org/officeDocument/2006/relationships/externalLinkPath" Target="GHRS.xlsx" TargetMode="External"/></Relationships>
</file>

<file path=xl/externalLinks/_rels/externalLink17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PROK.xlsx" TargetMode="External"/><Relationship Id="rId1" Type="http://schemas.openxmlformats.org/officeDocument/2006/relationships/externalLinkPath" Target="PROK.xlsx" TargetMode="External"/></Relationships>
</file>

<file path=xl/externalLinks/_rels/externalLink17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GUTS.xlsx" TargetMode="External"/><Relationship Id="rId1" Type="http://schemas.openxmlformats.org/officeDocument/2006/relationships/externalLinkPath" Target="GUTS.xlsx" TargetMode="External"/></Relationships>
</file>

<file path=xl/externalLinks/_rels/externalLink17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IVVD.xlsx" TargetMode="External"/><Relationship Id="rId1" Type="http://schemas.openxmlformats.org/officeDocument/2006/relationships/externalLinkPath" Target="IVVD.xlsx" TargetMode="External"/></Relationships>
</file>

<file path=xl/externalLinks/_rels/externalLink17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ELEV.xlsx" TargetMode="External"/><Relationship Id="rId1" Type="http://schemas.openxmlformats.org/officeDocument/2006/relationships/externalLinkPath" Target="ELEV.xlsx" TargetMode="External"/></Relationships>
</file>

<file path=xl/externalLinks/_rels/externalLink17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shkreli\code\models\NMRA.xlsx" TargetMode="External"/><Relationship Id="rId1" Type="http://schemas.openxmlformats.org/officeDocument/2006/relationships/externalLinkPath" Target="NMRA.xlsx" TargetMode="External"/></Relationships>
</file>

<file path=xl/externalLinks/_rels/externalLink17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SAVA.xlsx" TargetMode="External"/><Relationship Id="rId1" Type="http://schemas.openxmlformats.org/officeDocument/2006/relationships/externalLinkPath" Target="SAVA.xlsx" TargetMode="External"/></Relationships>
</file>

<file path=xl/externalLinks/_rels/externalLink17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ABA.xlsx" TargetMode="External"/><Relationship Id="rId1" Type="http://schemas.openxmlformats.org/officeDocument/2006/relationships/externalLinkPath" Target="CABA.xlsx" TargetMode="External"/></Relationships>
</file>

<file path=xl/externalLinks/_rels/externalLink17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PDSB.xlsx" TargetMode="External"/><Relationship Id="rId1" Type="http://schemas.openxmlformats.org/officeDocument/2006/relationships/externalLinkPath" Target="PDSB.xlsx" TargetMode="External"/></Relationships>
</file>

<file path=xl/externalLinks/_rels/externalLink17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RTV.xlsx" TargetMode="External"/><Relationship Id="rId1" Type="http://schemas.openxmlformats.org/officeDocument/2006/relationships/externalLinkPath" Target="ARTV.xlsx" TargetMode="External"/></Relationships>
</file>

<file path=xl/externalLinks/_rels/externalLink1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LPTX.xlsx" TargetMode="External"/><Relationship Id="rId1" Type="http://schemas.openxmlformats.org/officeDocument/2006/relationships/externalLinkPath" Target="LPTX.xlsx" TargetMode="External"/></Relationships>
</file>

<file path=xl/externalLinks/_rels/externalLink1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RVPH.xlsx" TargetMode="External"/><Relationship Id="rId1" Type="http://schemas.openxmlformats.org/officeDocument/2006/relationships/externalLinkPath" Target="RVPH.xlsx" TargetMode="External"/></Relationships>
</file>

<file path=xl/externalLinks/_rels/externalLink18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IMUX.xlsx" TargetMode="External"/><Relationship Id="rId1" Type="http://schemas.openxmlformats.org/officeDocument/2006/relationships/externalLinkPath" Target="IMUX.xlsx" TargetMode="External"/></Relationships>
</file>

<file path=xl/externalLinks/_rels/externalLink18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TENX.xlsx" TargetMode="External"/><Relationship Id="rId1" Type="http://schemas.openxmlformats.org/officeDocument/2006/relationships/externalLinkPath" Target="TENX.xlsx" TargetMode="External"/></Relationships>
</file>

<file path=xl/externalLinks/_rels/externalLink18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QTTB.xlsx" TargetMode="External"/><Relationship Id="rId1" Type="http://schemas.openxmlformats.org/officeDocument/2006/relationships/externalLinkPath" Target="QTTB.xlsx" TargetMode="External"/></Relationships>
</file>

<file path=xl/externalLinks/_rels/externalLink18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DCTH.xlsx" TargetMode="External"/><Relationship Id="rId1" Type="http://schemas.openxmlformats.org/officeDocument/2006/relationships/externalLinkPath" Target="DCTH.xlsx" TargetMode="External"/></Relationships>
</file>

<file path=xl/externalLinks/_rels/externalLink18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GALT.xlsx" TargetMode="External"/><Relationship Id="rId1" Type="http://schemas.openxmlformats.org/officeDocument/2006/relationships/externalLinkPath" Target="GALT.xlsx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9ffda80931a57275/Models%20Backup/ACET.xlsx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AVTX.xlsx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9ffda80931a57275/Models%20Backup/TCON.xlsx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9ffda80931a57275/Models%20Backup/PHAS.xlsx" TargetMode="External"/></Relationships>
</file>

<file path=xl/externalLinks/_rels/externalLink19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KRON.xlsx" TargetMode="External"/><Relationship Id="rId1" Type="http://schemas.openxmlformats.org/officeDocument/2006/relationships/externalLinkPath" Target="KRON.xlsx" TargetMode="External"/></Relationships>
</file>

<file path=xl/externalLinks/_rels/externalLink19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CRV.xlsx" TargetMode="External"/><Relationship Id="rId1" Type="http://schemas.openxmlformats.org/officeDocument/2006/relationships/externalLinkPath" Target="ACRV.xlsx" TargetMode="External"/></Relationships>
</file>

<file path=xl/externalLinks/_rels/externalLink19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shkreli\code\models\APLT.xlsx" TargetMode="External"/><Relationship Id="rId1" Type="http://schemas.openxmlformats.org/officeDocument/2006/relationships/externalLinkPath" Target="APLT.xlsx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EXAI.xlsx" TargetMode="External"/></Relationships>
</file>

<file path=xl/externalLinks/_rels/externalLink19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VERU.xlsx" TargetMode="External"/><Relationship Id="rId1" Type="http://schemas.openxmlformats.org/officeDocument/2006/relationships/externalLinkPath" Target="VERU.xlsx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ZNTL.xlsx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9ffda80931a57275/Models%20Backup/BIOR.xlsx" TargetMode="External"/></Relationships>
</file>

<file path=xl/externalLinks/_rels/externalLink19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2269%20HK%20WuXi%20Biologics.xlsx" TargetMode="External"/><Relationship Id="rId1" Type="http://schemas.openxmlformats.org/officeDocument/2006/relationships/externalLinkPath" Target="2269%20HK%20WuXi%20Biologics.xlsx" TargetMode="External"/></Relationships>
</file>

<file path=xl/externalLinks/_rels/externalLink19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ITCI.xlsx" TargetMode="External"/><Relationship Id="rId1" Type="http://schemas.openxmlformats.org/officeDocument/2006/relationships/externalLinkPath" Target="ITCI.xlsx" TargetMode="External"/></Relationships>
</file>

<file path=xl/externalLinks/_rels/externalLink20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LBPH.xlsx" TargetMode="External"/><Relationship Id="rId1" Type="http://schemas.openxmlformats.org/officeDocument/2006/relationships/externalLinkPath" Target="LBPH.xlsx" TargetMode="External"/></Relationships>
</file>

<file path=xl/externalLinks/_rels/externalLink20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BPMC.xlsx" TargetMode="External"/><Relationship Id="rId1" Type="http://schemas.openxmlformats.org/officeDocument/2006/relationships/externalLinkPath" Target="BPM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IP"/>
      <sheetName val="Trials"/>
      <sheetName val="Main"/>
      <sheetName val="Model"/>
      <sheetName val="Mounjaro-Zepbound"/>
      <sheetName val="GLP-1s"/>
      <sheetName val="Obesity"/>
      <sheetName val="Trulicity"/>
      <sheetName val="orforglipron"/>
      <sheetName val="retatrutide"/>
      <sheetName val="mazdutide"/>
      <sheetName val="Omvoh"/>
      <sheetName val="Kisunla"/>
      <sheetName val="insulin efsitora"/>
      <sheetName val="imlunestrant"/>
      <sheetName val="Ebglyss"/>
      <sheetName val="Jayprica"/>
      <sheetName val="Verzenio"/>
      <sheetName val="muvalaplin"/>
      <sheetName val="Alimta"/>
      <sheetName val="Cymbalta"/>
      <sheetName val="Jardiance"/>
      <sheetName val="Forteo"/>
      <sheetName val="Strattera"/>
      <sheetName val="Cialis"/>
      <sheetName val="Evista"/>
      <sheetName val="Gemzar"/>
      <sheetName val="Zyprexa"/>
      <sheetName val="remternetug"/>
      <sheetName val="Exenatide"/>
      <sheetName val="Effient"/>
      <sheetName val="Enzastaurin"/>
      <sheetName val="Arzoxifene"/>
      <sheetName val="LY2062430"/>
      <sheetName val="LY2140023"/>
    </sheetNames>
    <sheetDataSet>
      <sheetData sheetId="0"/>
      <sheetData sheetId="1"/>
      <sheetData sheetId="2"/>
      <sheetData sheetId="3">
        <row r="3">
          <cell r="J3">
            <v>900.6</v>
          </cell>
        </row>
        <row r="5">
          <cell r="J5">
            <v>6443</v>
          </cell>
        </row>
        <row r="6">
          <cell r="J6">
            <v>38516</v>
          </cell>
        </row>
      </sheetData>
      <sheetData sheetId="4">
        <row r="97">
          <cell r="FY97">
            <v>0.02</v>
          </cell>
        </row>
        <row r="98">
          <cell r="FY98">
            <v>0</v>
          </cell>
        </row>
        <row r="99">
          <cell r="FY99">
            <v>7.0000000000000007E-2</v>
          </cell>
        </row>
        <row r="101">
          <cell r="FY101">
            <v>929.05463429149597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agement"/>
      <sheetName val="Markets"/>
      <sheetName val="Debt"/>
      <sheetName val="IMS"/>
      <sheetName val="IP"/>
      <sheetName val="Master Pipeline"/>
      <sheetName val="Main"/>
      <sheetName val="Model"/>
      <sheetName val="Stelara"/>
      <sheetName val="Remicade"/>
      <sheetName val="Imbruvica"/>
      <sheetName val="Darzalex"/>
      <sheetName val="Carvykti"/>
      <sheetName val="Talvey"/>
      <sheetName val="Tremfya"/>
      <sheetName val="Xarelto"/>
      <sheetName val="Tecvayli"/>
      <sheetName val="TAR-200"/>
      <sheetName val="icotrokinra"/>
      <sheetName val="Ponvory"/>
      <sheetName val="nipocalimab"/>
      <sheetName val="Invega"/>
      <sheetName val="Sustenna"/>
      <sheetName val="Simponi"/>
      <sheetName val="Consta"/>
      <sheetName val="Procrit"/>
      <sheetName val="Velcade"/>
      <sheetName val="Topamax"/>
      <sheetName val="Prezista"/>
      <sheetName val="Rybrevant"/>
      <sheetName val="Intelence"/>
      <sheetName val="Concerta"/>
      <sheetName val="Contraceptives"/>
      <sheetName val="riplivirine"/>
      <sheetName val="canagliflozin"/>
      <sheetName val="abiraterone"/>
      <sheetName val="Consumer"/>
      <sheetName val="telaprevir"/>
      <sheetName val="Consumer Model"/>
      <sheetName val="MD&amp;D"/>
      <sheetName val="DePuy"/>
      <sheetName val="DePuy Model"/>
      <sheetName val="LifeScan"/>
      <sheetName val="Vision"/>
      <sheetName val="Cardiovascular"/>
      <sheetName val="EndoSurgery"/>
      <sheetName val="Ethicon"/>
      <sheetName val="Ultram"/>
      <sheetName val="Acquisitions"/>
      <sheetName val="Levaquin"/>
      <sheetName val="Aciphex"/>
      <sheetName val="Doripenem"/>
      <sheetName val="Tapentadol"/>
      <sheetName val="Comfyde"/>
      <sheetName val="Natrecor"/>
      <sheetName val="Diagnostics"/>
      <sheetName val="Risperdal"/>
      <sheetName val="Duragesic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L3">
            <v>2406</v>
          </cell>
        </row>
        <row r="5">
          <cell r="L5">
            <v>38781</v>
          </cell>
        </row>
        <row r="6">
          <cell r="L6">
            <v>52252</v>
          </cell>
        </row>
      </sheetData>
      <sheetData sheetId="7">
        <row r="77">
          <cell r="FB77">
            <v>11.436630297896514</v>
          </cell>
        </row>
        <row r="78">
          <cell r="FN78">
            <v>2552.8999999999996</v>
          </cell>
        </row>
        <row r="86">
          <cell r="FN86"/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Imbruvica"/>
      <sheetName val="Humira"/>
      <sheetName val="Rinvoq"/>
      <sheetName val="Botox"/>
      <sheetName val="Skyrizi"/>
      <sheetName val="Elahere"/>
      <sheetName val="emraclidine"/>
      <sheetName val="Epkinly"/>
      <sheetName val="Vyalev"/>
      <sheetName val="Venclexta"/>
      <sheetName val="tavapadon"/>
      <sheetName val="telisotuzumab"/>
    </sheetNames>
    <sheetDataSet>
      <sheetData sheetId="0"/>
      <sheetData sheetId="1">
        <row r="3">
          <cell r="K3">
            <v>1772</v>
          </cell>
        </row>
        <row r="5">
          <cell r="K5">
            <v>5463</v>
          </cell>
        </row>
        <row r="6">
          <cell r="K6">
            <v>69889</v>
          </cell>
        </row>
      </sheetData>
      <sheetData sheetId="2">
        <row r="74">
          <cell r="DT74">
            <v>0.06</v>
          </cell>
        </row>
        <row r="75">
          <cell r="DT75">
            <v>-0.01</v>
          </cell>
        </row>
        <row r="76">
          <cell r="DT76">
            <v>0</v>
          </cell>
        </row>
        <row r="78">
          <cell r="DT78">
            <v>229.98813295611873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Ultomiris"/>
      <sheetName val="Saphnelo"/>
      <sheetName val="Tagrisso"/>
      <sheetName val="Strensiq"/>
      <sheetName val="Imfinzi"/>
      <sheetName val="Imjudo"/>
      <sheetName val="Tezspire"/>
      <sheetName val="Breztri"/>
      <sheetName val="Truqap"/>
      <sheetName val="Beyfortus"/>
      <sheetName val="Calquence"/>
      <sheetName val="Soliris"/>
      <sheetName val="Enhertu"/>
      <sheetName val="Fasenra"/>
      <sheetName val="Farxiga"/>
      <sheetName val="Lynparza"/>
      <sheetName val="Symbicort"/>
      <sheetName val="Koselugo"/>
      <sheetName val="Wainua"/>
      <sheetName val="Beyonttra"/>
      <sheetName val="Nexium"/>
      <sheetName val="Seroquel"/>
      <sheetName val="Crestor"/>
      <sheetName val="Brilinta"/>
      <sheetName val="datopotamab"/>
      <sheetName val="camizestrant"/>
      <sheetName val="eneboparatide"/>
      <sheetName val="0780"/>
      <sheetName val="2171"/>
      <sheetName val="Iressa"/>
      <sheetName val="Zactima"/>
      <sheetName val="5004"/>
    </sheetNames>
    <sheetDataSet>
      <sheetData sheetId="0"/>
      <sheetData sheetId="1">
        <row r="3">
          <cell r="K3">
            <v>1560</v>
          </cell>
        </row>
        <row r="5">
          <cell r="K5">
            <v>0</v>
          </cell>
        </row>
        <row r="6">
          <cell r="K6">
            <v>26067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Ozempic"/>
      <sheetName val="semaglutide IP"/>
      <sheetName val="Wegovy"/>
      <sheetName val="Rybelsus"/>
      <sheetName val="monlunabant"/>
      <sheetName val="Type 2 Diabetes"/>
      <sheetName val="Victoza"/>
      <sheetName val="NovoLog"/>
      <sheetName val="Levemir"/>
      <sheetName val="Sogroya"/>
      <sheetName val="Mim8"/>
      <sheetName val="insulin icodec"/>
      <sheetName val="Esperoct"/>
      <sheetName val="NNC6022"/>
      <sheetName val="ziltivekimab"/>
      <sheetName val="amycretin"/>
      <sheetName val="GLP-1-GIP"/>
      <sheetName val="cagrilintide"/>
      <sheetName val="conicizumab"/>
      <sheetName val="CDR132L"/>
    </sheetNames>
    <sheetDataSet>
      <sheetData sheetId="0"/>
      <sheetData sheetId="1">
        <row r="3">
          <cell r="J3">
            <v>4446</v>
          </cell>
        </row>
        <row r="5">
          <cell r="J5">
            <v>47876</v>
          </cell>
        </row>
        <row r="6">
          <cell r="J6">
            <v>121115</v>
          </cell>
        </row>
      </sheetData>
      <sheetData sheetId="2">
        <row r="49">
          <cell r="DM49">
            <v>-0.01</v>
          </cell>
        </row>
        <row r="50">
          <cell r="DM50">
            <v>-0.01</v>
          </cell>
        </row>
        <row r="51">
          <cell r="DM51">
            <v>0.08</v>
          </cell>
        </row>
        <row r="53">
          <cell r="DM53">
            <v>443.65753232447724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agement and Structure"/>
      <sheetName val="Debt"/>
      <sheetName val="Master"/>
      <sheetName val="Main"/>
      <sheetName val="Model"/>
      <sheetName val="Vabysmo"/>
      <sheetName val="Tecentriq"/>
      <sheetName val="Phesgo"/>
      <sheetName val="Diagnostics"/>
      <sheetName val="Elevidys"/>
      <sheetName val="Evrysdi"/>
      <sheetName val="MabThera"/>
      <sheetName val="Hemlibra"/>
      <sheetName val="Avastin"/>
      <sheetName val="Avastin Model"/>
      <sheetName val="Polivy"/>
      <sheetName val="Herceptin"/>
      <sheetName val="Pegasys"/>
      <sheetName val="Xeloda"/>
      <sheetName val="tiragolumab"/>
      <sheetName val="Actemra"/>
      <sheetName val="Lucentis"/>
      <sheetName val="Perjeta"/>
      <sheetName val="Ocrevus"/>
      <sheetName val="Kadcyla"/>
      <sheetName val="Mircera"/>
      <sheetName val="Tarceva"/>
      <sheetName val="Failures"/>
      <sheetName val="dalcetrapib"/>
      <sheetName val="aleglitazar"/>
      <sheetName val="R1626"/>
      <sheetName val="taspoglutide"/>
    </sheetNames>
    <sheetDataSet>
      <sheetData sheetId="0"/>
      <sheetData sheetId="1"/>
      <sheetData sheetId="2"/>
      <sheetData sheetId="3">
        <row r="3">
          <cell r="J3">
            <v>800.40300000000002</v>
          </cell>
        </row>
        <row r="5">
          <cell r="J5">
            <v>16862</v>
          </cell>
        </row>
        <row r="6">
          <cell r="J6">
            <v>34199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MS Dollars"/>
      <sheetName val="Sandoz"/>
      <sheetName val="IMS Alpha"/>
      <sheetName val="Master"/>
      <sheetName val="Main"/>
      <sheetName val="Model"/>
      <sheetName val="Cosentyx"/>
      <sheetName val="Scemblix"/>
      <sheetName val="Piqray"/>
      <sheetName val="Entresto"/>
      <sheetName val="Lutathera"/>
      <sheetName val="Kymriah"/>
      <sheetName val="Pluvicto"/>
      <sheetName val="Lucentis"/>
      <sheetName val="Leqvio"/>
      <sheetName val="Gilenya"/>
      <sheetName val="Exjade"/>
      <sheetName val="Sandostatin"/>
      <sheetName val="Gleevec"/>
      <sheetName val="Tekturna"/>
      <sheetName val="Galvus"/>
      <sheetName val="Tasigna"/>
      <sheetName val="Xolair"/>
      <sheetName val="Zometa"/>
      <sheetName val="Femara"/>
      <sheetName val="indacaterol"/>
      <sheetName val="Focalin"/>
      <sheetName val="Aclasta"/>
      <sheetName val="Exforge"/>
      <sheetName val="Lotrel"/>
      <sheetName val="Afinitor"/>
      <sheetName val="Ilaris"/>
      <sheetName val="Consumer"/>
      <sheetName val="Vaccines"/>
      <sheetName val="Menveo"/>
      <sheetName val="Diovan"/>
    </sheetNames>
    <sheetDataSet>
      <sheetData sheetId="0"/>
      <sheetData sheetId="1"/>
      <sheetData sheetId="2"/>
      <sheetData sheetId="3"/>
      <sheetData sheetId="4">
        <row r="4">
          <cell r="K4">
            <v>1959.2539079999999</v>
          </cell>
        </row>
        <row r="6">
          <cell r="K6">
            <v>0</v>
          </cell>
        </row>
        <row r="7">
          <cell r="K7">
            <v>22271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Pipeline"/>
      <sheetName val="Main"/>
      <sheetName val="Model"/>
      <sheetName val="Keytruda"/>
      <sheetName val="Winrevair"/>
      <sheetName val="Welireg"/>
      <sheetName val="Gardasil"/>
      <sheetName val="Lenvima"/>
      <sheetName val="Lynparza"/>
      <sheetName val="Padcev"/>
      <sheetName val="Rotateq"/>
      <sheetName val="V940"/>
      <sheetName val="0482"/>
      <sheetName val="Zostavax"/>
      <sheetName val="Vytorin"/>
      <sheetName val="Singulair"/>
      <sheetName val="Januvia"/>
      <sheetName val="odanacatib"/>
      <sheetName val="524"/>
      <sheetName val="517"/>
      <sheetName val="Isentress"/>
      <sheetName val="rolofylline"/>
      <sheetName val="taranabant"/>
      <sheetName val="telcagepant"/>
      <sheetName val="457"/>
      <sheetName val="vorapaxar"/>
      <sheetName val="Crixivan"/>
      <sheetName val="Fosamax"/>
      <sheetName val="Arcoxia"/>
      <sheetName val="Zolinza"/>
    </sheetNames>
    <sheetDataSet>
      <sheetData sheetId="0" refreshError="1"/>
      <sheetData sheetId="1">
        <row r="3">
          <cell r="J3">
            <v>2531</v>
          </cell>
        </row>
        <row r="5">
          <cell r="J5">
            <v>9396</v>
          </cell>
        </row>
        <row r="6">
          <cell r="J6">
            <v>35402</v>
          </cell>
        </row>
      </sheetData>
      <sheetData sheetId="2">
        <row r="109">
          <cell r="EM109">
            <v>0.01</v>
          </cell>
        </row>
        <row r="110">
          <cell r="EM110">
            <v>-0.01</v>
          </cell>
        </row>
        <row r="111">
          <cell r="EM111">
            <v>7.0000000000000007E-2</v>
          </cell>
        </row>
        <row r="113">
          <cell r="EM113">
            <v>91.467147927246273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Repatha"/>
      <sheetName val="Imdelltra"/>
      <sheetName val="Krystexxa"/>
      <sheetName val="Blincyto"/>
      <sheetName val="Otezla"/>
      <sheetName val="Tezspire"/>
      <sheetName val="Tepezza"/>
      <sheetName val="Tavneos"/>
      <sheetName val="Uplizna"/>
      <sheetName val="Enbrel"/>
      <sheetName val="Lumakras"/>
      <sheetName val="Neulasta"/>
      <sheetName val="olpasiran"/>
      <sheetName val="xaluritamig"/>
      <sheetName val="bemarituzumab"/>
      <sheetName val="maridebart cafraglutide"/>
      <sheetName val="rocatinlimab"/>
      <sheetName val="Neupogen"/>
      <sheetName val="Epogen"/>
      <sheetName val="EPO safety"/>
      <sheetName val="Aranesp"/>
      <sheetName val="G-CSF"/>
      <sheetName val="Sensipar"/>
      <sheetName val="Nplate"/>
      <sheetName val="Vectibix"/>
      <sheetName val="Denosumab"/>
      <sheetName val="Denosumab trials"/>
      <sheetName val="Kineret"/>
      <sheetName val="193"/>
      <sheetName val="706"/>
      <sheetName val="108"/>
      <sheetName val="114"/>
      <sheetName val="223"/>
      <sheetName val="386"/>
      <sheetName val="479"/>
      <sheetName val="102"/>
      <sheetName val="655"/>
      <sheetName val="785"/>
      <sheetName val="811"/>
      <sheetName val="208"/>
      <sheetName val="714"/>
      <sheetName val="Failures"/>
      <sheetName val="Kepivance"/>
    </sheetNames>
    <sheetDataSet>
      <sheetData sheetId="0"/>
      <sheetData sheetId="1">
        <row r="3">
          <cell r="J3">
            <v>541</v>
          </cell>
        </row>
        <row r="5">
          <cell r="J5">
            <v>8810</v>
          </cell>
        </row>
        <row r="6">
          <cell r="J6">
            <v>57381</v>
          </cell>
        </row>
      </sheetData>
      <sheetData sheetId="2">
        <row r="56">
          <cell r="EM56">
            <v>0.01</v>
          </cell>
        </row>
        <row r="57">
          <cell r="EM57">
            <v>-0.02</v>
          </cell>
        </row>
        <row r="58">
          <cell r="EM58">
            <v>0.08</v>
          </cell>
        </row>
        <row r="60">
          <cell r="EM60">
            <v>296.41443389296603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LA"/>
      <sheetName val="Failures"/>
      <sheetName val="Master Pipeline"/>
      <sheetName val="Approved Products"/>
      <sheetName val="Management"/>
      <sheetName val="Main"/>
      <sheetName val="Model"/>
      <sheetName val="Comirnaty"/>
      <sheetName val="Ibrance"/>
      <sheetName val="Enbrel"/>
      <sheetName val="Paxlovid"/>
      <sheetName val="Vyndaqel"/>
      <sheetName val="Eliquis"/>
      <sheetName val="Prevnar"/>
      <sheetName val="Inlyta"/>
      <sheetName val="Xeljanz"/>
      <sheetName val="Chantix"/>
      <sheetName val="Chantix Model"/>
      <sheetName val="Lorbrena"/>
      <sheetName val="Xalkori"/>
      <sheetName val="Myfembree"/>
      <sheetName val="etrasimod"/>
      <sheetName val="elranatamab"/>
      <sheetName val="giroctocogene"/>
      <sheetName val="PF-06425090"/>
      <sheetName val="VLA15"/>
      <sheetName val="Sutent"/>
      <sheetName val="Diflucan"/>
      <sheetName val="Cardura"/>
      <sheetName val="Vfend"/>
      <sheetName val="Zyvox"/>
      <sheetName val="Selzentry"/>
      <sheetName val="PF868554"/>
      <sheetName val="Aricept"/>
      <sheetName val="Zithromax"/>
      <sheetName val="fordadistrogene"/>
      <sheetName val="Genotropin"/>
      <sheetName val="Accupril"/>
      <sheetName val="Fablyn"/>
      <sheetName val="tanezumab"/>
      <sheetName val="Acquisitions"/>
      <sheetName val="IP"/>
    </sheetNames>
    <sheetDataSet>
      <sheetData sheetId="0"/>
      <sheetData sheetId="1"/>
      <sheetData sheetId="2"/>
      <sheetData sheetId="3"/>
      <sheetData sheetId="4"/>
      <sheetData sheetId="5">
        <row r="3">
          <cell r="K3">
            <v>5710</v>
          </cell>
        </row>
        <row r="5">
          <cell r="K5">
            <v>19330</v>
          </cell>
        </row>
        <row r="6">
          <cell r="K6">
            <v>62109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lenacapavir"/>
      <sheetName val="Biktarvy"/>
      <sheetName val="Descovy"/>
      <sheetName val="Genvoya"/>
      <sheetName val="Veklury"/>
      <sheetName val="Stribild"/>
      <sheetName val="Trodelvy"/>
      <sheetName val="Truvada"/>
      <sheetName val="Viread"/>
      <sheetName val="Ranexa"/>
      <sheetName val="Atripla"/>
      <sheetName val="Harvoni"/>
      <sheetName val="IMS Monthly"/>
      <sheetName val="IMS"/>
      <sheetName val="Rx"/>
      <sheetName val="HBV"/>
      <sheetName val="darusentan"/>
      <sheetName val="Letairis"/>
      <sheetName val="Hepsera"/>
      <sheetName val="HIV"/>
      <sheetName val="GS 9137"/>
      <sheetName val="GS 9132"/>
      <sheetName val="GS9190"/>
      <sheetName val="sofosbuvir"/>
      <sheetName val="idelasilib"/>
      <sheetName val="GS 9451"/>
      <sheetName val="Cayston"/>
      <sheetName val="Tamiflu"/>
    </sheetNames>
    <sheetDataSet>
      <sheetData sheetId="0"/>
      <sheetData sheetId="1">
        <row r="3">
          <cell r="J3">
            <v>1259</v>
          </cell>
        </row>
        <row r="5">
          <cell r="J5">
            <v>9991</v>
          </cell>
        </row>
        <row r="6">
          <cell r="J6">
            <v>26711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Main"/>
      <sheetName val="Model"/>
      <sheetName val="Lovenox"/>
      <sheetName val="Lantus"/>
      <sheetName val="Aubagio"/>
      <sheetName val="Plavix"/>
      <sheetName val="Multaq"/>
      <sheetName val="idraparinux"/>
      <sheetName val="SR 58611"/>
      <sheetName val="Eplivanserin"/>
      <sheetName val="SSR 591813"/>
      <sheetName val="Xaliproden"/>
      <sheetName val="Alvocidib"/>
      <sheetName val="SR 121463"/>
      <sheetName val="BSI-201"/>
      <sheetName val="Zimulti"/>
      <sheetName val="Failures"/>
    </sheetNames>
    <sheetDataSet>
      <sheetData sheetId="0" refreshError="1"/>
      <sheetData sheetId="1" refreshError="1">
        <row r="3">
          <cell r="K3">
            <v>1251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Dupixent"/>
      <sheetName val="Lovenox"/>
      <sheetName val="Lantus"/>
      <sheetName val="Aubagio"/>
      <sheetName val="Plavix"/>
      <sheetName val="Multaq"/>
      <sheetName val="idraparinux"/>
      <sheetName val="SR 58611"/>
      <sheetName val="Eplivanserin"/>
      <sheetName val="SSR 591813"/>
      <sheetName val="Xaliproden"/>
      <sheetName val="Alvocidib"/>
      <sheetName val="SR 121463"/>
      <sheetName val="BSI-201"/>
      <sheetName val="Zimulti"/>
      <sheetName val="Failures"/>
    </sheetNames>
    <sheetDataSet>
      <sheetData sheetId="0"/>
      <sheetData sheetId="1">
        <row r="5">
          <cell r="K5">
            <v>0</v>
          </cell>
        </row>
        <row r="6">
          <cell r="K6">
            <v>11483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Cobenfy"/>
      <sheetName val="Opdivo"/>
      <sheetName val="Orencia"/>
      <sheetName val="Yervoy"/>
      <sheetName val="Eliquis"/>
      <sheetName val="Camzyos"/>
      <sheetName val="Empliciti"/>
      <sheetName val="Avapro"/>
      <sheetName val="Plavix"/>
      <sheetName val="Abilify"/>
      <sheetName val="Reyataz"/>
      <sheetName val="Sprycel"/>
      <sheetName val="Erbitux"/>
      <sheetName val="Onglyza"/>
      <sheetName val="Sustiva"/>
      <sheetName val="dapagliflozin"/>
      <sheetName val="ixabepilone"/>
      <sheetName val="790052"/>
      <sheetName val="Discontinuations"/>
      <sheetName val="brivanib"/>
    </sheetNames>
    <sheetDataSet>
      <sheetData sheetId="0"/>
      <sheetData sheetId="1">
        <row r="3">
          <cell r="K3">
            <v>2029</v>
          </cell>
        </row>
        <row r="5">
          <cell r="K5">
            <v>11179</v>
          </cell>
        </row>
        <row r="6">
          <cell r="K6">
            <v>49649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Trikafta"/>
      <sheetName val="Orkambi"/>
      <sheetName val="Symdeko"/>
      <sheetName val="Kalydeco"/>
      <sheetName val="Casgevy"/>
      <sheetName val="VX-880"/>
      <sheetName val="povetacicept"/>
      <sheetName val="Alyftrek"/>
      <sheetName val="VX-548"/>
      <sheetName val="VX-522"/>
      <sheetName val="inaxaplin"/>
      <sheetName val="VX-634"/>
      <sheetName val="IP"/>
      <sheetName val="Compounds"/>
    </sheetNames>
    <sheetDataSet>
      <sheetData sheetId="0">
        <row r="3">
          <cell r="M3">
            <v>256.79718700000001</v>
          </cell>
        </row>
        <row r="5">
          <cell r="M5">
            <v>11358</v>
          </cell>
        </row>
        <row r="6">
          <cell r="M6">
            <v>0</v>
          </cell>
        </row>
      </sheetData>
      <sheetData sheetId="1">
        <row r="30">
          <cell r="BK30">
            <v>-0.05</v>
          </cell>
        </row>
        <row r="32">
          <cell r="BK32">
            <v>0.03</v>
          </cell>
        </row>
        <row r="34">
          <cell r="BK34">
            <v>624.89045682268738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Shingrix"/>
      <sheetName val="dolutegravir"/>
      <sheetName val="Trelegy"/>
      <sheetName val="Advair"/>
      <sheetName val="Zejula"/>
      <sheetName val="Relovair"/>
      <sheetName val="Valtrex"/>
      <sheetName val="Serevent"/>
      <sheetName val="Avodart"/>
      <sheetName val="Flovent"/>
      <sheetName val="Consumer"/>
      <sheetName val="Tykerb"/>
      <sheetName val="Imitrex"/>
      <sheetName val="Lamictal"/>
      <sheetName val="Trexima"/>
      <sheetName val="Combivir"/>
      <sheetName val="Votrient"/>
      <sheetName val="Allermist"/>
      <sheetName val="Avandaryl"/>
      <sheetName val="Trizivir"/>
      <sheetName val="Lexiva"/>
      <sheetName val="Wellbutrin"/>
      <sheetName val="Paxil"/>
      <sheetName val="Requip"/>
      <sheetName val="Flonase"/>
      <sheetName val="Vestipitant"/>
      <sheetName val="MAGE"/>
      <sheetName val="Arzerra"/>
      <sheetName val="eltrombopag"/>
      <sheetName val="Cervarix"/>
      <sheetName val="Horizant"/>
      <sheetName val="716155"/>
      <sheetName val="699"/>
      <sheetName val="Potiga"/>
      <sheetName val="GSK786"/>
      <sheetName val="GSK436"/>
      <sheetName val="GSK212"/>
      <sheetName val="GSK968"/>
      <sheetName val="Relenza"/>
      <sheetName val="IPX066"/>
      <sheetName val="Benlysta"/>
      <sheetName val="Amigal"/>
      <sheetName val="Arixtra"/>
      <sheetName val="Pandemrix"/>
      <sheetName val="MenHibrix"/>
      <sheetName val="Rotarix"/>
      <sheetName val="Synflorix"/>
      <sheetName val="GSK572"/>
      <sheetName val="mepolizumab"/>
      <sheetName val="denosumab"/>
      <sheetName val="Syncria"/>
      <sheetName val="Avandia"/>
    </sheetNames>
    <sheetDataSet>
      <sheetData sheetId="0"/>
      <sheetData sheetId="1">
        <row r="4">
          <cell r="J4">
            <v>4137</v>
          </cell>
        </row>
        <row r="6">
          <cell r="J6">
            <v>0</v>
          </cell>
        </row>
        <row r="7">
          <cell r="J7">
            <v>13947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Idelvion"/>
    </sheetNames>
    <sheetDataSet>
      <sheetData sheetId="0">
        <row r="3">
          <cell r="J3">
            <v>485.19930699999998</v>
          </cell>
        </row>
        <row r="5">
          <cell r="J5">
            <v>1820</v>
          </cell>
        </row>
        <row r="6">
          <cell r="J6">
            <v>12183</v>
          </cell>
        </row>
      </sheetData>
      <sheetData sheetId="1"/>
      <sheetData sheetId="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Entyvio"/>
      <sheetName val="Prevacid"/>
      <sheetName val="Lupron"/>
      <sheetName val="Dexilant"/>
      <sheetName val="alogliptin"/>
      <sheetName val="475"/>
      <sheetName val="Velcade"/>
      <sheetName val="Actos"/>
      <sheetName val="literature"/>
    </sheetNames>
    <sheetDataSet>
      <sheetData sheetId="0"/>
      <sheetData sheetId="1">
        <row r="4">
          <cell r="K4">
            <v>1569</v>
          </cell>
        </row>
        <row r="6">
          <cell r="K6">
            <v>0</v>
          </cell>
        </row>
        <row r="7">
          <cell r="K7">
            <v>3975500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1645.3926369999999</v>
          </cell>
        </row>
        <row r="5">
          <cell r="J5">
            <v>815658</v>
          </cell>
        </row>
        <row r="6">
          <cell r="J6">
            <v>0</v>
          </cell>
        </row>
      </sheetData>
      <sheetData sheetId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5">
          <cell r="J5">
            <v>0</v>
          </cell>
        </row>
        <row r="6">
          <cell r="J6">
            <v>7121.1</v>
          </cell>
        </row>
      </sheetData>
      <sheetData sheetId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</sheetNames>
    <sheetDataSet>
      <sheetData sheetId="0"/>
      <sheetData sheetId="1">
        <row r="3">
          <cell r="J3">
            <v>982.42</v>
          </cell>
        </row>
        <row r="5">
          <cell r="J5">
            <v>0</v>
          </cell>
        </row>
        <row r="6">
          <cell r="J6">
            <v>34255</v>
          </cell>
        </row>
      </sheetData>
      <sheetData sheetId="2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Dupixent"/>
      <sheetName val="Eylea"/>
      <sheetName val="linvoseltamab"/>
      <sheetName val="odronextamab"/>
      <sheetName val="pozelimab"/>
      <sheetName val="mibavademab"/>
      <sheetName val="DB-OTO"/>
      <sheetName val="trevogrumab"/>
      <sheetName val="fianlimab"/>
      <sheetName val="garetosmab"/>
      <sheetName val="itepekimab"/>
      <sheetName val="REGN7508"/>
      <sheetName val="REGN9933"/>
      <sheetName val="Arcalyst"/>
      <sheetName val="Zaltrap"/>
      <sheetName val="VEGF Trap"/>
      <sheetName val="Praluent"/>
      <sheetName val="Libtayo"/>
      <sheetName val="Kevzara"/>
    </sheetNames>
    <sheetDataSet>
      <sheetData sheetId="0">
        <row r="3">
          <cell r="J3">
            <v>111.2</v>
          </cell>
        </row>
        <row r="5">
          <cell r="J5">
            <v>17626</v>
          </cell>
        </row>
        <row r="6">
          <cell r="J6">
            <v>1985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2399</v>
          </cell>
        </row>
        <row r="5">
          <cell r="J5">
            <v>166384.6</v>
          </cell>
        </row>
        <row r="6">
          <cell r="J6">
            <v>136555.90000000002</v>
          </cell>
        </row>
      </sheetData>
      <sheetData sheetId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71.174000000000007</v>
          </cell>
        </row>
        <row r="5">
          <cell r="M5">
            <v>2126.9159999999997</v>
          </cell>
        </row>
        <row r="6">
          <cell r="M6">
            <v>1497.0241719999999</v>
          </cell>
        </row>
      </sheetData>
      <sheetData sheetId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1914.36284</v>
          </cell>
        </row>
        <row r="5">
          <cell r="M5">
            <v>1169.3630000000001</v>
          </cell>
        </row>
        <row r="6">
          <cell r="M6">
            <v>164.994</v>
          </cell>
        </row>
      </sheetData>
      <sheetData sheetId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J3">
            <v>190</v>
          </cell>
        </row>
        <row r="5">
          <cell r="J5">
            <v>0</v>
          </cell>
        </row>
        <row r="6">
          <cell r="J6">
            <v>2614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1133</v>
          </cell>
        </row>
        <row r="5">
          <cell r="M5">
            <v>2258</v>
          </cell>
        </row>
        <row r="6">
          <cell r="M6">
            <v>18640</v>
          </cell>
        </row>
      </sheetData>
      <sheetData sheetId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ALN-HSD"/>
      <sheetName val="Amvuttra"/>
      <sheetName val="Onpattro"/>
      <sheetName val="Oxlumo"/>
    </sheetNames>
    <sheetDataSet>
      <sheetData sheetId="0">
        <row r="3">
          <cell r="L3">
            <v>130.31100000000001</v>
          </cell>
        </row>
        <row r="5">
          <cell r="L5">
            <v>2632.2219999999998</v>
          </cell>
        </row>
        <row r="6">
          <cell r="L6">
            <v>1025.566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Vyvgart"/>
    </sheetNames>
    <sheetDataSet>
      <sheetData sheetId="0">
        <row r="3">
          <cell r="K3">
            <v>60.1</v>
          </cell>
        </row>
        <row r="5">
          <cell r="K5">
            <v>3374</v>
          </cell>
        </row>
        <row r="6">
          <cell r="K6">
            <v>0</v>
          </cell>
        </row>
      </sheetData>
      <sheetData sheetId="1"/>
      <sheetData sheetId="2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510</v>
          </cell>
        </row>
        <row r="5">
          <cell r="K5">
            <v>2095</v>
          </cell>
        </row>
        <row r="6">
          <cell r="K6">
            <v>12904</v>
          </cell>
        </row>
      </sheetData>
      <sheetData sheetId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Viagra"/>
      <sheetName val="Norvasc"/>
      <sheetName val="Lyrica"/>
      <sheetName val="Lipitor"/>
      <sheetName val="Geodon"/>
      <sheetName val="Detrol"/>
      <sheetName val="VTRS"/>
    </sheetNames>
    <sheetDataSet>
      <sheetData sheetId="0">
        <row r="3">
          <cell r="M3">
            <v>1173.6819640000001</v>
          </cell>
        </row>
        <row r="5">
          <cell r="M5">
            <v>755</v>
          </cell>
        </row>
        <row r="6">
          <cell r="M6">
            <v>14186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104.69865899999999</v>
          </cell>
        </row>
        <row r="5">
          <cell r="L5">
            <v>2617.931</v>
          </cell>
        </row>
        <row r="6">
          <cell r="L6">
            <v>1036.9280000000001</v>
          </cell>
        </row>
      </sheetData>
      <sheetData sheetId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1822.6130000000001</v>
          </cell>
        </row>
        <row r="5">
          <cell r="K5">
            <v>471543</v>
          </cell>
        </row>
        <row r="6">
          <cell r="K6">
            <v>1202652</v>
          </cell>
        </row>
      </sheetData>
      <sheetData sheetId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542.72572500000001</v>
          </cell>
        </row>
        <row r="5">
          <cell r="L5">
            <v>1121797</v>
          </cell>
        </row>
        <row r="6">
          <cell r="L6">
            <v>186798</v>
          </cell>
        </row>
      </sheetData>
      <sheetData sheetId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s"/>
    </sheetNames>
    <sheetDataSet>
      <sheetData sheetId="0">
        <row r="3">
          <cell r="L3">
            <v>593.45914800000003</v>
          </cell>
        </row>
        <row r="5">
          <cell r="L5">
            <v>2924.6600000000003</v>
          </cell>
        </row>
        <row r="6">
          <cell r="L6">
            <v>7602.0190000000002</v>
          </cell>
        </row>
      </sheetData>
      <sheetData sheetId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Leqembi"/>
      <sheetName val="dapirolizumab"/>
    </sheetNames>
    <sheetDataSet>
      <sheetData sheetId="0">
        <row r="3">
          <cell r="J3">
            <v>146</v>
          </cell>
        </row>
        <row r="5">
          <cell r="J5">
            <v>2400</v>
          </cell>
        </row>
        <row r="6">
          <cell r="J6">
            <v>3900</v>
          </cell>
        </row>
      </sheetData>
      <sheetData sheetId="1"/>
      <sheetData sheetId="2"/>
      <sheetData sheetId="3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ivonescimab"/>
    </sheetNames>
    <sheetDataSet>
      <sheetData sheetId="0">
        <row r="3">
          <cell r="K3">
            <v>737.79704000000004</v>
          </cell>
        </row>
        <row r="5">
          <cell r="K5">
            <v>412.34900000000005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Remsima"/>
    </sheetNames>
    <sheetDataSet>
      <sheetData sheetId="0">
        <row r="3">
          <cell r="J3">
            <v>142.48709700000001</v>
          </cell>
        </row>
        <row r="5">
          <cell r="J5">
            <v>788822</v>
          </cell>
        </row>
        <row r="6">
          <cell r="J6">
            <v>1890485</v>
          </cell>
        </row>
      </sheetData>
      <sheetData sheetId="1"/>
      <sheetData sheetId="2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687.55490800000007</v>
          </cell>
        </row>
        <row r="5">
          <cell r="L5">
            <v>1470.2719999999999</v>
          </cell>
        </row>
        <row r="6">
          <cell r="L6">
            <v>10166.731</v>
          </cell>
        </row>
      </sheetData>
      <sheetData sheetId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171.84910300000001</v>
          </cell>
        </row>
        <row r="5">
          <cell r="L5">
            <v>1246.799</v>
          </cell>
        </row>
        <row r="6">
          <cell r="L6">
            <v>946.82500000000005</v>
          </cell>
        </row>
      </sheetData>
      <sheetData sheetId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Voxzogo"/>
      <sheetName val="valrox"/>
      <sheetName val="Matrix"/>
    </sheetNames>
    <sheetDataSet>
      <sheetData sheetId="0">
        <row r="3">
          <cell r="L3">
            <v>196</v>
          </cell>
        </row>
        <row r="5">
          <cell r="L5">
            <v>1779</v>
          </cell>
        </row>
        <row r="6">
          <cell r="L6">
            <v>596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4">
          <cell r="K4">
            <v>66.197243999999998</v>
          </cell>
        </row>
        <row r="7">
          <cell r="K7"/>
        </row>
        <row r="8">
          <cell r="K8"/>
        </row>
      </sheetData>
      <sheetData sheetId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5933.3500700000004</v>
          </cell>
        </row>
        <row r="5">
          <cell r="J5">
            <v>25541.705999999998</v>
          </cell>
        </row>
        <row r="6">
          <cell r="J6">
            <v>4222.9400000000005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Remodulin"/>
      <sheetName val="Tyvaso"/>
      <sheetName val="Oral"/>
      <sheetName val="Adcirca"/>
    </sheetNames>
    <sheetDataSet>
      <sheetData sheetId="0">
        <row r="3">
          <cell r="K3">
            <v>44.491176000000003</v>
          </cell>
        </row>
        <row r="5">
          <cell r="K5">
            <v>4301.8999999999996</v>
          </cell>
        </row>
        <row r="6">
          <cell r="K6">
            <v>500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257.473477</v>
          </cell>
        </row>
        <row r="5">
          <cell r="L5">
            <v>675</v>
          </cell>
        </row>
        <row r="6">
          <cell r="L6">
            <v>8880</v>
          </cell>
        </row>
      </sheetData>
      <sheetData sheetId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4">
          <cell r="K4">
            <v>2672.3987109999998</v>
          </cell>
        </row>
        <row r="6">
          <cell r="K6">
            <v>13694</v>
          </cell>
        </row>
        <row r="7">
          <cell r="K7">
            <v>32574</v>
          </cell>
        </row>
      </sheetData>
      <sheetData sheetId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Jakafi"/>
      <sheetName val="NEJM letter"/>
      <sheetName val="Opzelura"/>
      <sheetName val="Olumiant"/>
      <sheetName val="Minjuvi"/>
      <sheetName val="Tabrecta"/>
      <sheetName val="Pemazyre"/>
      <sheetName val="retifanlimab"/>
      <sheetName val="parsaclisib"/>
      <sheetName val="INCB57643"/>
      <sheetName val="CK0804"/>
      <sheetName val="INCB00928"/>
      <sheetName val="axatilimab"/>
      <sheetName val="INCB7839"/>
      <sheetName val="INCB24360"/>
      <sheetName val="INCB 7839"/>
      <sheetName val="INCB 8696"/>
      <sheetName val="Dexelvucitabine"/>
      <sheetName val="INCB 13739"/>
      <sheetName val="INCB 15050"/>
      <sheetName val="Old Model"/>
      <sheetName val="JAK field"/>
    </sheetNames>
    <sheetDataSet>
      <sheetData sheetId="0">
        <row r="3">
          <cell r="K3">
            <v>192.598027</v>
          </cell>
        </row>
        <row r="5">
          <cell r="K5">
            <v>1549.0429999999999</v>
          </cell>
        </row>
        <row r="6">
          <cell r="K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286.34741200000002</v>
          </cell>
        </row>
        <row r="5">
          <cell r="K5">
            <v>363555</v>
          </cell>
        </row>
        <row r="6">
          <cell r="K6">
            <v>238423</v>
          </cell>
        </row>
      </sheetData>
      <sheetData sheetId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Epidiolex"/>
    </sheetNames>
    <sheetDataSet>
      <sheetData sheetId="0">
        <row r="3">
          <cell r="K3">
            <v>61.632840999999999</v>
          </cell>
        </row>
        <row r="5">
          <cell r="K5">
            <v>2571.9459999999999</v>
          </cell>
        </row>
        <row r="6">
          <cell r="K6">
            <v>5367.4809999999998</v>
          </cell>
        </row>
      </sheetData>
      <sheetData sheetId="1">
        <row r="27">
          <cell r="AP27">
            <v>36.378823801023692</v>
          </cell>
        </row>
        <row r="28">
          <cell r="AP28">
            <v>65.822500000000005</v>
          </cell>
        </row>
      </sheetData>
      <sheetData sheetId="2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VAX-24"/>
      <sheetName val="Model"/>
    </sheetNames>
    <sheetDataSet>
      <sheetData sheetId="0">
        <row r="3">
          <cell r="L3">
            <v>111.60967100000001</v>
          </cell>
        </row>
        <row r="5">
          <cell r="L5">
            <v>1853.0430000000001</v>
          </cell>
        </row>
        <row r="6">
          <cell r="L6">
            <v>0</v>
          </cell>
        </row>
      </sheetData>
      <sheetData sheetId="1"/>
      <sheetData sheetId="2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83.814526000000001</v>
          </cell>
        </row>
        <row r="5">
          <cell r="L5">
            <v>0</v>
          </cell>
        </row>
        <row r="6">
          <cell r="L6">
            <v>-6.8</v>
          </cell>
        </row>
      </sheetData>
      <sheetData sheetId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Comirnaty"/>
      <sheetName val="BNT327"/>
    </sheetNames>
    <sheetDataSet>
      <sheetData sheetId="0">
        <row r="3">
          <cell r="K3">
            <v>239.73975200000001</v>
          </cell>
        </row>
        <row r="5">
          <cell r="K5">
            <v>18317.399999999998</v>
          </cell>
        </row>
        <row r="6">
          <cell r="K6">
            <v>250.60000000000002</v>
          </cell>
        </row>
      </sheetData>
      <sheetData sheetId="1"/>
      <sheetData sheetId="2"/>
      <sheetData sheetId="3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M3">
            <v>206.29916</v>
          </cell>
        </row>
        <row r="5">
          <cell r="M5">
            <v>0</v>
          </cell>
        </row>
        <row r="6">
          <cell r="M6">
            <v>1469.4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Ingrezza"/>
      <sheetName val="osavampator"/>
      <sheetName val="crinecerfont"/>
      <sheetName val="1117568"/>
    </sheetNames>
    <sheetDataSet>
      <sheetData sheetId="0">
        <row r="3">
          <cell r="L3">
            <v>103</v>
          </cell>
        </row>
        <row r="5">
          <cell r="L5">
            <v>1940</v>
          </cell>
        </row>
        <row r="6">
          <cell r="L6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Cabometyx"/>
    </sheetNames>
    <sheetDataSet>
      <sheetData sheetId="0">
        <row r="3">
          <cell r="M3">
            <v>272.70828</v>
          </cell>
        </row>
        <row r="5">
          <cell r="M5">
            <v>1650.7570000000001</v>
          </cell>
        </row>
        <row r="6">
          <cell r="M6">
            <v>0</v>
          </cell>
        </row>
      </sheetData>
      <sheetData sheetId="1"/>
      <sheetData sheetId="2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126.678</v>
          </cell>
        </row>
        <row r="5">
          <cell r="M5">
            <v>529.03</v>
          </cell>
        </row>
        <row r="6">
          <cell r="M6">
            <v>1502.5150000000001</v>
          </cell>
        </row>
      </sheetData>
      <sheetData sheetId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69.430642000000006</v>
          </cell>
        </row>
        <row r="5">
          <cell r="K5">
            <v>873.44100000000003</v>
          </cell>
        </row>
        <row r="6">
          <cell r="K6">
            <v>563.18799999999999</v>
          </cell>
        </row>
      </sheetData>
      <sheetData sheetId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L3">
            <v>141.13399999999999</v>
          </cell>
        </row>
        <row r="5">
          <cell r="L5">
            <v>152.5</v>
          </cell>
        </row>
        <row r="6">
          <cell r="L6">
            <v>263.7</v>
          </cell>
        </row>
      </sheetData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Skytrofa"/>
    </sheetNames>
    <sheetDataSet>
      <sheetData sheetId="0">
        <row r="3">
          <cell r="K3">
            <v>58.231000000000002</v>
          </cell>
        </row>
        <row r="5">
          <cell r="K5">
            <v>259</v>
          </cell>
        </row>
        <row r="6">
          <cell r="K6">
            <v>672.63900000000001</v>
          </cell>
        </row>
      </sheetData>
      <sheetData sheetId="1"/>
      <sheetData sheetId="2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VK2735"/>
    </sheetNames>
    <sheetDataSet>
      <sheetData sheetId="0">
        <row r="3">
          <cell r="K3">
            <v>104</v>
          </cell>
        </row>
        <row r="5">
          <cell r="K5">
            <v>711</v>
          </cell>
        </row>
        <row r="6">
          <cell r="K6">
            <v>0</v>
          </cell>
        </row>
      </sheetData>
      <sheetData sheetId="1"/>
      <sheetData sheetId="2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146.21109100000001</v>
          </cell>
        </row>
        <row r="5">
          <cell r="L5">
            <v>2078.6860000000001</v>
          </cell>
        </row>
        <row r="6">
          <cell r="L6">
            <v>1768.7780000000002</v>
          </cell>
        </row>
      </sheetData>
      <sheetData sheetId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K3">
            <v>221.74757500000001</v>
          </cell>
        </row>
        <row r="5">
          <cell r="K5">
            <v>236</v>
          </cell>
        </row>
        <row r="6">
          <cell r="K6">
            <v>1512</v>
          </cell>
        </row>
      </sheetData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533.87796600000001</v>
          </cell>
        </row>
        <row r="5">
          <cell r="L5">
            <v>365009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N3">
            <v>136.41541799999999</v>
          </cell>
        </row>
        <row r="5">
          <cell r="N5">
            <v>542.79999999999995</v>
          </cell>
        </row>
        <row r="6">
          <cell r="N6">
            <v>4057.6000000000004</v>
          </cell>
        </row>
      </sheetData>
      <sheetData sheetId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aficamten"/>
    </sheetNames>
    <sheetDataSet>
      <sheetData sheetId="0">
        <row r="3">
          <cell r="K3">
            <v>117.659578</v>
          </cell>
        </row>
        <row r="5">
          <cell r="K5">
            <v>1362.136</v>
          </cell>
        </row>
        <row r="6">
          <cell r="K6">
            <v>654.95100000000002</v>
          </cell>
        </row>
      </sheetData>
      <sheetData sheetId="1"/>
      <sheetData sheetId="2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acoramidis"/>
    </sheetNames>
    <sheetDataSet>
      <sheetData sheetId="0">
        <row r="3">
          <cell r="N3">
            <v>187.58600000000001</v>
          </cell>
        </row>
        <row r="5">
          <cell r="N5">
            <v>587.20000000000005</v>
          </cell>
        </row>
        <row r="6">
          <cell r="N6">
            <v>1717.5990000000002</v>
          </cell>
        </row>
      </sheetData>
      <sheetData sheetId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Rezdiffra"/>
      <sheetName val="Model"/>
    </sheetNames>
    <sheetDataSet>
      <sheetData sheetId="0">
        <row r="3">
          <cell r="M3">
            <v>21.712676999999999</v>
          </cell>
        </row>
        <row r="5">
          <cell r="M5">
            <v>1062.7939999999999</v>
          </cell>
        </row>
        <row r="6">
          <cell r="M6">
            <v>116.607</v>
          </cell>
        </row>
      </sheetData>
      <sheetData sheetId="1"/>
      <sheetData sheetId="2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Briumvi"/>
    </sheetNames>
    <sheetDataSet>
      <sheetData sheetId="0">
        <row r="3">
          <cell r="J3">
            <v>154.823137</v>
          </cell>
        </row>
        <row r="5">
          <cell r="J5">
            <v>218.19900000000001</v>
          </cell>
        </row>
        <row r="6">
          <cell r="J6">
            <v>102.53700000000001</v>
          </cell>
        </row>
      </sheetData>
      <sheetData sheetId="1"/>
      <sheetData sheetId="2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Auvelity"/>
    </sheetNames>
    <sheetDataSet>
      <sheetData sheetId="0">
        <row r="3">
          <cell r="L3">
            <v>48.436107999999997</v>
          </cell>
        </row>
        <row r="5">
          <cell r="L5">
            <v>386.2</v>
          </cell>
        </row>
        <row r="6">
          <cell r="L6">
            <v>179.33</v>
          </cell>
        </row>
      </sheetData>
      <sheetData sheetId="1"/>
      <sheetData sheetId="2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Carvykti"/>
    </sheetNames>
    <sheetDataSet>
      <sheetData sheetId="0">
        <row r="3">
          <cell r="K3">
            <v>182.60207700000001</v>
          </cell>
        </row>
        <row r="5">
          <cell r="K5">
            <v>1300</v>
          </cell>
        </row>
        <row r="6">
          <cell r="K6">
            <v>291.55900000000003</v>
          </cell>
        </row>
      </sheetData>
      <sheetData sheetId="1"/>
      <sheetData sheetId="2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242</v>
          </cell>
        </row>
        <row r="5">
          <cell r="L5">
            <v>88</v>
          </cell>
        </row>
        <row r="6">
          <cell r="L6">
            <v>131</v>
          </cell>
        </row>
      </sheetData>
      <sheetData sheetId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Consta"/>
      <sheetName val="Vivitrol"/>
      <sheetName val="nemvaleukin"/>
      <sheetName val="Byetta LAR"/>
      <sheetName val="Discontinued - ALKS27"/>
      <sheetName val="Jansenn Contract"/>
      <sheetName val="ALKS33"/>
    </sheetNames>
    <sheetDataSet>
      <sheetData sheetId="0">
        <row r="3">
          <cell r="L3">
            <v>164.668329</v>
          </cell>
        </row>
        <row r="5">
          <cell r="L5">
            <v>962.51900000000001</v>
          </cell>
        </row>
        <row r="6">
          <cell r="L6">
            <v>289.459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K3">
            <v>28.760548</v>
          </cell>
        </row>
        <row r="5">
          <cell r="K5">
            <v>694.2120000000001</v>
          </cell>
        </row>
        <row r="6">
          <cell r="K6">
            <v>0</v>
          </cell>
        </row>
      </sheetData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991.7</v>
          </cell>
        </row>
        <row r="5">
          <cell r="K5">
            <v>6237</v>
          </cell>
        </row>
        <row r="6">
          <cell r="K6">
            <v>3718</v>
          </cell>
        </row>
      </sheetData>
      <sheetData sheetId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18408.301708999999</v>
          </cell>
        </row>
        <row r="5">
          <cell r="K5">
            <v>40588.967999999993</v>
          </cell>
        </row>
        <row r="6">
          <cell r="K6">
            <v>9494.607</v>
          </cell>
        </row>
      </sheetData>
      <sheetData sheetId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267.92457000000002</v>
          </cell>
        </row>
        <row r="5">
          <cell r="J5">
            <v>51</v>
          </cell>
        </row>
        <row r="6">
          <cell r="J6">
            <v>1035</v>
          </cell>
        </row>
      </sheetData>
      <sheetData sheetId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Galafold"/>
    </sheetNames>
    <sheetDataSet>
      <sheetData sheetId="0">
        <row r="3">
          <cell r="M3">
            <v>296.59093100000001</v>
          </cell>
        </row>
        <row r="5">
          <cell r="M5">
            <v>260.06200000000001</v>
          </cell>
        </row>
        <row r="6">
          <cell r="M6">
            <v>388.93900000000002</v>
          </cell>
        </row>
      </sheetData>
      <sheetData sheetId="1"/>
      <sheetData sheetId="2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Vtama"/>
      <sheetName val="brepocitinib"/>
      <sheetName val="batoclimab"/>
      <sheetName val="IP"/>
    </sheetNames>
    <sheetDataSet>
      <sheetData sheetId="0"/>
      <sheetData sheetId="1">
        <row r="3">
          <cell r="K3">
            <v>713.54945799999996</v>
          </cell>
        </row>
        <row r="5">
          <cell r="K5">
            <v>5436.5479999999998</v>
          </cell>
        </row>
        <row r="6">
          <cell r="K6">
            <v>0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Crysvita"/>
    </sheetNames>
    <sheetDataSet>
      <sheetData sheetId="0">
        <row r="3">
          <cell r="L3">
            <v>94.542034999999998</v>
          </cell>
        </row>
        <row r="5">
          <cell r="L5">
            <v>563.00300000000004</v>
          </cell>
        </row>
        <row r="6">
          <cell r="L6">
            <v>0</v>
          </cell>
        </row>
      </sheetData>
      <sheetData sheetId="1"/>
      <sheetData sheetId="2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Anktiva"/>
      <sheetName val="Model"/>
    </sheetNames>
    <sheetDataSet>
      <sheetData sheetId="0">
        <row r="3">
          <cell r="J3">
            <v>696.53341799999998</v>
          </cell>
        </row>
        <row r="5">
          <cell r="J5">
            <v>217.97900000000001</v>
          </cell>
        </row>
        <row r="6">
          <cell r="J6">
            <v>692.91800000000001</v>
          </cell>
        </row>
      </sheetData>
      <sheetData sheetId="1"/>
      <sheetData sheetId="2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Empaveli"/>
      <sheetName val="Syfovre"/>
    </sheetNames>
    <sheetDataSet>
      <sheetData sheetId="0">
        <row r="3">
          <cell r="L3">
            <v>121.766328</v>
          </cell>
        </row>
        <row r="5">
          <cell r="L5">
            <v>360.08699999999999</v>
          </cell>
        </row>
        <row r="6">
          <cell r="L6">
            <v>456.83399999999995</v>
          </cell>
        </row>
      </sheetData>
      <sheetData sheetId="1"/>
      <sheetData sheetId="2"/>
      <sheetData sheetId="3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Vykat"/>
      <sheetName val="Model"/>
    </sheetNames>
    <sheetDataSet>
      <sheetData sheetId="0">
        <row r="3">
          <cell r="J3">
            <v>45.703811000000002</v>
          </cell>
        </row>
        <row r="5">
          <cell r="J5">
            <v>318.64800000000002</v>
          </cell>
        </row>
        <row r="6">
          <cell r="J6">
            <v>49.828000000000003</v>
          </cell>
        </row>
      </sheetData>
      <sheetData sheetId="1"/>
      <sheetData sheetId="2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80.031999999999996</v>
          </cell>
        </row>
        <row r="5">
          <cell r="K5">
            <v>190.494</v>
          </cell>
        </row>
        <row r="6">
          <cell r="K6">
            <v>50.073</v>
          </cell>
        </row>
      </sheetData>
      <sheetData sheetId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anito-cel"/>
    </sheetNames>
    <sheetDataSet>
      <sheetData sheetId="0">
        <row r="3">
          <cell r="K3">
            <v>53.755679000000001</v>
          </cell>
        </row>
        <row r="5">
          <cell r="K5">
            <v>649.44200000000001</v>
          </cell>
        </row>
        <row r="6">
          <cell r="K6">
            <v>0</v>
          </cell>
        </row>
      </sheetData>
      <sheetData sheetId="1"/>
      <sheetData sheetId="2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48.675821999999997</v>
          </cell>
        </row>
        <row r="5">
          <cell r="L5">
            <v>230.154</v>
          </cell>
        </row>
        <row r="6">
          <cell r="L6">
            <v>587.10199999999998</v>
          </cell>
        </row>
      </sheetData>
      <sheetData sheetId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J3">
            <v>93.772288000000003</v>
          </cell>
        </row>
        <row r="5">
          <cell r="J5">
            <v>511.75100000000003</v>
          </cell>
        </row>
        <row r="6">
          <cell r="J6">
            <v>0</v>
          </cell>
        </row>
      </sheetData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efruxifermin"/>
      <sheetName val="Model"/>
    </sheetNames>
    <sheetDataSet>
      <sheetData sheetId="0">
        <row r="3">
          <cell r="L3">
            <v>78.958608999999996</v>
          </cell>
        </row>
        <row r="5">
          <cell r="L5">
            <v>1106.2959999999998</v>
          </cell>
        </row>
        <row r="6">
          <cell r="L6">
            <v>35.122999999999998</v>
          </cell>
        </row>
      </sheetData>
      <sheetData sheetId="1"/>
      <sheetData sheetId="2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L3">
            <v>117.121397</v>
          </cell>
        </row>
        <row r="5">
          <cell r="L5">
            <v>1590.0459999999998</v>
          </cell>
        </row>
        <row r="6">
          <cell r="L6">
            <v>0</v>
          </cell>
        </row>
      </sheetData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Elevidys"/>
      <sheetName val="SRP-9005"/>
      <sheetName val="SRP-9004"/>
      <sheetName val="SRP-9003"/>
    </sheetNames>
    <sheetDataSet>
      <sheetData sheetId="0">
        <row r="3">
          <cell r="L3">
            <v>97</v>
          </cell>
        </row>
        <row r="5">
          <cell r="L5">
            <v>786</v>
          </cell>
        </row>
        <row r="6">
          <cell r="L6">
            <v>1138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troriluzole"/>
      <sheetName val="BHV-2100"/>
    </sheetNames>
    <sheetDataSet>
      <sheetData sheetId="0">
        <row r="3">
          <cell r="L3">
            <v>101.054895</v>
          </cell>
        </row>
        <row r="5">
          <cell r="L5">
            <v>489</v>
          </cell>
        </row>
        <row r="6">
          <cell r="L6">
            <v>0</v>
          </cell>
        </row>
      </sheetData>
      <sheetData sheetId="1"/>
      <sheetData sheetId="2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Spikevax"/>
      <sheetName val="4157"/>
      <sheetName val="1647"/>
    </sheetNames>
    <sheetDataSet>
      <sheetData sheetId="0"/>
      <sheetData sheetId="1">
        <row r="3">
          <cell r="K3">
            <v>384.81781100000001</v>
          </cell>
        </row>
        <row r="5">
          <cell r="K5">
            <v>9519</v>
          </cell>
        </row>
        <row r="6">
          <cell r="K6">
            <v>0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DNL310"/>
    </sheetNames>
    <sheetDataSet>
      <sheetData sheetId="0">
        <row r="3">
          <cell r="K3">
            <v>171.22202999999999</v>
          </cell>
        </row>
        <row r="5">
          <cell r="K5">
            <v>1053.77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166.17400000000001</v>
          </cell>
        </row>
        <row r="5">
          <cell r="K5">
            <v>501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JNJ-3989"/>
      <sheetName val="fazirsiran"/>
      <sheetName val="plozasiran"/>
      <sheetName val="zodasiran"/>
      <sheetName val="RAGE"/>
      <sheetName val="olpasiran"/>
    </sheetNames>
    <sheetDataSet>
      <sheetData sheetId="0">
        <row r="3">
          <cell r="L3">
            <v>124.315274</v>
          </cell>
        </row>
        <row r="5">
          <cell r="L5">
            <v>436.77100000000002</v>
          </cell>
        </row>
        <row r="6">
          <cell r="L6">
            <v>0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Casgevy"/>
      <sheetName val="Model"/>
    </sheetNames>
    <sheetDataSet>
      <sheetData sheetId="0">
        <row r="3">
          <cell r="L3">
            <v>85.168158000000005</v>
          </cell>
        </row>
        <row r="5">
          <cell r="L5">
            <v>2012.8349999999998</v>
          </cell>
        </row>
        <row r="6">
          <cell r="L6">
            <v>0</v>
          </cell>
        </row>
      </sheetData>
      <sheetData sheetId="1"/>
      <sheetData sheetId="2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rusfertide"/>
      <sheetName val="JNJ-2113"/>
    </sheetNames>
    <sheetDataSet>
      <sheetData sheetId="0">
        <row r="3">
          <cell r="L3">
            <v>58.904584999999997</v>
          </cell>
        </row>
        <row r="5">
          <cell r="L5">
            <v>595.44399999999996</v>
          </cell>
        </row>
        <row r="6">
          <cell r="L6">
            <v>0</v>
          </cell>
        </row>
      </sheetData>
      <sheetData sheetId="1"/>
      <sheetData sheetId="2"/>
      <sheetData sheetId="3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L3">
            <v>76.826999999999998</v>
          </cell>
        </row>
        <row r="5">
          <cell r="L5">
            <v>1215590</v>
          </cell>
        </row>
        <row r="6">
          <cell r="L6">
            <v>80000</v>
          </cell>
        </row>
      </sheetData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L3">
            <v>52.482019999999999</v>
          </cell>
        </row>
        <row r="5">
          <cell r="L5">
            <v>658</v>
          </cell>
        </row>
        <row r="6">
          <cell r="L6">
            <v>0</v>
          </cell>
        </row>
      </sheetData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GSBR-1290"/>
    </sheetNames>
    <sheetDataSet>
      <sheetData sheetId="0">
        <row r="3">
          <cell r="N3">
            <v>57.196520333333332</v>
          </cell>
        </row>
        <row r="5">
          <cell r="N5">
            <v>927.11899999999991</v>
          </cell>
        </row>
        <row r="6">
          <cell r="N6">
            <v>0</v>
          </cell>
        </row>
      </sheetData>
      <sheetData sheetId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Orladeyo"/>
    </sheetNames>
    <sheetDataSet>
      <sheetData sheetId="0">
        <row r="3">
          <cell r="M3">
            <v>206.37708799999999</v>
          </cell>
        </row>
        <row r="5">
          <cell r="M5">
            <v>336.55399999999997</v>
          </cell>
        </row>
        <row r="6">
          <cell r="M6">
            <v>308.48399999999998</v>
          </cell>
        </row>
      </sheetData>
      <sheetData sheetId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REC-2282"/>
    </sheetNames>
    <sheetDataSet>
      <sheetData sheetId="0">
        <row r="3">
          <cell r="K3">
            <v>336.03598</v>
          </cell>
        </row>
        <row r="5">
          <cell r="K5">
            <v>603</v>
          </cell>
        </row>
        <row r="6">
          <cell r="K6">
            <v>27.446999999999999</v>
          </cell>
        </row>
      </sheetData>
      <sheetData sheetId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RP-A501"/>
    </sheetNames>
    <sheetDataSet>
      <sheetData sheetId="0">
        <row r="3">
          <cell r="K3">
            <v>107.903871</v>
          </cell>
        </row>
        <row r="5">
          <cell r="K5">
            <v>271.49400000000003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SC291"/>
    </sheetNames>
    <sheetDataSet>
      <sheetData sheetId="0">
        <row r="3">
          <cell r="I3">
            <v>222.5</v>
          </cell>
        </row>
        <row r="5">
          <cell r="I5">
            <v>251.643</v>
          </cell>
        </row>
        <row r="6">
          <cell r="I6">
            <v>0</v>
          </cell>
        </row>
      </sheetData>
      <sheetData sheetId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EAM-101"/>
      <sheetName val="BEAM-302"/>
    </sheetNames>
    <sheetDataSet>
      <sheetData sheetId="0">
        <row r="3">
          <cell r="K3">
            <v>82.415619000000007</v>
          </cell>
        </row>
        <row r="5">
          <cell r="K5">
            <v>1008.165</v>
          </cell>
        </row>
        <row r="6">
          <cell r="K6">
            <v>0</v>
          </cell>
        </row>
      </sheetData>
      <sheetData sheetId="1"/>
      <sheetData sheetId="2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TLA-2001"/>
      <sheetName val="NTLA-2002"/>
      <sheetName val="NTLA-3001"/>
    </sheetNames>
    <sheetDataSet>
      <sheetData sheetId="0">
        <row r="3">
          <cell r="J3">
            <v>96.474999999999994</v>
          </cell>
        </row>
        <row r="5">
          <cell r="J5">
            <v>939.9</v>
          </cell>
        </row>
        <row r="6">
          <cell r="J6">
            <v>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Tuoyi"/>
    </sheetNames>
    <sheetDataSet>
      <sheetData sheetId="0">
        <row r="4">
          <cell r="J4">
            <v>985.68987100000004</v>
          </cell>
        </row>
        <row r="6">
          <cell r="J6">
            <v>4668.6779999999999</v>
          </cell>
        </row>
        <row r="7">
          <cell r="J7">
            <v>1735.1849999999999</v>
          </cell>
        </row>
      </sheetData>
      <sheetData sheetId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Amtagvi"/>
    </sheetNames>
    <sheetDataSet>
      <sheetData sheetId="0">
        <row r="3">
          <cell r="I3">
            <v>303.51387199999999</v>
          </cell>
        </row>
        <row r="5">
          <cell r="I5">
            <v>418.97200000000004</v>
          </cell>
        </row>
        <row r="6">
          <cell r="I6">
            <v>1</v>
          </cell>
        </row>
      </sheetData>
      <sheetData sheetId="1"/>
      <sheetData sheetId="2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O3">
            <v>61.833530000000003</v>
          </cell>
        </row>
        <row r="5">
          <cell r="O5">
            <v>657.05299999999988</v>
          </cell>
        </row>
        <row r="6">
          <cell r="O6">
            <v>19.260000000000002</v>
          </cell>
        </row>
      </sheetData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vusolimogene"/>
    </sheetNames>
    <sheetDataSet>
      <sheetData sheetId="0">
        <row r="5">
          <cell r="K5">
            <v>483.80399999999997</v>
          </cell>
        </row>
        <row r="6">
          <cell r="K6">
            <v>46.377000000000002</v>
          </cell>
        </row>
      </sheetData>
      <sheetData sheetId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taletrectinib"/>
    </sheetNames>
    <sheetDataSet>
      <sheetData sheetId="0">
        <row r="3">
          <cell r="K3">
            <v>249.24512899999999</v>
          </cell>
        </row>
        <row r="5">
          <cell r="K5">
            <v>577.16899999999998</v>
          </cell>
        </row>
        <row r="6">
          <cell r="K6">
            <v>11.634</v>
          </cell>
        </row>
      </sheetData>
      <sheetData sheetId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294.66553199999998</v>
          </cell>
        </row>
        <row r="5">
          <cell r="L5">
            <v>851.52300000000002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irogacestat"/>
    </sheetNames>
    <sheetDataSet>
      <sheetData sheetId="0">
        <row r="3">
          <cell r="K3">
            <v>74.132811000000004</v>
          </cell>
        </row>
        <row r="5">
          <cell r="K5">
            <v>461.9</v>
          </cell>
        </row>
        <row r="6">
          <cell r="K6">
            <v>0</v>
          </cell>
        </row>
      </sheetData>
      <sheetData sheetId="1"/>
      <sheetData sheetId="2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Xdemvy"/>
    </sheetNames>
    <sheetDataSet>
      <sheetData sheetId="0">
        <row r="3">
          <cell r="J3">
            <v>38.377178000000001</v>
          </cell>
        </row>
        <row r="5">
          <cell r="J5">
            <v>291.39999999999998</v>
          </cell>
        </row>
        <row r="6">
          <cell r="J6">
            <v>71.844999999999999</v>
          </cell>
        </row>
      </sheetData>
      <sheetData sheetId="1"/>
      <sheetData sheetId="2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obicetrapib"/>
    </sheetNames>
    <sheetDataSet>
      <sheetData sheetId="0">
        <row r="3">
          <cell r="I3">
            <v>112.27067700000001</v>
          </cell>
        </row>
        <row r="5">
          <cell r="I5">
            <v>748.42</v>
          </cell>
        </row>
        <row r="6">
          <cell r="I6">
            <v>0</v>
          </cell>
        </row>
      </sheetData>
      <sheetData sheetId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150"/>
    </sheetNames>
    <sheetDataSet>
      <sheetData sheetId="0">
        <row r="3">
          <cell r="L3">
            <v>55.286887999999998</v>
          </cell>
        </row>
        <row r="5">
          <cell r="L5">
            <v>578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  <sheetName val="Relyvrio"/>
    </sheetNames>
    <sheetDataSet>
      <sheetData sheetId="0">
        <row r="3">
          <cell r="O3">
            <v>67.176067000000003</v>
          </cell>
        </row>
        <row r="5">
          <cell r="O5">
            <v>345.67399999999998</v>
          </cell>
        </row>
        <row r="6">
          <cell r="O6">
            <v>0</v>
          </cell>
        </row>
      </sheetData>
      <sheetData sheetId="1"/>
      <sheetData sheetId="2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vepdegestrant"/>
    </sheetNames>
    <sheetDataSet>
      <sheetData sheetId="0">
        <row r="3">
          <cell r="O3">
            <v>72.991389999999996</v>
          </cell>
        </row>
        <row r="5">
          <cell r="O5">
            <v>954.3</v>
          </cell>
        </row>
        <row r="6">
          <cell r="O6">
            <v>0.5</v>
          </cell>
        </row>
      </sheetData>
      <sheetData sheetId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zuranolone"/>
      <sheetName val="Model"/>
    </sheetNames>
    <sheetDataSet>
      <sheetData sheetId="0">
        <row r="3">
          <cell r="K3">
            <v>59.717607999999998</v>
          </cell>
        </row>
        <row r="5">
          <cell r="K5">
            <v>1272.4940000000001</v>
          </cell>
        </row>
        <row r="6">
          <cell r="K6">
            <v>0</v>
          </cell>
        </row>
      </sheetData>
      <sheetData sheetId="1"/>
      <sheetData sheetId="2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Imcivree"/>
    </sheetNames>
    <sheetDataSet>
      <sheetData sheetId="0">
        <row r="3">
          <cell r="K3">
            <v>63.621471999999997</v>
          </cell>
        </row>
        <row r="5">
          <cell r="K5">
            <v>314.488</v>
          </cell>
        </row>
        <row r="6">
          <cell r="K6">
            <v>107.934</v>
          </cell>
        </row>
      </sheetData>
      <sheetData sheetId="1"/>
      <sheetData sheetId="2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M3">
            <v>30.538378000000002</v>
          </cell>
        </row>
        <row r="5">
          <cell r="M5">
            <v>145.149</v>
          </cell>
        </row>
        <row r="6">
          <cell r="M6">
            <v>0</v>
          </cell>
        </row>
      </sheetData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KT-621"/>
    </sheetNames>
    <sheetDataSet>
      <sheetData sheetId="0">
        <row r="3">
          <cell r="L3">
            <v>65.119568000000001</v>
          </cell>
        </row>
        <row r="5">
          <cell r="L5">
            <v>775.48500000000001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nkeypox"/>
      <sheetName val="Model"/>
      <sheetName val="Potential award"/>
      <sheetName val="TPOXX"/>
      <sheetName val="Legal"/>
      <sheetName val="Pipeline"/>
    </sheetNames>
    <sheetDataSet>
      <sheetData sheetId="0">
        <row r="3">
          <cell r="L3">
            <v>72.566367</v>
          </cell>
        </row>
        <row r="5">
          <cell r="L5">
            <v>153.25991400000001</v>
          </cell>
        </row>
        <row r="6">
          <cell r="L6">
            <v>0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101.354</v>
          </cell>
        </row>
        <row r="5">
          <cell r="K5">
            <v>531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soquelitinib"/>
    </sheetNames>
    <sheetDataSet>
      <sheetData sheetId="0">
        <row r="3">
          <cell r="K3">
            <v>62.551281000000003</v>
          </cell>
        </row>
        <row r="5">
          <cell r="K5">
            <v>62.650000000000006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101"/>
      <sheetName val="251"/>
    </sheetNames>
    <sheetDataSet>
      <sheetData sheetId="0">
        <row r="3">
          <cell r="K3">
            <v>113.121357</v>
          </cell>
        </row>
        <row r="5">
          <cell r="K5">
            <v>642.26800000000003</v>
          </cell>
        </row>
        <row r="6">
          <cell r="K6">
            <v>0</v>
          </cell>
        </row>
      </sheetData>
      <sheetData sheetId="1"/>
      <sheetData sheetId="2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seralutinib"/>
    </sheetNames>
    <sheetDataSet>
      <sheetData sheetId="0">
        <row r="3">
          <cell r="K3">
            <v>226.227259</v>
          </cell>
        </row>
        <row r="5">
          <cell r="K5">
            <v>354.488</v>
          </cell>
        </row>
        <row r="6">
          <cell r="K6">
            <v>197.05099999999999</v>
          </cell>
        </row>
      </sheetData>
      <sheetData sheetId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galinpepimut-S"/>
      <sheetName val="Literature"/>
    </sheetNames>
    <sheetDataSet>
      <sheetData sheetId="0">
        <row r="3">
          <cell r="L3">
            <v>70.381979000000001</v>
          </cell>
        </row>
        <row r="5">
          <cell r="L5">
            <v>21.030999999999999</v>
          </cell>
        </row>
        <row r="6">
          <cell r="L6">
            <v>10.036999999999999</v>
          </cell>
        </row>
      </sheetData>
      <sheetData sheetId="1"/>
      <sheetData sheetId="2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cibotercept"/>
    </sheetNames>
    <sheetDataSet>
      <sheetData sheetId="0">
        <row r="3">
          <cell r="L3">
            <v>40.507409000000003</v>
          </cell>
        </row>
        <row r="5">
          <cell r="L5">
            <v>732.13299999999992</v>
          </cell>
        </row>
        <row r="6">
          <cell r="L6">
            <v>0</v>
          </cell>
        </row>
      </sheetData>
      <sheetData sheetId="1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21.688772</v>
          </cell>
        </row>
        <row r="5">
          <cell r="L5">
            <v>217.797</v>
          </cell>
        </row>
        <row r="6">
          <cell r="L6">
            <v>621.56200000000001</v>
          </cell>
        </row>
      </sheetData>
      <sheetData sheetId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APG777"/>
    </sheetNames>
    <sheetDataSet>
      <sheetData sheetId="0">
        <row r="3">
          <cell r="L3">
            <v>59.596409000000001</v>
          </cell>
        </row>
        <row r="5">
          <cell r="L5">
            <v>621.18900000000008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Gvoke"/>
    </sheetNames>
    <sheetDataSet>
      <sheetData sheetId="0">
        <row r="3">
          <cell r="L3">
            <v>153.940135</v>
          </cell>
        </row>
        <row r="5">
          <cell r="L5">
            <v>71.620999999999995</v>
          </cell>
        </row>
        <row r="6">
          <cell r="L6">
            <v>232.108</v>
          </cell>
        </row>
      </sheetData>
      <sheetData sheetId="1"/>
      <sheetData sheetId="2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veligrotug"/>
    </sheetNames>
    <sheetDataSet>
      <sheetData sheetId="0">
        <row r="3">
          <cell r="N3">
            <v>79.212746999999993</v>
          </cell>
        </row>
        <row r="5">
          <cell r="N5">
            <v>753.24</v>
          </cell>
        </row>
        <row r="6">
          <cell r="N6">
            <v>20.523</v>
          </cell>
        </row>
      </sheetData>
      <sheetData sheetId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KL1333"/>
    </sheetNames>
    <sheetDataSet>
      <sheetData sheetId="0">
        <row r="3">
          <cell r="M3">
            <v>785.51099999999997</v>
          </cell>
        </row>
        <row r="5">
          <cell r="M5">
            <v>169.4</v>
          </cell>
        </row>
        <row r="6">
          <cell r="M6">
            <v>82.4</v>
          </cell>
        </row>
      </sheetData>
      <sheetData sheetId="1"/>
      <sheetData sheetId="2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</sheetNames>
    <sheetDataSet>
      <sheetData sheetId="0">
        <row r="3">
          <cell r="K3">
            <v>810.72042399999998</v>
          </cell>
        </row>
        <row r="5">
          <cell r="K5">
            <v>4.2309999999999999</v>
          </cell>
        </row>
        <row r="6">
          <cell r="K6">
            <v>42.215000000000003</v>
          </cell>
        </row>
      </sheetData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ATEV"/>
    </sheetNames>
    <sheetDataSet>
      <sheetData sheetId="0">
        <row r="3">
          <cell r="J3">
            <v>127.84193</v>
          </cell>
        </row>
        <row r="5">
          <cell r="J5">
            <v>115.78</v>
          </cell>
        </row>
        <row r="6">
          <cell r="J6">
            <v>0</v>
          </cell>
        </row>
      </sheetData>
      <sheetData sheetId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efzofitimod"/>
      <sheetName val="Glossary"/>
      <sheetName val="Papers"/>
      <sheetName val="Literature"/>
      <sheetName val="ASS"/>
    </sheetNames>
    <sheetDataSet>
      <sheetData sheetId="0">
        <row r="3">
          <cell r="K3">
            <v>89.004435999999998</v>
          </cell>
        </row>
        <row r="5">
          <cell r="K5">
            <v>76.34899999999999</v>
          </cell>
        </row>
        <row r="6">
          <cell r="K6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42.199413999999997</v>
          </cell>
        </row>
        <row r="5">
          <cell r="J5">
            <v>249.57499999999999</v>
          </cell>
        </row>
        <row r="6">
          <cell r="J6">
            <v>121.7</v>
          </cell>
        </row>
      </sheetData>
      <sheetData sheetId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J3">
            <v>79.032341000000002</v>
          </cell>
        </row>
        <row r="5">
          <cell r="J5">
            <v>266.5</v>
          </cell>
        </row>
        <row r="6">
          <cell r="J6">
            <v>75</v>
          </cell>
        </row>
      </sheetData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  <sheetName val="Yutrepia"/>
      <sheetName val="Generic"/>
    </sheetNames>
    <sheetDataSet>
      <sheetData sheetId="0">
        <row r="3">
          <cell r="J3">
            <v>64.344476</v>
          </cell>
        </row>
        <row r="5">
          <cell r="J5">
            <v>111.794</v>
          </cell>
        </row>
        <row r="6">
          <cell r="J6">
            <v>19.475999999999999</v>
          </cell>
        </row>
      </sheetData>
      <sheetData sheetId="1"/>
      <sheetData sheetId="2"/>
      <sheetData sheetId="3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pegipanermin"/>
      <sheetName val="Autoimmune-Inflammatory-Drugs"/>
      <sheetName val="Trials"/>
      <sheetName val="AD"/>
      <sheetName val="TNF"/>
      <sheetName val="Glossary"/>
      <sheetName val="Literature"/>
    </sheetNames>
    <sheetDataSet>
      <sheetData sheetId="0">
        <row r="3">
          <cell r="M3">
            <v>23.210377000000001</v>
          </cell>
        </row>
        <row r="5">
          <cell r="M5">
            <v>19.337</v>
          </cell>
        </row>
        <row r="6">
          <cell r="M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denifanstat"/>
    </sheetNames>
    <sheetDataSet>
      <sheetData sheetId="0">
        <row r="3">
          <cell r="K3">
            <v>32.195345000000003</v>
          </cell>
        </row>
        <row r="5">
          <cell r="K5">
            <v>144.56900000000002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44.567334000000002</v>
          </cell>
        </row>
        <row r="5">
          <cell r="M5">
            <v>99.997</v>
          </cell>
        </row>
        <row r="6">
          <cell r="M6">
            <v>0</v>
          </cell>
        </row>
      </sheetData>
      <sheetData sheetId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sebetralstat"/>
    </sheetNames>
    <sheetDataSet>
      <sheetData sheetId="0">
        <row r="3">
          <cell r="K3">
            <v>43.215471999999998</v>
          </cell>
        </row>
        <row r="5">
          <cell r="K5">
            <v>174.27199999999999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</sheetNames>
    <sheetDataSet>
      <sheetData sheetId="0">
        <row r="3">
          <cell r="M3">
            <v>19.799357000000001</v>
          </cell>
        </row>
        <row r="5">
          <cell r="M5">
            <v>236.422</v>
          </cell>
        </row>
        <row r="6">
          <cell r="M6">
            <v>0</v>
          </cell>
        </row>
      </sheetData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Duravyu"/>
    </sheetNames>
    <sheetDataSet>
      <sheetData sheetId="0">
        <row r="3">
          <cell r="K3">
            <v>53.518210000000003</v>
          </cell>
        </row>
        <row r="5">
          <cell r="K5">
            <v>280.24800000000005</v>
          </cell>
        </row>
        <row r="6">
          <cell r="K6">
            <v>0</v>
          </cell>
        </row>
      </sheetData>
      <sheetData sheetId="1"/>
      <sheetData sheetId="2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nabulphine"/>
    </sheetNames>
    <sheetDataSet>
      <sheetData sheetId="0">
        <row r="3">
          <cell r="J3">
            <v>72.591916999999995</v>
          </cell>
        </row>
        <row r="5">
          <cell r="J5">
            <v>69.49499999999999</v>
          </cell>
        </row>
        <row r="6">
          <cell r="J6">
            <v>0</v>
          </cell>
        </row>
      </sheetData>
      <sheetData sheetId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CLS-AX"/>
    </sheetNames>
    <sheetDataSet>
      <sheetData sheetId="0">
        <row r="3">
          <cell r="K3">
            <v>74.745571999999996</v>
          </cell>
        </row>
        <row r="5">
          <cell r="K5">
            <v>29.36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L3">
            <v>88.319316999999998</v>
          </cell>
        </row>
        <row r="5">
          <cell r="L5">
            <v>14.502000000000001</v>
          </cell>
        </row>
        <row r="6">
          <cell r="L6">
            <v>0</v>
          </cell>
        </row>
      </sheetData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</sheetNames>
    <sheetDataSet>
      <sheetData sheetId="0">
        <row r="3">
          <cell r="K3">
            <v>35.751956</v>
          </cell>
        </row>
        <row r="5">
          <cell r="K5">
            <v>66.650000000000006</v>
          </cell>
        </row>
        <row r="6">
          <cell r="K6">
            <v>11.667</v>
          </cell>
        </row>
      </sheetData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rezpegaldesleukin"/>
    </sheetNames>
    <sheetDataSet>
      <sheetData sheetId="0">
        <row r="3">
          <cell r="I3">
            <v>12.406903866666665</v>
          </cell>
        </row>
        <row r="5">
          <cell r="I5">
            <v>220.65100000000001</v>
          </cell>
        </row>
        <row r="6">
          <cell r="I6">
            <v>0</v>
          </cell>
        </row>
      </sheetData>
      <sheetData sheetId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K3">
            <v>70.558753999999993</v>
          </cell>
        </row>
        <row r="5">
          <cell r="K5">
            <v>426.65000000000003</v>
          </cell>
        </row>
        <row r="6">
          <cell r="K6">
            <v>0</v>
          </cell>
        </row>
      </sheetData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J3">
            <v>6.4523979999999996</v>
          </cell>
        </row>
        <row r="5">
          <cell r="J5">
            <v>42.222000000000001</v>
          </cell>
        </row>
        <row r="6">
          <cell r="J6">
            <v>15.503</v>
          </cell>
        </row>
      </sheetData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larcamesine"/>
      <sheetName val="IP"/>
      <sheetName val="Sigma"/>
    </sheetNames>
    <sheetDataSet>
      <sheetData sheetId="0">
        <row r="3">
          <cell r="I3">
            <v>85.064199000000002</v>
          </cell>
        </row>
        <row r="5">
          <cell r="I5">
            <v>120.77500000000001</v>
          </cell>
        </row>
        <row r="6">
          <cell r="I6">
            <v>0</v>
          </cell>
        </row>
      </sheetData>
      <sheetData sheetId="1"/>
      <sheetData sheetId="2"/>
      <sheetData sheetId="3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varegacestat"/>
    </sheetNames>
    <sheetDataSet>
      <sheetData sheetId="0">
        <row r="3">
          <cell r="K3">
            <v>87.045007999999996</v>
          </cell>
        </row>
        <row r="5">
          <cell r="K5">
            <v>267.89999999999998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K3">
            <v>30.426682</v>
          </cell>
        </row>
        <row r="5">
          <cell r="K5">
            <v>458.03099999999995</v>
          </cell>
        </row>
        <row r="6">
          <cell r="K6">
            <v>0</v>
          </cell>
        </row>
      </sheetData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115.213407</v>
          </cell>
        </row>
        <row r="5">
          <cell r="J5">
            <v>581.08999999999992</v>
          </cell>
        </row>
        <row r="6">
          <cell r="J6">
            <v>264.50900000000001</v>
          </cell>
        </row>
      </sheetData>
      <sheetData sheetId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PRGN-2012"/>
    </sheetNames>
    <sheetDataSet>
      <sheetData sheetId="0">
        <row r="3">
          <cell r="J3">
            <v>297.97291999999999</v>
          </cell>
        </row>
        <row r="5">
          <cell r="J5">
            <v>59.753</v>
          </cell>
        </row>
        <row r="6">
          <cell r="J6">
            <v>0</v>
          </cell>
        </row>
      </sheetData>
      <sheetData sheetId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imdusiran"/>
    </sheetNames>
    <sheetDataSet>
      <sheetData sheetId="0">
        <row r="3">
          <cell r="L3">
            <v>189.49168499999999</v>
          </cell>
        </row>
        <row r="5">
          <cell r="L5">
            <v>130.75800000000001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deramiocel"/>
    </sheetNames>
    <sheetDataSet>
      <sheetData sheetId="0">
        <row r="3">
          <cell r="K3">
            <v>45.707819000000001</v>
          </cell>
        </row>
        <row r="5">
          <cell r="K5">
            <v>144.77739600000001</v>
          </cell>
        </row>
        <row r="6">
          <cell r="K6">
            <v>0</v>
          </cell>
        </row>
      </sheetData>
      <sheetData sheetId="1"/>
      <sheetData sheetId="2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K3">
            <v>92.673131999999995</v>
          </cell>
        </row>
        <row r="5">
          <cell r="K5">
            <v>165.08099999999999</v>
          </cell>
        </row>
        <row r="6">
          <cell r="K6">
            <v>30.164999999999999</v>
          </cell>
        </row>
      </sheetData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nomlabofusp"/>
    </sheetNames>
    <sheetDataSet>
      <sheetData sheetId="0">
        <row r="3">
          <cell r="J3">
            <v>106.59039199999999</v>
          </cell>
        </row>
        <row r="5">
          <cell r="J5">
            <v>204.524</v>
          </cell>
        </row>
        <row r="6">
          <cell r="J6">
            <v>0</v>
          </cell>
        </row>
      </sheetData>
      <sheetData sheetId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TX45"/>
    </sheetNames>
    <sheetDataSet>
      <sheetData sheetId="0">
        <row r="3">
          <cell r="M3">
            <v>14.752689</v>
          </cell>
        </row>
        <row r="5">
          <cell r="M5">
            <v>159.095</v>
          </cell>
        </row>
        <row r="6">
          <cell r="M6">
            <v>0</v>
          </cell>
        </row>
      </sheetData>
      <sheetData sheetId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6.1240869999999994</v>
          </cell>
        </row>
        <row r="5">
          <cell r="L5">
            <v>40.720092000000001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ersodetug"/>
    </sheetNames>
    <sheetDataSet>
      <sheetData sheetId="0">
        <row r="3">
          <cell r="M3">
            <v>97.631</v>
          </cell>
        </row>
        <row r="5">
          <cell r="M5">
            <v>195.3</v>
          </cell>
        </row>
        <row r="6">
          <cell r="M6">
            <v>0</v>
          </cell>
        </row>
      </sheetData>
      <sheetData sheetId="1"/>
      <sheetData sheetId="2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M3">
            <v>32.475537000000003</v>
          </cell>
        </row>
        <row r="5">
          <cell r="M5">
            <v>16.823999999999998</v>
          </cell>
        </row>
        <row r="6">
          <cell r="M6">
            <v>14.916</v>
          </cell>
        </row>
      </sheetData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L3">
            <v>129.17000400000001</v>
          </cell>
        </row>
        <row r="5">
          <cell r="L5">
            <v>65.116</v>
          </cell>
        </row>
        <row r="6">
          <cell r="L6">
            <v>0</v>
          </cell>
        </row>
      </sheetData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pz-cel"/>
    </sheetNames>
    <sheetDataSet>
      <sheetData sheetId="0">
        <row r="3">
          <cell r="J3">
            <v>43.314397</v>
          </cell>
        </row>
        <row r="5">
          <cell r="J5">
            <v>122.708</v>
          </cell>
        </row>
        <row r="6">
          <cell r="J6">
            <v>18.355</v>
          </cell>
        </row>
      </sheetData>
      <sheetData sheetId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P3">
            <v>22.004159000000001</v>
          </cell>
        </row>
        <row r="5">
          <cell r="P5">
            <v>4.1559999999999997</v>
          </cell>
        </row>
        <row r="6">
          <cell r="P6">
            <v>8.4879999999999995</v>
          </cell>
        </row>
      </sheetData>
      <sheetData sheetId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54.533253999999999</v>
          </cell>
        </row>
        <row r="5">
          <cell r="L5">
            <v>371.02100000000002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L3">
            <v>52.028145000000002</v>
          </cell>
        </row>
        <row r="5">
          <cell r="L5">
            <v>193.8</v>
          </cell>
        </row>
        <row r="6">
          <cell r="L6">
            <v>0</v>
          </cell>
        </row>
      </sheetData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rilparencel"/>
    </sheetNames>
    <sheetDataSet>
      <sheetData sheetId="0">
        <row r="3">
          <cell r="I3">
            <v>129.53612100000001</v>
          </cell>
        </row>
        <row r="5">
          <cell r="I5">
            <v>358.29200000000003</v>
          </cell>
        </row>
        <row r="6">
          <cell r="I6">
            <v>0</v>
          </cell>
        </row>
      </sheetData>
      <sheetData sheetId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K3">
            <v>48.755451000000001</v>
          </cell>
        </row>
        <row r="5">
          <cell r="K5">
            <v>71.718999999999994</v>
          </cell>
        </row>
        <row r="6">
          <cell r="K6">
            <v>30.161999999999999</v>
          </cell>
        </row>
      </sheetData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Pemgarda"/>
    </sheetNames>
    <sheetDataSet>
      <sheetData sheetId="0">
        <row r="3">
          <cell r="M3">
            <v>119.961445</v>
          </cell>
        </row>
        <row r="5">
          <cell r="M5">
            <v>69.349000000000004</v>
          </cell>
        </row>
        <row r="6">
          <cell r="M6">
            <v>0</v>
          </cell>
        </row>
      </sheetData>
      <sheetData sheetId="1"/>
      <sheetData sheetId="2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J3">
            <v>59.215795</v>
          </cell>
        </row>
        <row r="5">
          <cell r="J5">
            <v>93.183999999999997</v>
          </cell>
        </row>
        <row r="6">
          <cell r="J6">
            <v>31.134</v>
          </cell>
        </row>
      </sheetData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kappa"/>
      <sheetName val="navacaprant"/>
      <sheetName val="Options"/>
    </sheetNames>
    <sheetDataSet>
      <sheetData sheetId="0">
        <row r="3">
          <cell r="K3">
            <v>158.98400000000001</v>
          </cell>
        </row>
        <row r="5">
          <cell r="K5">
            <v>371.63900000000001</v>
          </cell>
        </row>
        <row r="6">
          <cell r="K6">
            <v>0</v>
          </cell>
        </row>
      </sheetData>
      <sheetData sheetId="1"/>
      <sheetData sheetId="2"/>
      <sheetData sheetId="3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Glossary"/>
      <sheetName val="Phase 2"/>
      <sheetName val="Alzheimer's"/>
      <sheetName val="Options"/>
      <sheetName val="simufilam"/>
      <sheetName val="Insiders"/>
      <sheetName val="Prior Successes"/>
      <sheetName val="Prior Failures"/>
      <sheetName val="AB"/>
      <sheetName val="FLNA"/>
    </sheetNames>
    <sheetDataSet>
      <sheetData sheetId="0">
        <row r="3">
          <cell r="J3">
            <v>47.976165999999999</v>
          </cell>
        </row>
        <row r="5">
          <cell r="J5">
            <v>149</v>
          </cell>
        </row>
        <row r="6">
          <cell r="J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K3">
            <v>48.877164</v>
          </cell>
        </row>
        <row r="5">
          <cell r="K5">
            <v>183.012</v>
          </cell>
        </row>
        <row r="6">
          <cell r="K6">
            <v>0</v>
          </cell>
        </row>
      </sheetData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L3">
            <v>36.819809999999997</v>
          </cell>
        </row>
        <row r="5">
          <cell r="L5">
            <v>57.733724000000002</v>
          </cell>
        </row>
        <row r="6">
          <cell r="L6">
            <v>24.225999999999999</v>
          </cell>
        </row>
      </sheetData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AlloNK"/>
    </sheetNames>
    <sheetDataSet>
      <sheetData sheetId="0">
        <row r="3">
          <cell r="K3">
            <v>24.289328000000001</v>
          </cell>
        </row>
        <row r="5">
          <cell r="K5">
            <v>199.59700000000001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K3">
            <v>38.317897000000002</v>
          </cell>
        </row>
        <row r="5">
          <cell r="K5">
            <v>62.823</v>
          </cell>
        </row>
        <row r="6">
          <cell r="K6">
            <v>0</v>
          </cell>
        </row>
      </sheetData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rilaroxazine"/>
      <sheetName val="Model"/>
    </sheetNames>
    <sheetDataSet>
      <sheetData sheetId="0">
        <row r="3">
          <cell r="K3">
            <v>33.441198999999997</v>
          </cell>
        </row>
        <row r="5">
          <cell r="K5">
            <v>5.5588170000000003</v>
          </cell>
        </row>
        <row r="6">
          <cell r="K6">
            <v>8.3000000000000004E-2</v>
          </cell>
        </row>
      </sheetData>
      <sheetData sheetId="1"/>
      <sheetData sheetId="2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vidofludimus"/>
    </sheetNames>
    <sheetDataSet>
      <sheetData sheetId="0">
        <row r="3">
          <cell r="L3">
            <v>101.27258</v>
          </cell>
        </row>
        <row r="5">
          <cell r="L5">
            <v>59.1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levosimendan "/>
    </sheetNames>
    <sheetDataSet>
      <sheetData sheetId="0">
        <row r="3">
          <cell r="K3">
            <v>35.291576999999997</v>
          </cell>
        </row>
        <row r="5">
          <cell r="K5">
            <v>98.310918000000001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empikibart"/>
    </sheetNames>
    <sheetDataSet>
      <sheetData sheetId="0">
        <row r="3">
          <cell r="K3">
            <v>12.076411999999999</v>
          </cell>
        </row>
        <row r="5">
          <cell r="K5">
            <v>89.078000000000003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27.999521999999999</v>
          </cell>
        </row>
        <row r="5">
          <cell r="K5">
            <v>19.905999999999999</v>
          </cell>
        </row>
        <row r="6">
          <cell r="K6">
            <v>4.4909999999999997</v>
          </cell>
        </row>
      </sheetData>
      <sheetData sheetId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elapectin"/>
      <sheetName val="Subgroups"/>
      <sheetName val="NASH"/>
      <sheetName val="Papers"/>
    </sheetNames>
    <sheetDataSet>
      <sheetData sheetId="0">
        <row r="3">
          <cell r="K3">
            <v>62.761825000000002</v>
          </cell>
        </row>
        <row r="5">
          <cell r="K5">
            <v>27.06</v>
          </cell>
        </row>
        <row r="6">
          <cell r="K6">
            <v>104.554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aster"/>
      <sheetName val="Model"/>
      <sheetName val="Enbrel"/>
      <sheetName val="Lumakras"/>
      <sheetName val="Neulasta"/>
      <sheetName val="Neupogen"/>
      <sheetName val="Epogen"/>
      <sheetName val="EPO safety"/>
      <sheetName val="Aranesp"/>
      <sheetName val="G-CSF"/>
      <sheetName val="Sensipar"/>
      <sheetName val="Vectibix"/>
      <sheetName val="Denosumab"/>
      <sheetName val="Denosumab trials"/>
      <sheetName val="Kineret"/>
      <sheetName val="706"/>
      <sheetName val="531"/>
      <sheetName val="108"/>
      <sheetName val="114"/>
      <sheetName val="223"/>
      <sheetName val="386"/>
      <sheetName val="479"/>
      <sheetName val="102"/>
      <sheetName val="655"/>
      <sheetName val="785"/>
      <sheetName val="811"/>
      <sheetName val="208"/>
      <sheetName val="714"/>
      <sheetName val="Failures"/>
      <sheetName val="Kepivance"/>
    </sheetNames>
    <sheetDataSet>
      <sheetData sheetId="0">
        <row r="3">
          <cell r="L3">
            <v>40.004356999999999</v>
          </cell>
        </row>
        <row r="5">
          <cell r="L5">
            <v>277.88299999999998</v>
          </cell>
        </row>
        <row r="6">
          <cell r="L6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</sheetNames>
    <sheetDataSet>
      <sheetData sheetId="0">
        <row r="3">
          <cell r="N3">
            <v>9.4141049999999993</v>
          </cell>
        </row>
        <row r="5">
          <cell r="N5">
            <v>11.249000000000001</v>
          </cell>
        </row>
        <row r="6">
          <cell r="N6">
            <v>18.713000000000001</v>
          </cell>
        </row>
      </sheetData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</sheetNames>
    <sheetDataSet>
      <sheetData sheetId="0">
        <row r="3">
          <cell r="N3">
            <v>20.079526999999999</v>
          </cell>
        </row>
        <row r="5">
          <cell r="N5">
            <v>16.64</v>
          </cell>
        </row>
        <row r="6">
          <cell r="N6">
            <v>0.69799999999999995</v>
          </cell>
        </row>
      </sheetData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</sheetNames>
    <sheetDataSet>
      <sheetData sheetId="0">
        <row r="3">
          <cell r="L3">
            <v>48.69059</v>
          </cell>
        </row>
        <row r="5">
          <cell r="L5">
            <v>18.687999999999999</v>
          </cell>
        </row>
        <row r="6">
          <cell r="L6">
            <v>5.4249999999999998</v>
          </cell>
        </row>
      </sheetData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K3">
            <v>60.293999999999997</v>
          </cell>
        </row>
        <row r="5">
          <cell r="K5">
            <v>136.64599999999999</v>
          </cell>
        </row>
        <row r="6">
          <cell r="K6">
            <v>0</v>
          </cell>
        </row>
      </sheetData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J3">
            <v>30.972162999999998</v>
          </cell>
        </row>
        <row r="5">
          <cell r="J5">
            <v>220.43200000000002</v>
          </cell>
        </row>
        <row r="6">
          <cell r="J6">
            <v>0</v>
          </cell>
        </row>
      </sheetData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L3">
            <v>114.846271</v>
          </cell>
        </row>
        <row r="5">
          <cell r="L5">
            <v>122.197</v>
          </cell>
        </row>
        <row r="6">
          <cell r="L6">
            <v>0</v>
          </cell>
        </row>
      </sheetData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</sheetNames>
    <sheetDataSet>
      <sheetData sheetId="0">
        <row r="3">
          <cell r="J3">
            <v>121.89977399999999</v>
          </cell>
        </row>
        <row r="5">
          <cell r="J5">
            <v>601.89099999999996</v>
          </cell>
        </row>
        <row r="6">
          <cell r="J6">
            <v>0.30099999999999999</v>
          </cell>
        </row>
      </sheetData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sabizabulin"/>
    </sheetNames>
    <sheetDataSet>
      <sheetData sheetId="0">
        <row r="3">
          <cell r="L3">
            <v>146.38391999999999</v>
          </cell>
        </row>
        <row r="5">
          <cell r="L5">
            <v>24.916284999999998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ZN-c3"/>
    </sheetNames>
    <sheetDataSet>
      <sheetData sheetId="0">
        <row r="3">
          <cell r="K3">
            <v>57.069490999999999</v>
          </cell>
        </row>
        <row r="5">
          <cell r="K5">
            <v>449.76100000000002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</sheetNames>
    <sheetDataSet>
      <sheetData sheetId="0">
        <row r="3">
          <cell r="M3">
            <v>184.19892899999999</v>
          </cell>
        </row>
        <row r="5">
          <cell r="M5">
            <v>67.233999999999995</v>
          </cell>
        </row>
        <row r="6">
          <cell r="M6">
            <v>126.736</v>
          </cell>
        </row>
      </sheetData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4263.5283170000002</v>
          </cell>
        </row>
        <row r="5">
          <cell r="J5">
            <v>10082.542000000001</v>
          </cell>
        </row>
        <row r="6">
          <cell r="J6">
            <v>2347.1640000000002</v>
          </cell>
        </row>
      </sheetData>
      <sheetData sheetId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Caplyta"/>
    </sheetNames>
    <sheetDataSet>
      <sheetData sheetId="0">
        <row r="3">
          <cell r="L3">
            <v>105.66692500000001</v>
          </cell>
        </row>
        <row r="5">
          <cell r="L5">
            <v>1024.6570000000002</v>
          </cell>
        </row>
        <row r="6">
          <cell r="L6">
            <v>0</v>
          </cell>
        </row>
      </sheetData>
      <sheetData sheetId="1"/>
      <sheetData sheetId="2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exicaserin"/>
    </sheetNames>
    <sheetDataSet>
      <sheetData sheetId="0">
        <row r="3">
          <cell r="K3">
            <v>38.899521</v>
          </cell>
        </row>
        <row r="5">
          <cell r="K5">
            <v>304.87299999999999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K3">
            <v>62.853999999999999</v>
          </cell>
        </row>
        <row r="5">
          <cell r="K5">
            <v>868.471</v>
          </cell>
        </row>
        <row r="6">
          <cell r="K6">
            <v>386.91399999999999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5A20BCEA-4C45-4B42-BEED-323725F9E7FF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E7" dT="2025-01-25T23:31:10.69" personId="{5A20BCEA-4C45-4B42-BEED-323725F9E7FF}" id="{CD1010F9-76B4-444F-8BE3-0C7F8D316EE9}">
    <text>1888 Abbott Labs, 2013 AbbVie</text>
  </threadedComment>
  <threadedComment ref="AE13" dT="2025-01-25T23:31:27.11" personId="{5A20BCEA-4C45-4B42-BEED-323725F9E7FF}" id="{C7B21EC5-CCB1-4871-B59C-1D6C7B04AAA3}">
    <text>Merger created Novartis in 1996</text>
  </threadedComment>
  <threadedComment ref="AE15" dT="2025-01-25T23:30:42.16" personId="{5A20BCEA-4C45-4B42-BEED-323725F9E7FF}" id="{B2572E6F-40CC-4FA7-9340-8AC8902D6330}">
    <text>Expropriated from Merck in Germany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7" dT="2024-10-05T01:59:23.04" personId="{5A20BCEA-4C45-4B42-BEED-323725F9E7FF}" id="{D92D9A65-014E-44BC-BD63-8FFD745601DC}">
    <text>Sanofi-Synthelabo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71323DD-95DC-4CA5-A445-1E1B2A90D285}">
  <we:reference id="wa200007447" version="1.0.0.0" store="en-US" storeType="OMEX"/>
  <we:alternateReferences>
    <we:reference id="wa200007447" version="1.0.0.0" store="wa20000744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../Downloads/EVO.xlsx" TargetMode="External"/><Relationship Id="rId21" Type="http://schemas.openxmlformats.org/officeDocument/2006/relationships/hyperlink" Target="MGTX.xlsx" TargetMode="External"/><Relationship Id="rId42" Type="http://schemas.openxmlformats.org/officeDocument/2006/relationships/hyperlink" Target="../Downloads/EXAI.xlsx" TargetMode="External"/><Relationship Id="rId63" Type="http://schemas.openxmlformats.org/officeDocument/2006/relationships/hyperlink" Target="../Downloads/IONS.xlsx" TargetMode="External"/><Relationship Id="rId84" Type="http://schemas.openxmlformats.org/officeDocument/2006/relationships/hyperlink" Target="../Downloads/LXRX.xlsx" TargetMode="External"/><Relationship Id="rId138" Type="http://schemas.openxmlformats.org/officeDocument/2006/relationships/hyperlink" Target="../Downloads/ESLA.xlsx" TargetMode="External"/><Relationship Id="rId159" Type="http://schemas.openxmlformats.org/officeDocument/2006/relationships/hyperlink" Target="ACLX.xlsx" TargetMode="External"/><Relationship Id="rId170" Type="http://schemas.openxmlformats.org/officeDocument/2006/relationships/hyperlink" Target="../Downloads/VYGR.xlsx" TargetMode="External"/><Relationship Id="rId191" Type="http://schemas.openxmlformats.org/officeDocument/2006/relationships/hyperlink" Target="AKRO.xlsx" TargetMode="External"/><Relationship Id="rId205" Type="http://schemas.openxmlformats.org/officeDocument/2006/relationships/hyperlink" Target="ALVO.xlsx" TargetMode="External"/><Relationship Id="rId107" Type="http://schemas.openxmlformats.org/officeDocument/2006/relationships/hyperlink" Target="PTGX.xlsx" TargetMode="External"/><Relationship Id="rId11" Type="http://schemas.openxmlformats.org/officeDocument/2006/relationships/hyperlink" Target="ABBV.xlsx" TargetMode="External"/><Relationship Id="rId32" Type="http://schemas.openxmlformats.org/officeDocument/2006/relationships/hyperlink" Target="../../AppData/Roaming/Microsoft/Excel/SIGA.xlsx" TargetMode="External"/><Relationship Id="rId53" Type="http://schemas.openxmlformats.org/officeDocument/2006/relationships/hyperlink" Target="../Downloads/RPRX.xlsx" TargetMode="External"/><Relationship Id="rId74" Type="http://schemas.openxmlformats.org/officeDocument/2006/relationships/hyperlink" Target="../Downloads/REC.xlsx" TargetMode="External"/><Relationship Id="rId128" Type="http://schemas.openxmlformats.org/officeDocument/2006/relationships/hyperlink" Target="../Downloads/4151%20JP.xlsx" TargetMode="External"/><Relationship Id="rId149" Type="http://schemas.openxmlformats.org/officeDocument/2006/relationships/hyperlink" Target="../Downloads/FOLD.xlsx" TargetMode="External"/><Relationship Id="rId5" Type="http://schemas.openxmlformats.org/officeDocument/2006/relationships/hyperlink" Target="NVS.xlsx" TargetMode="External"/><Relationship Id="rId95" Type="http://schemas.openxmlformats.org/officeDocument/2006/relationships/hyperlink" Target="../Downloads/2196%20HK.xlsx" TargetMode="External"/><Relationship Id="rId160" Type="http://schemas.openxmlformats.org/officeDocument/2006/relationships/hyperlink" Target="SANA.xlsx" TargetMode="External"/><Relationship Id="rId181" Type="http://schemas.openxmlformats.org/officeDocument/2006/relationships/hyperlink" Target="../Downloads/VRDN.xlsx" TargetMode="External"/><Relationship Id="rId216" Type="http://schemas.openxmlformats.org/officeDocument/2006/relationships/hyperlink" Target="KALA.xlsx" TargetMode="External"/><Relationship Id="rId22" Type="http://schemas.openxmlformats.org/officeDocument/2006/relationships/hyperlink" Target="../../AppData/Roaming/OneDrive/Models%20Backup/GRAY.xlsx" TargetMode="External"/><Relationship Id="rId43" Type="http://schemas.openxmlformats.org/officeDocument/2006/relationships/hyperlink" Target="4519%20Chugai.xlsx" TargetMode="External"/><Relationship Id="rId64" Type="http://schemas.openxmlformats.org/officeDocument/2006/relationships/hyperlink" Target="../Downloads/068270%20Celltrion.xlsx" TargetMode="External"/><Relationship Id="rId118" Type="http://schemas.openxmlformats.org/officeDocument/2006/relationships/hyperlink" Target="SLS.xlsx" TargetMode="External"/><Relationship Id="rId139" Type="http://schemas.openxmlformats.org/officeDocument/2006/relationships/hyperlink" Target="../Downloads/GPCR.xlsx" TargetMode="External"/><Relationship Id="rId85" Type="http://schemas.openxmlformats.org/officeDocument/2006/relationships/hyperlink" Target="IOVA.xlsx" TargetMode="External"/><Relationship Id="rId150" Type="http://schemas.openxmlformats.org/officeDocument/2006/relationships/hyperlink" Target="../Downloads/TGTX.xlsx" TargetMode="External"/><Relationship Id="rId171" Type="http://schemas.openxmlformats.org/officeDocument/2006/relationships/hyperlink" Target="../Downloads/ALGS.xlsx" TargetMode="External"/><Relationship Id="rId192" Type="http://schemas.openxmlformats.org/officeDocument/2006/relationships/hyperlink" Target="INMB.xlsx" TargetMode="External"/><Relationship Id="rId206" Type="http://schemas.openxmlformats.org/officeDocument/2006/relationships/hyperlink" Target="CMPS.xlsx" TargetMode="External"/><Relationship Id="rId12" Type="http://schemas.openxmlformats.org/officeDocument/2006/relationships/hyperlink" Target="GILD.xlsx" TargetMode="External"/><Relationship Id="rId33" Type="http://schemas.openxmlformats.org/officeDocument/2006/relationships/hyperlink" Target="../Downloads/HIK%20LN.xlsx" TargetMode="External"/><Relationship Id="rId108" Type="http://schemas.openxmlformats.org/officeDocument/2006/relationships/hyperlink" Target="../Downloads/EWTX.xlsx" TargetMode="External"/><Relationship Id="rId129" Type="http://schemas.openxmlformats.org/officeDocument/2006/relationships/hyperlink" Target="../Downloads/BCRX.xlsx" TargetMode="External"/><Relationship Id="rId54" Type="http://schemas.openxmlformats.org/officeDocument/2006/relationships/hyperlink" Target="ARGX.xlsx" TargetMode="External"/><Relationship Id="rId75" Type="http://schemas.openxmlformats.org/officeDocument/2006/relationships/hyperlink" Target="../Downloads/CRSP.xlsx" TargetMode="External"/><Relationship Id="rId96" Type="http://schemas.openxmlformats.org/officeDocument/2006/relationships/hyperlink" Target="TEVA.xlsx" TargetMode="External"/><Relationship Id="rId140" Type="http://schemas.openxmlformats.org/officeDocument/2006/relationships/hyperlink" Target="../Downloads/IBRX.xlsx" TargetMode="External"/><Relationship Id="rId161" Type="http://schemas.openxmlformats.org/officeDocument/2006/relationships/hyperlink" Target="../Downloads/QTTB.xlsx" TargetMode="External"/><Relationship Id="rId182" Type="http://schemas.openxmlformats.org/officeDocument/2006/relationships/hyperlink" Target="SAN%20FP.xlsx" TargetMode="External"/><Relationship Id="rId217" Type="http://schemas.openxmlformats.org/officeDocument/2006/relationships/hyperlink" Target="NOVOB.xlsx" TargetMode="External"/><Relationship Id="rId6" Type="http://schemas.openxmlformats.org/officeDocument/2006/relationships/hyperlink" Target="LLY.xlsx" TargetMode="External"/><Relationship Id="rId23" Type="http://schemas.openxmlformats.org/officeDocument/2006/relationships/hyperlink" Target="../../AppData/Roaming/OneDrive/Models%20Backup/CPRX.xlsx" TargetMode="External"/><Relationship Id="rId119" Type="http://schemas.openxmlformats.org/officeDocument/2006/relationships/hyperlink" Target="OGN.xlsx" TargetMode="External"/><Relationship Id="rId44" Type="http://schemas.openxmlformats.org/officeDocument/2006/relationships/hyperlink" Target="BAYN%20GY.xlsx" TargetMode="External"/><Relationship Id="rId65" Type="http://schemas.openxmlformats.org/officeDocument/2006/relationships/hyperlink" Target="SRPT.xlsx" TargetMode="External"/><Relationship Id="rId86" Type="http://schemas.openxmlformats.org/officeDocument/2006/relationships/hyperlink" Target="AZN.xlsx" TargetMode="External"/><Relationship Id="rId130" Type="http://schemas.openxmlformats.org/officeDocument/2006/relationships/hyperlink" Target="../Downloads/KALV.xlsx" TargetMode="External"/><Relationship Id="rId151" Type="http://schemas.openxmlformats.org/officeDocument/2006/relationships/hyperlink" Target="../Downloads/HLUN.xlsx" TargetMode="External"/><Relationship Id="rId172" Type="http://schemas.openxmlformats.org/officeDocument/2006/relationships/hyperlink" Target="DRUG.xlsx" TargetMode="External"/><Relationship Id="rId193" Type="http://schemas.openxmlformats.org/officeDocument/2006/relationships/hyperlink" Target="ARVN.xlsx" TargetMode="External"/><Relationship Id="rId207" Type="http://schemas.openxmlformats.org/officeDocument/2006/relationships/hyperlink" Target="ELEV.xlsx" TargetMode="External"/><Relationship Id="rId13" Type="http://schemas.openxmlformats.org/officeDocument/2006/relationships/hyperlink" Target="VRTX.xlsx" TargetMode="External"/><Relationship Id="rId109" Type="http://schemas.openxmlformats.org/officeDocument/2006/relationships/hyperlink" Target="../Downloads/CLSD.xlsx" TargetMode="External"/><Relationship Id="rId34" Type="http://schemas.openxmlformats.org/officeDocument/2006/relationships/hyperlink" Target="../Downloads/ALKS.xlsx" TargetMode="External"/><Relationship Id="rId55" Type="http://schemas.openxmlformats.org/officeDocument/2006/relationships/hyperlink" Target="../Downloads/JAZZ.xlsx" TargetMode="External"/><Relationship Id="rId76" Type="http://schemas.openxmlformats.org/officeDocument/2006/relationships/hyperlink" Target="../Downloads/SAGE.xlsx" TargetMode="External"/><Relationship Id="rId97" Type="http://schemas.openxmlformats.org/officeDocument/2006/relationships/hyperlink" Target="LEGN.xlsx" TargetMode="External"/><Relationship Id="rId120" Type="http://schemas.openxmlformats.org/officeDocument/2006/relationships/hyperlink" Target="../Downloads/NUVB.xlsx" TargetMode="External"/><Relationship Id="rId141" Type="http://schemas.openxmlformats.org/officeDocument/2006/relationships/hyperlink" Target="../Downloads/SRRK.xlsx" TargetMode="External"/><Relationship Id="rId7" Type="http://schemas.openxmlformats.org/officeDocument/2006/relationships/hyperlink" Target="MRK%20GR.xlsx" TargetMode="External"/><Relationship Id="rId162" Type="http://schemas.openxmlformats.org/officeDocument/2006/relationships/hyperlink" Target="../Downloads/ARTV.xlsx" TargetMode="External"/><Relationship Id="rId183" Type="http://schemas.openxmlformats.org/officeDocument/2006/relationships/hyperlink" Target="NOVOB.xlsx" TargetMode="External"/><Relationship Id="rId218" Type="http://schemas.openxmlformats.org/officeDocument/2006/relationships/hyperlink" Target="IMNM.xlsx" TargetMode="External"/><Relationship Id="rId24" Type="http://schemas.openxmlformats.org/officeDocument/2006/relationships/hyperlink" Target="../../AppData/Roaming/OneDrive/Models%20Backup/CVRX.xlsx" TargetMode="External"/><Relationship Id="rId45" Type="http://schemas.openxmlformats.org/officeDocument/2006/relationships/hyperlink" Target="207940%20Samsung%20Biologics.xlsx" TargetMode="External"/><Relationship Id="rId66" Type="http://schemas.openxmlformats.org/officeDocument/2006/relationships/hyperlink" Target="../Downloads/ARWR.xlsx" TargetMode="External"/><Relationship Id="rId87" Type="http://schemas.openxmlformats.org/officeDocument/2006/relationships/hyperlink" Target="../Downloads/ABEO.xlsx" TargetMode="External"/><Relationship Id="rId110" Type="http://schemas.openxmlformats.org/officeDocument/2006/relationships/hyperlink" Target="DAWN.xlsx" TargetMode="External"/><Relationship Id="rId131" Type="http://schemas.openxmlformats.org/officeDocument/2006/relationships/hyperlink" Target="../Downloads/PDSB.xlsx" TargetMode="External"/><Relationship Id="rId152" Type="http://schemas.openxmlformats.org/officeDocument/2006/relationships/hyperlink" Target="../Downloads/BHC.xlsx" TargetMode="External"/><Relationship Id="rId173" Type="http://schemas.openxmlformats.org/officeDocument/2006/relationships/hyperlink" Target="../Downloads/BMEA.xlsx" TargetMode="External"/><Relationship Id="rId194" Type="http://schemas.openxmlformats.org/officeDocument/2006/relationships/hyperlink" Target="KROS.xlsx" TargetMode="External"/><Relationship Id="rId208" Type="http://schemas.openxmlformats.org/officeDocument/2006/relationships/hyperlink" Target="PROK.xlsx" TargetMode="External"/><Relationship Id="rId14" Type="http://schemas.openxmlformats.org/officeDocument/2006/relationships/hyperlink" Target="../Downloads/INCY.xlsx" TargetMode="External"/><Relationship Id="rId35" Type="http://schemas.openxmlformats.org/officeDocument/2006/relationships/hyperlink" Target="../../AppData/Roaming/Microsoft/Excel/AVTX.xlsx" TargetMode="External"/><Relationship Id="rId56" Type="http://schemas.openxmlformats.org/officeDocument/2006/relationships/hyperlink" Target="../Downloads/AXSM.xlsx" TargetMode="External"/><Relationship Id="rId77" Type="http://schemas.openxmlformats.org/officeDocument/2006/relationships/hyperlink" Target="../Downloads/ASND.xlsx" TargetMode="External"/><Relationship Id="rId100" Type="http://schemas.openxmlformats.org/officeDocument/2006/relationships/hyperlink" Target="../Downloads/1877%20HK.xlsx" TargetMode="External"/><Relationship Id="rId8" Type="http://schemas.openxmlformats.org/officeDocument/2006/relationships/hyperlink" Target="CSL%20AU.xlsx" TargetMode="External"/><Relationship Id="rId98" Type="http://schemas.openxmlformats.org/officeDocument/2006/relationships/hyperlink" Target="../Downloads/302440%20KS.xlsx" TargetMode="External"/><Relationship Id="rId121" Type="http://schemas.openxmlformats.org/officeDocument/2006/relationships/hyperlink" Target="../Downloads/XNCR.xlsx" TargetMode="External"/><Relationship Id="rId142" Type="http://schemas.openxmlformats.org/officeDocument/2006/relationships/hyperlink" Target="AMGN.xlsx" TargetMode="External"/><Relationship Id="rId163" Type="http://schemas.openxmlformats.org/officeDocument/2006/relationships/hyperlink" Target="ATOS.xlsx" TargetMode="External"/><Relationship Id="rId184" Type="http://schemas.openxmlformats.org/officeDocument/2006/relationships/hyperlink" Target="NVS.xlsx" TargetMode="External"/><Relationship Id="rId219" Type="http://schemas.openxmlformats.org/officeDocument/2006/relationships/hyperlink" Target="PGEN.xlsx" TargetMode="External"/><Relationship Id="rId3" Type="http://schemas.openxmlformats.org/officeDocument/2006/relationships/hyperlink" Target="PFE.xlsx" TargetMode="External"/><Relationship Id="rId214" Type="http://schemas.openxmlformats.org/officeDocument/2006/relationships/hyperlink" Target="SGMT.xlsx" TargetMode="External"/><Relationship Id="rId25" Type="http://schemas.openxmlformats.org/officeDocument/2006/relationships/hyperlink" Target="../../AppData/Roaming/OneDrive/Models%20Backup/BIOR.xlsx" TargetMode="External"/><Relationship Id="rId46" Type="http://schemas.openxmlformats.org/officeDocument/2006/relationships/hyperlink" Target="4568%20JP%20Daiichi%20Sankyo.xlsx" TargetMode="External"/><Relationship Id="rId67" Type="http://schemas.openxmlformats.org/officeDocument/2006/relationships/hyperlink" Target="../Downloads/HALO.xlsx" TargetMode="External"/><Relationship Id="rId116" Type="http://schemas.openxmlformats.org/officeDocument/2006/relationships/hyperlink" Target="../Downloads/EVO.xlsx" TargetMode="External"/><Relationship Id="rId137" Type="http://schemas.openxmlformats.org/officeDocument/2006/relationships/hyperlink" Target="RARE.xlsx" TargetMode="External"/><Relationship Id="rId158" Type="http://schemas.openxmlformats.org/officeDocument/2006/relationships/hyperlink" Target="../Downloads/MNPR.xlsx" TargetMode="External"/><Relationship Id="rId20" Type="http://schemas.openxmlformats.org/officeDocument/2006/relationships/hyperlink" Target="../../AppData/Roaming/OneDrive/Models%20Backup/PHAS.xlsx" TargetMode="External"/><Relationship Id="rId41" Type="http://schemas.openxmlformats.org/officeDocument/2006/relationships/hyperlink" Target="../Downloads/BEAM.xlsx" TargetMode="External"/><Relationship Id="rId62" Type="http://schemas.openxmlformats.org/officeDocument/2006/relationships/hyperlink" Target="../Downloads/NTLA.xlsx" TargetMode="External"/><Relationship Id="rId83" Type="http://schemas.openxmlformats.org/officeDocument/2006/relationships/hyperlink" Target="DNLI.xlsx" TargetMode="External"/><Relationship Id="rId88" Type="http://schemas.openxmlformats.org/officeDocument/2006/relationships/hyperlink" Target="../Downloads/SAVA.xlsx" TargetMode="External"/><Relationship Id="rId111" Type="http://schemas.openxmlformats.org/officeDocument/2006/relationships/hyperlink" Target="../Downloads/NWBO.xlsx" TargetMode="External"/><Relationship Id="rId132" Type="http://schemas.openxmlformats.org/officeDocument/2006/relationships/hyperlink" Target="../Downloads/APLT.xlsx" TargetMode="External"/><Relationship Id="rId153" Type="http://schemas.openxmlformats.org/officeDocument/2006/relationships/hyperlink" Target="../Downloads/INSM.xlsx" TargetMode="External"/><Relationship Id="rId174" Type="http://schemas.openxmlformats.org/officeDocument/2006/relationships/hyperlink" Target="../Downloads/CADL.xlsx" TargetMode="External"/><Relationship Id="rId179" Type="http://schemas.openxmlformats.org/officeDocument/2006/relationships/hyperlink" Target="KYMR.xlsx" TargetMode="External"/><Relationship Id="rId195" Type="http://schemas.openxmlformats.org/officeDocument/2006/relationships/hyperlink" Target="TECX.xlsx" TargetMode="External"/><Relationship Id="rId209" Type="http://schemas.openxmlformats.org/officeDocument/2006/relationships/hyperlink" Target="CAPR.xlsx" TargetMode="External"/><Relationship Id="rId190" Type="http://schemas.openxmlformats.org/officeDocument/2006/relationships/hyperlink" Target="TENX.xlsx" TargetMode="External"/><Relationship Id="rId204" Type="http://schemas.openxmlformats.org/officeDocument/2006/relationships/hyperlink" Target="DYN.xlsx" TargetMode="External"/><Relationship Id="rId220" Type="http://schemas.openxmlformats.org/officeDocument/2006/relationships/hyperlink" Target="ANIP.xlsx" TargetMode="External"/><Relationship Id="rId225" Type="http://schemas.microsoft.com/office/2017/10/relationships/threadedComment" Target="../threadedComments/threadedComment1.xml"/><Relationship Id="rId15" Type="http://schemas.openxmlformats.org/officeDocument/2006/relationships/hyperlink" Target="REGN.xlsx" TargetMode="External"/><Relationship Id="rId36" Type="http://schemas.openxmlformats.org/officeDocument/2006/relationships/hyperlink" Target="MRNA.xlsx" TargetMode="External"/><Relationship Id="rId57" Type="http://schemas.openxmlformats.org/officeDocument/2006/relationships/hyperlink" Target="Sun%20Pharmaceutical.xlsx" TargetMode="External"/><Relationship Id="rId106" Type="http://schemas.openxmlformats.org/officeDocument/2006/relationships/hyperlink" Target="../Downloads/KRON.xlsx" TargetMode="External"/><Relationship Id="rId127" Type="http://schemas.openxmlformats.org/officeDocument/2006/relationships/hyperlink" Target="../Downloads/ADMA.xlsx" TargetMode="External"/><Relationship Id="rId10" Type="http://schemas.openxmlformats.org/officeDocument/2006/relationships/hyperlink" Target="SAN%20FP.xlsx" TargetMode="External"/><Relationship Id="rId31" Type="http://schemas.openxmlformats.org/officeDocument/2006/relationships/hyperlink" Target="../Downloads/ABCL.xlsx" TargetMode="External"/><Relationship Id="rId52" Type="http://schemas.openxmlformats.org/officeDocument/2006/relationships/hyperlink" Target="4503%20JP.xlsx" TargetMode="External"/><Relationship Id="rId73" Type="http://schemas.openxmlformats.org/officeDocument/2006/relationships/hyperlink" Target="../Downloads/4523%20JP.xlsx" TargetMode="External"/><Relationship Id="rId78" Type="http://schemas.openxmlformats.org/officeDocument/2006/relationships/hyperlink" Target="../Downloads/FREQ.xlsx" TargetMode="External"/><Relationship Id="rId94" Type="http://schemas.openxmlformats.org/officeDocument/2006/relationships/hyperlink" Target="../Downloads/2196%20HK.xlsx" TargetMode="External"/><Relationship Id="rId99" Type="http://schemas.openxmlformats.org/officeDocument/2006/relationships/hyperlink" Target="../Downloads/1877%20HK.xlsx" TargetMode="External"/><Relationship Id="rId101" Type="http://schemas.openxmlformats.org/officeDocument/2006/relationships/hyperlink" Target="../Downloads/SMMT.xlsx" TargetMode="External"/><Relationship Id="rId122" Type="http://schemas.openxmlformats.org/officeDocument/2006/relationships/hyperlink" Target="../Downloads/IPN%20FP.xlsx" TargetMode="External"/><Relationship Id="rId143" Type="http://schemas.openxmlformats.org/officeDocument/2006/relationships/hyperlink" Target="ATYR.xlsx" TargetMode="External"/><Relationship Id="rId148" Type="http://schemas.openxmlformats.org/officeDocument/2006/relationships/hyperlink" Target="../Downloads/BBIO.xlsx" TargetMode="External"/><Relationship Id="rId164" Type="http://schemas.openxmlformats.org/officeDocument/2006/relationships/hyperlink" Target="AVXL.xlsx" TargetMode="External"/><Relationship Id="rId169" Type="http://schemas.openxmlformats.org/officeDocument/2006/relationships/hyperlink" Target="../Downloads/CABA.xlsx" TargetMode="External"/><Relationship Id="rId185" Type="http://schemas.openxmlformats.org/officeDocument/2006/relationships/hyperlink" Target="AZN.xlsx" TargetMode="External"/><Relationship Id="rId4" Type="http://schemas.openxmlformats.org/officeDocument/2006/relationships/hyperlink" Target="ROG%20VX.xlsx" TargetMode="External"/><Relationship Id="rId9" Type="http://schemas.openxmlformats.org/officeDocument/2006/relationships/hyperlink" Target="BMY.xlsx" TargetMode="External"/><Relationship Id="rId180" Type="http://schemas.openxmlformats.org/officeDocument/2006/relationships/hyperlink" Target="../Downloads/SPRY.xlsx" TargetMode="External"/><Relationship Id="rId210" Type="http://schemas.openxmlformats.org/officeDocument/2006/relationships/hyperlink" Target="CRNX.xlsx" TargetMode="External"/><Relationship Id="rId215" Type="http://schemas.openxmlformats.org/officeDocument/2006/relationships/hyperlink" Target="BLTE.xlsx" TargetMode="External"/><Relationship Id="rId26" Type="http://schemas.openxmlformats.org/officeDocument/2006/relationships/hyperlink" Target="../Downloads/UTHR.xlsx" TargetMode="External"/><Relationship Id="rId47" Type="http://schemas.openxmlformats.org/officeDocument/2006/relationships/hyperlink" Target="NBIX.xlsx" TargetMode="External"/><Relationship Id="rId68" Type="http://schemas.openxmlformats.org/officeDocument/2006/relationships/hyperlink" Target="RCKT.xlsx" TargetMode="External"/><Relationship Id="rId89" Type="http://schemas.openxmlformats.org/officeDocument/2006/relationships/hyperlink" Target="GSK.xlsx" TargetMode="External"/><Relationship Id="rId112" Type="http://schemas.openxmlformats.org/officeDocument/2006/relationships/hyperlink" Target="MDGL.xlsx" TargetMode="External"/><Relationship Id="rId133" Type="http://schemas.openxmlformats.org/officeDocument/2006/relationships/hyperlink" Target="../Downloads/YMAB.xlsx" TargetMode="External"/><Relationship Id="rId154" Type="http://schemas.openxmlformats.org/officeDocument/2006/relationships/hyperlink" Target="BHVN.xlsx" TargetMode="External"/><Relationship Id="rId175" Type="http://schemas.openxmlformats.org/officeDocument/2006/relationships/hyperlink" Target="../Downloads/ANAB.xlsx" TargetMode="External"/><Relationship Id="rId196" Type="http://schemas.openxmlformats.org/officeDocument/2006/relationships/hyperlink" Target="GHRS.xlsx" TargetMode="External"/><Relationship Id="rId200" Type="http://schemas.openxmlformats.org/officeDocument/2006/relationships/hyperlink" Target="TARS.xlsx" TargetMode="External"/><Relationship Id="rId16" Type="http://schemas.openxmlformats.org/officeDocument/2006/relationships/hyperlink" Target="4502%20Takeda.xlsx" TargetMode="External"/><Relationship Id="rId221" Type="http://schemas.openxmlformats.org/officeDocument/2006/relationships/hyperlink" Target="LRMR.xlsx" TargetMode="External"/><Relationship Id="rId37" Type="http://schemas.openxmlformats.org/officeDocument/2006/relationships/hyperlink" Target="BNTX.xlsx" TargetMode="External"/><Relationship Id="rId58" Type="http://schemas.openxmlformats.org/officeDocument/2006/relationships/hyperlink" Target="../Downloads/1177%20HK%20Sino.xlsx" TargetMode="External"/><Relationship Id="rId79" Type="http://schemas.openxmlformats.org/officeDocument/2006/relationships/hyperlink" Target="../Downloads/IRON.xlsx" TargetMode="External"/><Relationship Id="rId102" Type="http://schemas.openxmlformats.org/officeDocument/2006/relationships/hyperlink" Target="../Downloads/PCVX.xlsx" TargetMode="External"/><Relationship Id="rId123" Type="http://schemas.openxmlformats.org/officeDocument/2006/relationships/hyperlink" Target="../Downloads/NKTX.xlsx" TargetMode="External"/><Relationship Id="rId144" Type="http://schemas.openxmlformats.org/officeDocument/2006/relationships/hyperlink" Target="NAMS.xlsx" TargetMode="External"/><Relationship Id="rId90" Type="http://schemas.openxmlformats.org/officeDocument/2006/relationships/hyperlink" Target="UCB.xlsx" TargetMode="External"/><Relationship Id="rId165" Type="http://schemas.openxmlformats.org/officeDocument/2006/relationships/hyperlink" Target="GALT.xlsx" TargetMode="External"/><Relationship Id="rId186" Type="http://schemas.openxmlformats.org/officeDocument/2006/relationships/hyperlink" Target="GSK.xlsx" TargetMode="External"/><Relationship Id="rId211" Type="http://schemas.openxmlformats.org/officeDocument/2006/relationships/hyperlink" Target="ARQT.xlsx" TargetMode="External"/><Relationship Id="rId27" Type="http://schemas.openxmlformats.org/officeDocument/2006/relationships/hyperlink" Target="../Downloads/APLS.xlsx" TargetMode="External"/><Relationship Id="rId48" Type="http://schemas.openxmlformats.org/officeDocument/2006/relationships/hyperlink" Target="BIIB.xlsx" TargetMode="External"/><Relationship Id="rId69" Type="http://schemas.openxmlformats.org/officeDocument/2006/relationships/hyperlink" Target="../Downloads/GMAB.xlsx" TargetMode="External"/><Relationship Id="rId113" Type="http://schemas.openxmlformats.org/officeDocument/2006/relationships/hyperlink" Target="../Downloads/EYPT.xlsx" TargetMode="External"/><Relationship Id="rId134" Type="http://schemas.openxmlformats.org/officeDocument/2006/relationships/hyperlink" Target="../Downloads/GOSS.xlsx" TargetMode="External"/><Relationship Id="rId80" Type="http://schemas.openxmlformats.org/officeDocument/2006/relationships/hyperlink" Target="RXRX.xlsx" TargetMode="External"/><Relationship Id="rId155" Type="http://schemas.openxmlformats.org/officeDocument/2006/relationships/hyperlink" Target="../Downloads/LNTH.xlsx" TargetMode="External"/><Relationship Id="rId176" Type="http://schemas.openxmlformats.org/officeDocument/2006/relationships/hyperlink" Target="../Downloads/KRYS.xlsx" TargetMode="External"/><Relationship Id="rId197" Type="http://schemas.openxmlformats.org/officeDocument/2006/relationships/hyperlink" Target="IVVD.xlsx" TargetMode="External"/><Relationship Id="rId201" Type="http://schemas.openxmlformats.org/officeDocument/2006/relationships/hyperlink" Target="GUTS.xlsx" TargetMode="External"/><Relationship Id="rId222" Type="http://schemas.openxmlformats.org/officeDocument/2006/relationships/printerSettings" Target="../printerSettings/printerSettings1.bin"/><Relationship Id="rId17" Type="http://schemas.openxmlformats.org/officeDocument/2006/relationships/hyperlink" Target="../../AppData/Roaming/Microsoft/Excel/LQDA.xlsx" TargetMode="External"/><Relationship Id="rId38" Type="http://schemas.openxmlformats.org/officeDocument/2006/relationships/hyperlink" Target="../Downloads/ROIV.xlsx" TargetMode="External"/><Relationship Id="rId59" Type="http://schemas.openxmlformats.org/officeDocument/2006/relationships/hyperlink" Target="../Downloads/3692%20HK%20Hansoh.xlsx" TargetMode="External"/><Relationship Id="rId103" Type="http://schemas.openxmlformats.org/officeDocument/2006/relationships/hyperlink" Target="SLNO.xlsx" TargetMode="External"/><Relationship Id="rId124" Type="http://schemas.openxmlformats.org/officeDocument/2006/relationships/hyperlink" Target="../Downloads/REPL.xlsx" TargetMode="External"/><Relationship Id="rId70" Type="http://schemas.openxmlformats.org/officeDocument/2006/relationships/hyperlink" Target="GMAB.xlsx" TargetMode="External"/><Relationship Id="rId91" Type="http://schemas.openxmlformats.org/officeDocument/2006/relationships/hyperlink" Target="../Downloads/DCTH.xlsx" TargetMode="External"/><Relationship Id="rId145" Type="http://schemas.openxmlformats.org/officeDocument/2006/relationships/hyperlink" Target="../Downloads/AMPH.xlsx" TargetMode="External"/><Relationship Id="rId166" Type="http://schemas.openxmlformats.org/officeDocument/2006/relationships/hyperlink" Target="../Downloads/JANX.xlsx" TargetMode="External"/><Relationship Id="rId187" Type="http://schemas.openxmlformats.org/officeDocument/2006/relationships/hyperlink" Target="4502%20Takeda.xlsx" TargetMode="External"/><Relationship Id="rId1" Type="http://schemas.openxmlformats.org/officeDocument/2006/relationships/hyperlink" Target="JNJ.xlsx" TargetMode="External"/><Relationship Id="rId212" Type="http://schemas.openxmlformats.org/officeDocument/2006/relationships/hyperlink" Target="RYTM.xlsx" TargetMode="External"/><Relationship Id="rId28" Type="http://schemas.openxmlformats.org/officeDocument/2006/relationships/hyperlink" Target="../Downloads/BGNE.xlsx" TargetMode="External"/><Relationship Id="rId49" Type="http://schemas.openxmlformats.org/officeDocument/2006/relationships/hyperlink" Target="BMRN.xlsx" TargetMode="External"/><Relationship Id="rId114" Type="http://schemas.openxmlformats.org/officeDocument/2006/relationships/hyperlink" Target="../Downloads/RNA.xlsx" TargetMode="External"/><Relationship Id="rId60" Type="http://schemas.openxmlformats.org/officeDocument/2006/relationships/hyperlink" Target="4578%20Otsuka.xlsx" TargetMode="External"/><Relationship Id="rId81" Type="http://schemas.openxmlformats.org/officeDocument/2006/relationships/hyperlink" Target="../Downloads/FDMT.xlsx" TargetMode="External"/><Relationship Id="rId135" Type="http://schemas.openxmlformats.org/officeDocument/2006/relationships/hyperlink" Target="CRVS.xlsx" TargetMode="External"/><Relationship Id="rId156" Type="http://schemas.openxmlformats.org/officeDocument/2006/relationships/hyperlink" Target="../Downloads/ESPR.xlsx" TargetMode="External"/><Relationship Id="rId177" Type="http://schemas.openxmlformats.org/officeDocument/2006/relationships/hyperlink" Target="../Downloads/CHRS.xlsx" TargetMode="External"/><Relationship Id="rId198" Type="http://schemas.openxmlformats.org/officeDocument/2006/relationships/hyperlink" Target="PHAR.xlsx" TargetMode="External"/><Relationship Id="rId202" Type="http://schemas.openxmlformats.org/officeDocument/2006/relationships/hyperlink" Target="APGE.xlsx" TargetMode="External"/><Relationship Id="rId223" Type="http://schemas.openxmlformats.org/officeDocument/2006/relationships/vmlDrawing" Target="../drawings/vmlDrawing1.vml"/><Relationship Id="rId18" Type="http://schemas.openxmlformats.org/officeDocument/2006/relationships/hyperlink" Target="../../AppData/Roaming/OneDrive/Models%20Backup/TCON.xlsx" TargetMode="External"/><Relationship Id="rId39" Type="http://schemas.openxmlformats.org/officeDocument/2006/relationships/hyperlink" Target="../Downloads/CYDY.xlsx" TargetMode="External"/><Relationship Id="rId50" Type="http://schemas.openxmlformats.org/officeDocument/2006/relationships/hyperlink" Target="ALNY.xlsx" TargetMode="External"/><Relationship Id="rId104" Type="http://schemas.openxmlformats.org/officeDocument/2006/relationships/hyperlink" Target="../Downloads/TRVI.xlsx" TargetMode="External"/><Relationship Id="rId125" Type="http://schemas.openxmlformats.org/officeDocument/2006/relationships/hyperlink" Target="../Downloads/PRGO.xlsx" TargetMode="External"/><Relationship Id="rId146" Type="http://schemas.openxmlformats.org/officeDocument/2006/relationships/hyperlink" Target="../Downloads/NMRA.xlsx" TargetMode="External"/><Relationship Id="rId167" Type="http://schemas.openxmlformats.org/officeDocument/2006/relationships/hyperlink" Target="RZLT.xlsx" TargetMode="External"/><Relationship Id="rId188" Type="http://schemas.openxmlformats.org/officeDocument/2006/relationships/hyperlink" Target="RVPH.xlsx" TargetMode="External"/><Relationship Id="rId71" Type="http://schemas.openxmlformats.org/officeDocument/2006/relationships/hyperlink" Target="EXEL.xlsx" TargetMode="External"/><Relationship Id="rId92" Type="http://schemas.openxmlformats.org/officeDocument/2006/relationships/hyperlink" Target="../Downloads/VKTX.xlsx" TargetMode="External"/><Relationship Id="rId213" Type="http://schemas.openxmlformats.org/officeDocument/2006/relationships/hyperlink" Target="NKTR.xlsx" TargetMode="External"/><Relationship Id="rId2" Type="http://schemas.openxmlformats.org/officeDocument/2006/relationships/hyperlink" Target="MRK.xlsx" TargetMode="External"/><Relationship Id="rId29" Type="http://schemas.openxmlformats.org/officeDocument/2006/relationships/hyperlink" Target="VTRS.xlsx" TargetMode="External"/><Relationship Id="rId40" Type="http://schemas.openxmlformats.org/officeDocument/2006/relationships/hyperlink" Target="SWTX.xlsx" TargetMode="External"/><Relationship Id="rId115" Type="http://schemas.openxmlformats.org/officeDocument/2006/relationships/hyperlink" Target="../Downloads/EQ.xlsx" TargetMode="External"/><Relationship Id="rId136" Type="http://schemas.openxmlformats.org/officeDocument/2006/relationships/hyperlink" Target="../Downloads/CYTK.xlsx" TargetMode="External"/><Relationship Id="rId157" Type="http://schemas.openxmlformats.org/officeDocument/2006/relationships/hyperlink" Target="TNXP.xlsx" TargetMode="External"/><Relationship Id="rId178" Type="http://schemas.openxmlformats.org/officeDocument/2006/relationships/hyperlink" Target="../Downloads/URGN.xlsx" TargetMode="External"/><Relationship Id="rId61" Type="http://schemas.openxmlformats.org/officeDocument/2006/relationships/hyperlink" Target="../Downloads/ZNTL.xlsx" TargetMode="External"/><Relationship Id="rId82" Type="http://schemas.openxmlformats.org/officeDocument/2006/relationships/hyperlink" Target="../Downloads/AMLX.xlsx" TargetMode="External"/><Relationship Id="rId199" Type="http://schemas.openxmlformats.org/officeDocument/2006/relationships/hyperlink" Target="ABUS.xlsx" TargetMode="External"/><Relationship Id="rId203" Type="http://schemas.openxmlformats.org/officeDocument/2006/relationships/hyperlink" Target="XERS.xlsx" TargetMode="External"/><Relationship Id="rId19" Type="http://schemas.openxmlformats.org/officeDocument/2006/relationships/hyperlink" Target="../../AppData/Roaming/OneDrive/Models%20Backup/ACET.xlsx" TargetMode="External"/><Relationship Id="rId224" Type="http://schemas.openxmlformats.org/officeDocument/2006/relationships/comments" Target="../comments1.xml"/><Relationship Id="rId30" Type="http://schemas.openxmlformats.org/officeDocument/2006/relationships/hyperlink" Target="VERU.xlsx" TargetMode="External"/><Relationship Id="rId105" Type="http://schemas.openxmlformats.org/officeDocument/2006/relationships/hyperlink" Target="../Downloads/ACRV.xlsx" TargetMode="External"/><Relationship Id="rId126" Type="http://schemas.openxmlformats.org/officeDocument/2006/relationships/hyperlink" Target="../Downloads/ORNBV.xlsx" TargetMode="External"/><Relationship Id="rId147" Type="http://schemas.openxmlformats.org/officeDocument/2006/relationships/hyperlink" Target="../Downloads/HUMA.xlsx" TargetMode="External"/><Relationship Id="rId168" Type="http://schemas.openxmlformats.org/officeDocument/2006/relationships/hyperlink" Target="../Downloads/LPTX.xlsx" TargetMode="External"/><Relationship Id="rId51" Type="http://schemas.openxmlformats.org/officeDocument/2006/relationships/hyperlink" Target="BAX.xlsx" TargetMode="External"/><Relationship Id="rId72" Type="http://schemas.openxmlformats.org/officeDocument/2006/relationships/hyperlink" Target="GRFS.xlsx" TargetMode="External"/><Relationship Id="rId93" Type="http://schemas.openxmlformats.org/officeDocument/2006/relationships/hyperlink" Target="../Downloads/ACAD.xlsx" TargetMode="External"/><Relationship Id="rId189" Type="http://schemas.openxmlformats.org/officeDocument/2006/relationships/hyperlink" Target="IMUX.xlsx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ec.gov/edgar/browse/?CIK=1907884" TargetMode="External"/><Relationship Id="rId1" Type="http://schemas.openxmlformats.org/officeDocument/2006/relationships/hyperlink" Target="https://www.sec.gov/edgar/browse/?CIK=1920938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3.vml"/><Relationship Id="rId3" Type="http://schemas.openxmlformats.org/officeDocument/2006/relationships/hyperlink" Target="../Downloads/2269%20HK%20WuXi%20Biologics.xlsx" TargetMode="External"/><Relationship Id="rId7" Type="http://schemas.openxmlformats.org/officeDocument/2006/relationships/hyperlink" Target="../Downloads/BPMC.xlsx" TargetMode="External"/><Relationship Id="rId2" Type="http://schemas.openxmlformats.org/officeDocument/2006/relationships/hyperlink" Target="../Downloads/HZNP.xlsx" TargetMode="External"/><Relationship Id="rId1" Type="http://schemas.openxmlformats.org/officeDocument/2006/relationships/hyperlink" Target="../Downloads/SGEN.xlsx" TargetMode="External"/><Relationship Id="rId6" Type="http://schemas.openxmlformats.org/officeDocument/2006/relationships/hyperlink" Target="../Downloads/LBPH.xlsx" TargetMode="External"/><Relationship Id="rId5" Type="http://schemas.openxmlformats.org/officeDocument/2006/relationships/hyperlink" Target="ITCI.xlsx" TargetMode="External"/><Relationship Id="rId10" Type="http://schemas.microsoft.com/office/2017/10/relationships/threadedComment" Target="../threadedComments/threadedComment2.xml"/><Relationship Id="rId4" Type="http://schemas.openxmlformats.org/officeDocument/2006/relationships/hyperlink" Target="../Downloads/KRTX.xlsx" TargetMode="External"/><Relationship Id="rId9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0AF13-821E-4BF9-92BC-DEDDF3C9498E}">
  <sheetPr codeName="Sheet1"/>
  <dimension ref="A1:AF553"/>
  <sheetViews>
    <sheetView tabSelected="1" zoomScale="145" zoomScaleNormal="145" workbookViewId="0">
      <pane xSplit="5" ySplit="3" topLeftCell="F4" activePane="bottomRight" state="frozen"/>
      <selection pane="topRight" activeCell="C1" sqref="C1"/>
      <selection pane="bottomLeft" activeCell="A4" sqref="A4"/>
      <selection pane="bottomRight" activeCell="G15" sqref="G15"/>
    </sheetView>
  </sheetViews>
  <sheetFormatPr defaultColWidth="9.1796875" defaultRowHeight="12.5" x14ac:dyDescent="0.25"/>
  <cols>
    <col min="1" max="3" width="2.453125" style="1" customWidth="1"/>
    <col min="4" max="4" width="4.1796875" style="1" bestFit="1" customWidth="1"/>
    <col min="5" max="5" width="20.81640625" style="1" customWidth="1"/>
    <col min="6" max="6" width="10.453125" style="1" bestFit="1" customWidth="1"/>
    <col min="7" max="7" width="12.1796875" style="3" customWidth="1"/>
    <col min="8" max="8" width="10.453125" style="3" bestFit="1" customWidth="1"/>
    <col min="9" max="10" width="9.1796875" style="3"/>
    <col min="11" max="11" width="8.453125" style="3" customWidth="1"/>
    <col min="12" max="12" width="7.453125" style="3" customWidth="1"/>
    <col min="13" max="13" width="10.453125" style="3" customWidth="1"/>
    <col min="14" max="14" width="11.7265625" style="3" bestFit="1" customWidth="1"/>
    <col min="15" max="18" width="9.1796875" style="3"/>
    <col min="19" max="24" width="7.453125" style="4" customWidth="1"/>
    <col min="25" max="30" width="7.453125" style="61" customWidth="1"/>
    <col min="31" max="16384" width="9.1796875" style="1"/>
  </cols>
  <sheetData>
    <row r="1" spans="1:32" x14ac:dyDescent="0.25">
      <c r="Y1" s="4"/>
      <c r="Z1" s="4"/>
      <c r="AA1" s="4"/>
      <c r="AB1" s="4"/>
      <c r="AC1" s="4"/>
      <c r="AD1" s="4"/>
    </row>
    <row r="2" spans="1:32" x14ac:dyDescent="0.25">
      <c r="D2" s="1">
        <f ca="1">RANDBETWEEN(1,D257)</f>
        <v>169</v>
      </c>
      <c r="H2" s="6">
        <f>SUM(H5:H419)-H10-H8-H13-H19-H23-H26-H52-H57</f>
        <v>4704489.8912811782</v>
      </c>
      <c r="M2" s="9">
        <f>MIN(M5:M87)</f>
        <v>45535</v>
      </c>
      <c r="O2" s="10">
        <f>AVERAGE(O5:O25)</f>
        <v>6.9210709202229534E-2</v>
      </c>
      <c r="S2" s="112" t="s">
        <v>311</v>
      </c>
      <c r="T2" s="112"/>
      <c r="U2" s="112"/>
      <c r="V2" s="112"/>
      <c r="W2" s="112"/>
      <c r="X2" s="112"/>
      <c r="Y2" s="112" t="s">
        <v>310</v>
      </c>
      <c r="Z2" s="112"/>
      <c r="AA2" s="112"/>
      <c r="AB2" s="112"/>
      <c r="AC2" s="112"/>
      <c r="AD2" s="112"/>
    </row>
    <row r="3" spans="1:32" x14ac:dyDescent="0.25">
      <c r="B3" s="1" t="s">
        <v>1635</v>
      </c>
      <c r="C3" s="1" t="s">
        <v>1636</v>
      </c>
      <c r="E3" s="1" t="s">
        <v>1</v>
      </c>
      <c r="F3" s="1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299</v>
      </c>
      <c r="M3" s="3" t="s">
        <v>305</v>
      </c>
      <c r="N3" s="3" t="s">
        <v>312</v>
      </c>
      <c r="O3" s="3" t="s">
        <v>314</v>
      </c>
      <c r="P3" s="3" t="s">
        <v>315</v>
      </c>
      <c r="Q3" s="3" t="s">
        <v>316</v>
      </c>
      <c r="R3" s="3" t="s">
        <v>313</v>
      </c>
      <c r="S3" s="4">
        <v>2022</v>
      </c>
      <c r="T3" s="4">
        <v>2023</v>
      </c>
      <c r="U3" s="4">
        <v>2024</v>
      </c>
      <c r="V3" s="4">
        <v>2025</v>
      </c>
      <c r="W3" s="4">
        <v>2026</v>
      </c>
      <c r="X3" s="4">
        <v>2027</v>
      </c>
      <c r="Y3" s="4">
        <v>2022</v>
      </c>
      <c r="Z3" s="4">
        <v>2023</v>
      </c>
      <c r="AA3" s="4">
        <v>2024</v>
      </c>
      <c r="AB3" s="4">
        <v>2025</v>
      </c>
      <c r="AC3" s="4">
        <v>2026</v>
      </c>
      <c r="AD3" s="4">
        <v>2027</v>
      </c>
      <c r="AE3" s="1" t="s">
        <v>2</v>
      </c>
      <c r="AF3" s="1" t="s">
        <v>994</v>
      </c>
    </row>
    <row r="4" spans="1:32" s="24" customFormat="1" ht="13" x14ac:dyDescent="0.3">
      <c r="E4" s="144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105">
        <f t="shared" ref="S4:X4" si="0">TRIMMEAN(S5:S301,10%)</f>
        <v>39.229342689246025</v>
      </c>
      <c r="T4" s="105">
        <f t="shared" si="0"/>
        <v>85.398913651356921</v>
      </c>
      <c r="U4" s="105">
        <f t="shared" si="0"/>
        <v>50.025710978890672</v>
      </c>
      <c r="V4" s="105">
        <f t="shared" si="0"/>
        <v>17.311966559937673</v>
      </c>
      <c r="W4" s="105">
        <f t="shared" si="0"/>
        <v>15.537076444172135</v>
      </c>
      <c r="X4" s="105">
        <f t="shared" si="0"/>
        <v>14.509884772004188</v>
      </c>
      <c r="Y4" s="43" t="s">
        <v>1680</v>
      </c>
      <c r="Z4" s="43" t="s">
        <v>1680</v>
      </c>
      <c r="AA4" s="43" t="s">
        <v>1680</v>
      </c>
      <c r="AB4" s="43" t="s">
        <v>1680</v>
      </c>
      <c r="AC4" s="43" t="s">
        <v>1680</v>
      </c>
      <c r="AD4" s="43" t="s">
        <v>1680</v>
      </c>
      <c r="AE4" s="106">
        <f>AVERAGE(AE5:AE222)</f>
        <v>1969.4722222222222</v>
      </c>
    </row>
    <row r="5" spans="1:32" x14ac:dyDescent="0.25">
      <c r="A5" s="100" t="s">
        <v>333</v>
      </c>
      <c r="D5" s="1">
        <v>1</v>
      </c>
      <c r="E5" s="13" t="s">
        <v>19</v>
      </c>
      <c r="F5" s="1" t="s">
        <v>20</v>
      </c>
      <c r="G5" s="7">
        <v>707</v>
      </c>
      <c r="H5" s="6">
        <f>+G5*L5</f>
        <v>636724.20000000007</v>
      </c>
      <c r="I5" s="6">
        <f>+[1]Main!$J$5-[1]Main!$J$6</f>
        <v>-32073</v>
      </c>
      <c r="J5" s="6">
        <f t="shared" ref="J5:J25" si="1">H5-I5</f>
        <v>668797.20000000007</v>
      </c>
      <c r="K5" s="3" t="s">
        <v>1842</v>
      </c>
      <c r="L5" s="6">
        <f>+[1]Main!$J$3</f>
        <v>900.6</v>
      </c>
      <c r="M5" s="9">
        <v>45873</v>
      </c>
      <c r="N5" s="7">
        <f>[1]Model!$FY$101</f>
        <v>929.05463429149597</v>
      </c>
      <c r="O5" s="10">
        <f>+N5/G5-1</f>
        <v>0.31408010507990936</v>
      </c>
      <c r="P5" s="10">
        <f>[1]Model!$FY$97</f>
        <v>0.02</v>
      </c>
      <c r="Q5" s="10">
        <f>[1]Model!$FY$98</f>
        <v>0</v>
      </c>
      <c r="R5" s="10">
        <f>[1]Model!$FY$99</f>
        <v>7.0000000000000007E-2</v>
      </c>
      <c r="S5" s="11">
        <f t="shared" ref="S5:W8" si="2">($J5/$L5)/Y5</f>
        <v>107.62506155316746</v>
      </c>
      <c r="T5" s="11">
        <f t="shared" si="2"/>
        <v>128.03671115807853</v>
      </c>
      <c r="U5" s="11">
        <f t="shared" si="2"/>
        <v>63.416987593241281</v>
      </c>
      <c r="V5" s="11">
        <f t="shared" si="2"/>
        <v>34.064813060406209</v>
      </c>
      <c r="W5" s="11">
        <f t="shared" si="2"/>
        <v>25.037522748376784</v>
      </c>
      <c r="X5" s="11" t="s">
        <v>1680</v>
      </c>
      <c r="Y5" s="61">
        <v>6.9</v>
      </c>
      <c r="Z5" s="61">
        <v>5.8</v>
      </c>
      <c r="AA5" s="61">
        <v>11.71</v>
      </c>
      <c r="AB5" s="61">
        <v>21.8</v>
      </c>
      <c r="AC5" s="61">
        <v>29.66</v>
      </c>
      <c r="AD5" s="61" t="s">
        <v>1680</v>
      </c>
      <c r="AE5" s="1">
        <v>1876</v>
      </c>
    </row>
    <row r="6" spans="1:32" x14ac:dyDescent="0.25">
      <c r="A6" s="100" t="s">
        <v>333</v>
      </c>
      <c r="D6" s="1">
        <v>2</v>
      </c>
      <c r="E6" s="13" t="s">
        <v>14</v>
      </c>
      <c r="F6" s="1" t="s">
        <v>15</v>
      </c>
      <c r="G6" s="7">
        <v>176.12</v>
      </c>
      <c r="H6" s="6">
        <f>+G6*L6</f>
        <v>423744.72000000003</v>
      </c>
      <c r="I6" s="6">
        <f>+[2]Main!$L$5-[2]Main!$L$6</f>
        <v>-13471</v>
      </c>
      <c r="J6" s="6">
        <f t="shared" si="1"/>
        <v>437215.72000000003</v>
      </c>
      <c r="K6" s="3" t="s">
        <v>1842</v>
      </c>
      <c r="L6" s="6">
        <f>+[2]Main!$L$3</f>
        <v>2406</v>
      </c>
      <c r="M6" s="9">
        <v>45875</v>
      </c>
      <c r="N6" s="7">
        <f>[2]Model!$FN$86</f>
        <v>0</v>
      </c>
      <c r="O6" s="10">
        <f>N6/G6-1</f>
        <v>-1</v>
      </c>
      <c r="P6" s="10">
        <f>[2]Model!$FN$78</f>
        <v>2552.8999999999996</v>
      </c>
      <c r="Q6" s="10">
        <f>[2]Model!$FN$79</f>
        <v>0</v>
      </c>
      <c r="R6" s="10">
        <f>[2]Model!$FN$80</f>
        <v>0</v>
      </c>
      <c r="S6" s="11">
        <f t="shared" si="2"/>
        <v>27.001325314746815</v>
      </c>
      <c r="T6" s="11">
        <f t="shared" si="2"/>
        <v>32.860564081057156</v>
      </c>
      <c r="U6" s="11">
        <f t="shared" si="2"/>
        <v>31.384960167227302</v>
      </c>
      <c r="V6" s="11">
        <f t="shared" si="2"/>
        <v>17.127136603981725</v>
      </c>
      <c r="W6" s="11">
        <f t="shared" si="2"/>
        <v>16.371073816959107</v>
      </c>
      <c r="X6" s="11">
        <f>($J6/$L6)/AD6</f>
        <v>15.889201157588245</v>
      </c>
      <c r="Y6" s="61">
        <v>6.73</v>
      </c>
      <c r="Z6" s="61">
        <v>5.53</v>
      </c>
      <c r="AA6" s="61">
        <v>5.79</v>
      </c>
      <c r="AB6" s="61">
        <v>10.61</v>
      </c>
      <c r="AC6" s="61">
        <v>11.1</v>
      </c>
      <c r="AD6" s="61">
        <f>+[2]Model!$FB$77</f>
        <v>11.436630297896514</v>
      </c>
      <c r="AE6">
        <v>1886</v>
      </c>
    </row>
    <row r="7" spans="1:32" x14ac:dyDescent="0.25">
      <c r="A7" s="100" t="s">
        <v>333</v>
      </c>
      <c r="B7"/>
      <c r="C7"/>
      <c r="D7">
        <v>3</v>
      </c>
      <c r="E7" s="13" t="s">
        <v>17</v>
      </c>
      <c r="F7" t="s">
        <v>18</v>
      </c>
      <c r="G7" s="52">
        <v>203.44</v>
      </c>
      <c r="H7" s="29">
        <f>+G7*L7</f>
        <v>360495.68</v>
      </c>
      <c r="I7" s="29">
        <f>+[3]Main!$K$5-[3]Main!$K$6</f>
        <v>-64426</v>
      </c>
      <c r="J7" s="29">
        <f t="shared" si="1"/>
        <v>424921.68</v>
      </c>
      <c r="K7" s="27" t="s">
        <v>1842</v>
      </c>
      <c r="L7" s="29">
        <f>+[3]Main!$K$3</f>
        <v>1772</v>
      </c>
      <c r="M7" s="9">
        <v>45789</v>
      </c>
      <c r="N7" s="7">
        <f>[3]Model!$DT$78</f>
        <v>229.98813295611873</v>
      </c>
      <c r="O7" s="10">
        <f>+N7/G7-1</f>
        <v>0.13049613132185778</v>
      </c>
      <c r="P7" s="10">
        <f>[3]Model!$DT$76</f>
        <v>0</v>
      </c>
      <c r="Q7" s="10">
        <f>[3]Model!$DT$75</f>
        <v>-0.01</v>
      </c>
      <c r="R7" s="10">
        <f>[3]Model!$DT$74</f>
        <v>0.06</v>
      </c>
      <c r="S7" s="11">
        <f t="shared" si="2"/>
        <v>36.168595446513386</v>
      </c>
      <c r="T7" s="11">
        <f t="shared" si="2"/>
        <v>88.160951400876371</v>
      </c>
      <c r="U7" s="11">
        <f t="shared" si="2"/>
        <v>100.3338024311229</v>
      </c>
      <c r="V7" s="11">
        <f t="shared" si="2"/>
        <v>19.607341603465553</v>
      </c>
      <c r="W7" s="11">
        <f t="shared" si="2"/>
        <v>17.140656741271176</v>
      </c>
      <c r="X7" s="4" t="s">
        <v>1680</v>
      </c>
      <c r="Y7" s="61">
        <v>6.63</v>
      </c>
      <c r="Z7" s="61">
        <v>2.72</v>
      </c>
      <c r="AA7" s="61">
        <v>2.39</v>
      </c>
      <c r="AB7" s="61">
        <v>12.23</v>
      </c>
      <c r="AC7" s="61">
        <v>13.99</v>
      </c>
      <c r="AD7" s="61" t="s">
        <v>1680</v>
      </c>
      <c r="AE7" s="1">
        <v>1888</v>
      </c>
    </row>
    <row r="8" spans="1:32" x14ac:dyDescent="0.25">
      <c r="A8" s="100" t="s">
        <v>333</v>
      </c>
      <c r="B8"/>
      <c r="C8"/>
      <c r="D8" s="1">
        <f>+D7+1</f>
        <v>4</v>
      </c>
      <c r="E8" s="13" t="s">
        <v>37</v>
      </c>
      <c r="F8" s="1" t="s">
        <v>38</v>
      </c>
      <c r="G8" s="7">
        <v>74.66</v>
      </c>
      <c r="H8" s="6">
        <f>+G8*L8*2</f>
        <v>232939.19999999998</v>
      </c>
      <c r="I8" s="6">
        <f>+[4]Main!$K$5-[4]Main!$K$6</f>
        <v>-26067</v>
      </c>
      <c r="J8" s="6">
        <f t="shared" si="1"/>
        <v>259006.19999999998</v>
      </c>
      <c r="K8" s="3" t="s">
        <v>1842</v>
      </c>
      <c r="L8" s="6">
        <f>+[4]Main!$K$3</f>
        <v>1560</v>
      </c>
      <c r="M8" s="9">
        <v>45820</v>
      </c>
      <c r="S8" s="11">
        <f t="shared" si="2"/>
        <v>156.63171262699564</v>
      </c>
      <c r="T8" s="11">
        <f t="shared" si="2"/>
        <v>86.473758012820511</v>
      </c>
      <c r="U8" s="11">
        <f t="shared" si="2"/>
        <v>73.140799728905449</v>
      </c>
      <c r="V8" s="11">
        <f t="shared" si="2"/>
        <v>36.813661947808285</v>
      </c>
      <c r="W8" s="11">
        <f t="shared" si="2"/>
        <v>32.618784947861563</v>
      </c>
      <c r="X8" s="11" t="s">
        <v>1680</v>
      </c>
      <c r="Y8" s="61">
        <v>1.06</v>
      </c>
      <c r="Z8" s="61">
        <v>1.92</v>
      </c>
      <c r="AA8" s="61">
        <v>2.27</v>
      </c>
      <c r="AB8" s="61">
        <v>4.51</v>
      </c>
      <c r="AC8" s="61">
        <v>5.09</v>
      </c>
      <c r="AD8" s="61" t="s">
        <v>1680</v>
      </c>
    </row>
    <row r="9" spans="1:32" x14ac:dyDescent="0.25">
      <c r="A9" s="100" t="s">
        <v>333</v>
      </c>
      <c r="B9"/>
      <c r="C9"/>
      <c r="D9" s="1">
        <f>+D8</f>
        <v>4</v>
      </c>
      <c r="E9" s="13" t="s">
        <v>37</v>
      </c>
      <c r="F9" s="1" t="s">
        <v>416</v>
      </c>
      <c r="G9" s="15">
        <v>11136</v>
      </c>
      <c r="H9" s="6">
        <f>+G9*L9/100*GBP</f>
        <v>225838.08000000002</v>
      </c>
      <c r="I9" s="6">
        <f>+[4]Main!$K$5-[4]Main!$K$6</f>
        <v>-26067</v>
      </c>
      <c r="J9" s="6">
        <f t="shared" si="1"/>
        <v>251905.08000000002</v>
      </c>
      <c r="K9" s="3" t="str">
        <f>+K8</f>
        <v>Q125</v>
      </c>
      <c r="L9" s="6">
        <f>+[4]Main!$K$3</f>
        <v>1560</v>
      </c>
      <c r="M9" s="9">
        <f>+M8</f>
        <v>45820</v>
      </c>
      <c r="N9" s="3" t="s">
        <v>1680</v>
      </c>
      <c r="O9" s="3" t="s">
        <v>1680</v>
      </c>
      <c r="P9" s="3" t="s">
        <v>1680</v>
      </c>
      <c r="Q9" s="3" t="s">
        <v>1680</v>
      </c>
      <c r="R9" s="3" t="s">
        <v>1680</v>
      </c>
      <c r="S9" s="4" t="s">
        <v>1680</v>
      </c>
      <c r="T9" s="4" t="s">
        <v>1680</v>
      </c>
      <c r="U9" s="4" t="s">
        <v>1680</v>
      </c>
      <c r="V9" s="4" t="s">
        <v>1680</v>
      </c>
      <c r="W9" s="4" t="s">
        <v>1680</v>
      </c>
      <c r="X9" s="4" t="s">
        <v>1680</v>
      </c>
      <c r="Y9" s="61" t="s">
        <v>1680</v>
      </c>
      <c r="Z9" s="61" t="s">
        <v>1680</v>
      </c>
      <c r="AA9" s="61" t="s">
        <v>1680</v>
      </c>
      <c r="AB9" s="61" t="s">
        <v>1680</v>
      </c>
      <c r="AC9" s="61" t="s">
        <v>1680</v>
      </c>
      <c r="AD9" s="61" t="s">
        <v>1680</v>
      </c>
    </row>
    <row r="10" spans="1:32" x14ac:dyDescent="0.25">
      <c r="A10" s="100" t="s">
        <v>333</v>
      </c>
      <c r="B10"/>
      <c r="C10"/>
      <c r="D10" s="1">
        <f>+D9+1</f>
        <v>5</v>
      </c>
      <c r="E10" s="13" t="s">
        <v>25</v>
      </c>
      <c r="F10" s="1" t="s">
        <v>26</v>
      </c>
      <c r="G10" s="7">
        <v>47.39</v>
      </c>
      <c r="H10" s="6">
        <f>+L10*G10</f>
        <v>210695.94</v>
      </c>
      <c r="I10" s="6">
        <f>([5]Main!$J$5-[5]Main!$J$6)/DKK</f>
        <v>-10378.206036559444</v>
      </c>
      <c r="J10" s="6">
        <f t="shared" si="1"/>
        <v>221074.14603655945</v>
      </c>
      <c r="K10" s="3" t="s">
        <v>1275</v>
      </c>
      <c r="L10" s="6">
        <f>+[5]Main!$J$3</f>
        <v>4446</v>
      </c>
      <c r="M10" s="9">
        <v>45671</v>
      </c>
      <c r="N10" s="7" t="s">
        <v>1680</v>
      </c>
      <c r="O10" s="10" t="s">
        <v>1680</v>
      </c>
      <c r="P10" s="3" t="s">
        <v>1680</v>
      </c>
      <c r="Q10" s="3" t="s">
        <v>1680</v>
      </c>
      <c r="R10" s="3" t="s">
        <v>1680</v>
      </c>
      <c r="S10" s="11">
        <f>($J10/$L10)/Y10</f>
        <v>28.742358011820649</v>
      </c>
      <c r="T10" s="11">
        <f>($J10/$L10)/Z10</f>
        <v>18.348442568431633</v>
      </c>
      <c r="U10" s="11">
        <f>($J10/$L10)/AA10</f>
        <v>15.113762723540949</v>
      </c>
      <c r="V10" s="11">
        <f>($J10/$L10)/AB10</f>
        <v>12.493537527751187</v>
      </c>
      <c r="W10" s="11">
        <f>($J10/$L10)/AC10</f>
        <v>10.534804949247823</v>
      </c>
      <c r="X10" s="11" t="s">
        <v>1680</v>
      </c>
      <c r="Y10" s="61">
        <v>1.73</v>
      </c>
      <c r="Z10" s="61">
        <v>2.71</v>
      </c>
      <c r="AA10" s="61">
        <v>3.29</v>
      </c>
      <c r="AB10" s="61">
        <v>3.98</v>
      </c>
      <c r="AC10" s="61">
        <v>4.72</v>
      </c>
      <c r="AD10" s="61" t="s">
        <v>1680</v>
      </c>
      <c r="AE10" s="1">
        <v>1923</v>
      </c>
    </row>
    <row r="11" spans="1:32" x14ac:dyDescent="0.25">
      <c r="A11" s="100" t="s">
        <v>333</v>
      </c>
      <c r="B11"/>
      <c r="C11"/>
      <c r="D11" s="1">
        <f>+D10</f>
        <v>5</v>
      </c>
      <c r="E11" s="13" t="s">
        <v>25</v>
      </c>
      <c r="F11" t="s">
        <v>317</v>
      </c>
      <c r="G11" s="54">
        <v>313</v>
      </c>
      <c r="H11" s="6">
        <f>+G11*L11/DKK</f>
        <v>197193.99178121015</v>
      </c>
      <c r="I11" s="6">
        <f>([5]Main!$J$5-[5]Main!$J$6)/DKK</f>
        <v>-10378.206036559444</v>
      </c>
      <c r="J11" s="6">
        <f t="shared" si="1"/>
        <v>207572.1978177696</v>
      </c>
      <c r="K11" s="3" t="str">
        <f>+K10</f>
        <v>Q324</v>
      </c>
      <c r="L11" s="6">
        <f>+[5]Main!$J$3</f>
        <v>4446</v>
      </c>
      <c r="M11" s="9">
        <f>+M10</f>
        <v>45671</v>
      </c>
      <c r="N11" s="7">
        <f>+[5]Model!$DM$53</f>
        <v>443.65753232447724</v>
      </c>
      <c r="O11" s="10">
        <f>N11/G11-1</f>
        <v>0.41743620550951199</v>
      </c>
      <c r="P11" s="10">
        <f>[5]Model!$DM$49*-1</f>
        <v>0.01</v>
      </c>
      <c r="Q11" s="10">
        <f>+[5]Model!$DM$50</f>
        <v>-0.01</v>
      </c>
      <c r="R11" s="10">
        <f>+[5]Model!$DM$51</f>
        <v>0.08</v>
      </c>
      <c r="S11" s="4" t="s">
        <v>1680</v>
      </c>
      <c r="T11" s="4" t="s">
        <v>1680</v>
      </c>
      <c r="U11" s="4" t="s">
        <v>1680</v>
      </c>
      <c r="V11" s="4" t="s">
        <v>1680</v>
      </c>
      <c r="W11" s="4" t="s">
        <v>1680</v>
      </c>
      <c r="X11" s="4" t="s">
        <v>1680</v>
      </c>
      <c r="Y11" s="61" t="s">
        <v>1680</v>
      </c>
      <c r="Z11" s="61" t="s">
        <v>1680</v>
      </c>
      <c r="AA11" s="61" t="s">
        <v>1680</v>
      </c>
      <c r="AB11" s="61" t="s">
        <v>1680</v>
      </c>
      <c r="AC11" s="61" t="s">
        <v>1680</v>
      </c>
      <c r="AD11" s="61" t="s">
        <v>1680</v>
      </c>
      <c r="AE11" s="1">
        <v>1923</v>
      </c>
    </row>
    <row r="12" spans="1:32" x14ac:dyDescent="0.25">
      <c r="A12" s="100" t="s">
        <v>333</v>
      </c>
      <c r="B12"/>
      <c r="C12"/>
      <c r="D12" s="1">
        <f>+D11+1</f>
        <v>6</v>
      </c>
      <c r="E12" s="13" t="s">
        <v>21</v>
      </c>
      <c r="F12" s="1" t="s">
        <v>22</v>
      </c>
      <c r="G12" s="20">
        <v>268</v>
      </c>
      <c r="H12" s="6">
        <f>+L12*G12</f>
        <v>214508.00400000002</v>
      </c>
      <c r="I12" s="6">
        <f>+[6]Main!$J$5-[6]Main!$J$6</f>
        <v>-17337</v>
      </c>
      <c r="J12" s="6">
        <f t="shared" si="1"/>
        <v>231845.00400000002</v>
      </c>
      <c r="K12" s="3" t="s">
        <v>1112</v>
      </c>
      <c r="L12" s="6">
        <f>+[6]Main!$J$3</f>
        <v>800.40300000000002</v>
      </c>
      <c r="M12" s="9">
        <v>45754</v>
      </c>
      <c r="N12" s="9"/>
      <c r="O12" s="9"/>
      <c r="P12" s="9"/>
      <c r="Q12" s="9"/>
      <c r="R12" s="9"/>
      <c r="S12" s="4" t="s">
        <v>1680</v>
      </c>
      <c r="T12" s="11" t="s">
        <v>1680</v>
      </c>
      <c r="U12" s="11">
        <f>($J12/$L12)/AA12</f>
        <v>15.665783591369825</v>
      </c>
      <c r="V12" s="11">
        <f>($J12/$L12)/AB12</f>
        <v>14.475779040701051</v>
      </c>
      <c r="W12" s="11">
        <f>($J12/$L12)/AC12</f>
        <v>13.599076929785353</v>
      </c>
      <c r="X12" s="11">
        <f>($J12/$L12)/AD12</f>
        <v>13.13056838642013</v>
      </c>
      <c r="Y12" s="61" t="s">
        <v>1680</v>
      </c>
      <c r="Z12" s="61" t="s">
        <v>1680</v>
      </c>
      <c r="AA12" s="61">
        <v>18.489999999999998</v>
      </c>
      <c r="AB12" s="61">
        <v>20.010000000000002</v>
      </c>
      <c r="AC12" s="61">
        <v>21.3</v>
      </c>
      <c r="AD12" s="61">
        <v>22.06</v>
      </c>
      <c r="AE12" s="1">
        <v>1896</v>
      </c>
    </row>
    <row r="13" spans="1:32" x14ac:dyDescent="0.25">
      <c r="A13" s="100" t="s">
        <v>333</v>
      </c>
      <c r="B13"/>
      <c r="C13"/>
      <c r="D13" s="1">
        <f>+D12+1</f>
        <v>7</v>
      </c>
      <c r="E13" s="13" t="s">
        <v>29</v>
      </c>
      <c r="F13" s="1" t="s">
        <v>30</v>
      </c>
      <c r="G13" s="7">
        <v>117.92</v>
      </c>
      <c r="H13" s="6">
        <f>+G13*L13</f>
        <v>231035.22083136</v>
      </c>
      <c r="I13" s="6">
        <f>+[7]Main!$K$6-[7]Main!$K$7</f>
        <v>-22271</v>
      </c>
      <c r="J13" s="6">
        <f t="shared" si="1"/>
        <v>253306.22083136</v>
      </c>
      <c r="K13" s="3" t="s">
        <v>1842</v>
      </c>
      <c r="L13" s="6">
        <f>+[7]Main!$K$4</f>
        <v>1959.2539079999999</v>
      </c>
      <c r="M13" s="9">
        <v>45793</v>
      </c>
      <c r="S13" s="11">
        <f>($J13/$L13)/Y13</f>
        <v>40.528865857751882</v>
      </c>
      <c r="T13" s="11">
        <f>($J13/$L13)/Z13</f>
        <v>18.0821093826893</v>
      </c>
      <c r="U13" s="11">
        <f>($J13/$L13)/AA13</f>
        <v>21.839034136187248</v>
      </c>
      <c r="V13" s="11">
        <f>($J13/$L13)/AB13</f>
        <v>14.929224259379735</v>
      </c>
      <c r="W13" s="11">
        <f>($J13/$L13)/AC13</f>
        <v>14.349287689925474</v>
      </c>
      <c r="X13" s="4" t="s">
        <v>1680</v>
      </c>
      <c r="Y13" s="61">
        <v>3.19</v>
      </c>
      <c r="Z13" s="61">
        <v>7.15</v>
      </c>
      <c r="AA13" s="61">
        <v>5.92</v>
      </c>
      <c r="AB13" s="61">
        <v>8.66</v>
      </c>
      <c r="AC13" s="61">
        <v>9.01</v>
      </c>
      <c r="AD13" s="61" t="s">
        <v>1680</v>
      </c>
    </row>
    <row r="14" spans="1:32" x14ac:dyDescent="0.25">
      <c r="A14" s="100" t="s">
        <v>333</v>
      </c>
      <c r="B14"/>
      <c r="C14"/>
      <c r="D14" s="1">
        <f>+D13</f>
        <v>7</v>
      </c>
      <c r="E14" s="13" t="s">
        <v>29</v>
      </c>
      <c r="F14" t="s">
        <v>421</v>
      </c>
      <c r="G14" s="20">
        <v>94.58</v>
      </c>
      <c r="H14" s="6">
        <f>+G14*L14/CHF</f>
        <v>203633.22485564832</v>
      </c>
      <c r="I14" s="6">
        <f>+[7]Main!$K$6-[7]Main!$K$7</f>
        <v>-22271</v>
      </c>
      <c r="J14" s="6">
        <f t="shared" si="1"/>
        <v>225904.22485564832</v>
      </c>
      <c r="K14" s="3" t="s">
        <v>1842</v>
      </c>
      <c r="L14" s="6">
        <f>+[7]Main!$K$4</f>
        <v>1959.2539079999999</v>
      </c>
      <c r="M14" s="9">
        <f>+M13</f>
        <v>45793</v>
      </c>
      <c r="N14" s="3" t="s">
        <v>1680</v>
      </c>
      <c r="O14" s="3" t="s">
        <v>1680</v>
      </c>
      <c r="P14" s="3" t="s">
        <v>1680</v>
      </c>
      <c r="Q14" s="3" t="s">
        <v>1680</v>
      </c>
      <c r="R14" s="3" t="s">
        <v>1680</v>
      </c>
      <c r="S14" s="4" t="s">
        <v>1680</v>
      </c>
      <c r="T14" s="4" t="s">
        <v>1680</v>
      </c>
      <c r="U14" s="4" t="s">
        <v>1680</v>
      </c>
      <c r="V14" s="4" t="s">
        <v>1680</v>
      </c>
      <c r="W14" s="4" t="s">
        <v>1680</v>
      </c>
      <c r="X14" s="4" t="s">
        <v>1680</v>
      </c>
      <c r="Y14" s="61" t="s">
        <v>1680</v>
      </c>
      <c r="Z14" s="61" t="s">
        <v>1680</v>
      </c>
      <c r="AA14" s="61" t="s">
        <v>1680</v>
      </c>
      <c r="AB14" s="61" t="s">
        <v>1680</v>
      </c>
      <c r="AC14" s="61" t="s">
        <v>1680</v>
      </c>
      <c r="AD14" s="61" t="s">
        <v>1680</v>
      </c>
    </row>
    <row r="15" spans="1:32" x14ac:dyDescent="0.25">
      <c r="A15" s="100" t="s">
        <v>333</v>
      </c>
      <c r="B15"/>
      <c r="C15"/>
      <c r="D15" s="1">
        <f>+D14+1</f>
        <v>8</v>
      </c>
      <c r="E15" s="13" t="s">
        <v>27</v>
      </c>
      <c r="F15" s="1" t="s">
        <v>28</v>
      </c>
      <c r="G15" s="7">
        <v>85</v>
      </c>
      <c r="H15" s="6">
        <f>+G15*L15</f>
        <v>215135</v>
      </c>
      <c r="I15" s="6">
        <f>+[8]Main!$J$5-[8]Main!$J$6</f>
        <v>-26006</v>
      </c>
      <c r="J15" s="6">
        <f t="shared" si="1"/>
        <v>241141</v>
      </c>
      <c r="K15" s="3" t="s">
        <v>1276</v>
      </c>
      <c r="L15" s="6">
        <f>+[8]Main!$J$3</f>
        <v>2531</v>
      </c>
      <c r="M15" s="9">
        <v>45771</v>
      </c>
      <c r="N15" s="7">
        <f>[8]Model!$EM$113</f>
        <v>91.467147927246273</v>
      </c>
      <c r="O15" s="10">
        <f>N15/G15-1</f>
        <v>7.6084093261720831E-2</v>
      </c>
      <c r="P15" s="10">
        <f>[8]Model!$EM$109</f>
        <v>0.01</v>
      </c>
      <c r="Q15" s="10">
        <f>[8]Model!$EM$110</f>
        <v>-0.01</v>
      </c>
      <c r="R15" s="10">
        <f>[8]Model!$EM$111</f>
        <v>7.0000000000000007E-2</v>
      </c>
      <c r="S15" s="11">
        <f t="shared" ref="S15:W18" si="3">($J15/$L15)/Y15</f>
        <v>16.685637499558883</v>
      </c>
      <c r="T15" s="11">
        <f t="shared" si="3"/>
        <v>680.53564373200868</v>
      </c>
      <c r="U15" s="11">
        <f t="shared" si="3"/>
        <v>14.135755211050627</v>
      </c>
      <c r="V15" s="11">
        <f t="shared" si="3"/>
        <v>10.705055069941711</v>
      </c>
      <c r="W15" s="11">
        <f t="shared" si="3"/>
        <v>9.8019537163046522</v>
      </c>
      <c r="X15" s="4" t="s">
        <v>1680</v>
      </c>
      <c r="Y15" s="61">
        <v>5.71</v>
      </c>
      <c r="Z15" s="61">
        <v>0.14000000000000001</v>
      </c>
      <c r="AA15" s="61">
        <v>6.74</v>
      </c>
      <c r="AB15" s="61">
        <v>8.9</v>
      </c>
      <c r="AC15" s="61">
        <v>9.7200000000000006</v>
      </c>
      <c r="AD15" s="61" t="s">
        <v>1680</v>
      </c>
      <c r="AE15">
        <v>1919</v>
      </c>
    </row>
    <row r="16" spans="1:32" x14ac:dyDescent="0.25">
      <c r="A16" s="100" t="s">
        <v>333</v>
      </c>
      <c r="B16"/>
      <c r="C16"/>
      <c r="D16" s="1">
        <f>+D15+1</f>
        <v>9</v>
      </c>
      <c r="E16" s="145" t="s">
        <v>33</v>
      </c>
      <c r="F16" s="1" t="s">
        <v>34</v>
      </c>
      <c r="G16" s="7">
        <v>300</v>
      </c>
      <c r="H16" s="6">
        <f>+G16*L16</f>
        <v>162300</v>
      </c>
      <c r="I16" s="6">
        <f>[9]Main!$J$5-[9]Main!$J$6</f>
        <v>-48571</v>
      </c>
      <c r="J16" s="6">
        <f t="shared" si="1"/>
        <v>210871</v>
      </c>
      <c r="K16" s="3" t="s">
        <v>1842</v>
      </c>
      <c r="L16" s="6">
        <f>[9]Main!$J$3</f>
        <v>541</v>
      </c>
      <c r="M16" s="9">
        <v>45804</v>
      </c>
      <c r="N16" s="7">
        <f>+[9]Model!$EM$60</f>
        <v>296.41443389296603</v>
      </c>
      <c r="O16" s="10">
        <f>N16/G16-1</f>
        <v>-1.1951887023446517E-2</v>
      </c>
      <c r="P16" s="10">
        <f>+[9]Model!$EM$56</f>
        <v>0.01</v>
      </c>
      <c r="Q16" s="10">
        <f>+[9]Model!$EM$57</f>
        <v>-0.02</v>
      </c>
      <c r="R16" s="10">
        <f>+[9]Model!$EM$58</f>
        <v>0.08</v>
      </c>
      <c r="S16" s="11">
        <f t="shared" si="3"/>
        <v>32.186625678660342</v>
      </c>
      <c r="T16" s="11">
        <f t="shared" si="3"/>
        <v>31.207368852568191</v>
      </c>
      <c r="U16" s="11">
        <f t="shared" si="3"/>
        <v>51.55820594822444</v>
      </c>
      <c r="V16" s="11">
        <f t="shared" si="3"/>
        <v>18.694486185543248</v>
      </c>
      <c r="W16" s="11">
        <f t="shared" si="3"/>
        <v>18.112455249469178</v>
      </c>
      <c r="X16" s="4" t="s">
        <v>1680</v>
      </c>
      <c r="Y16" s="61">
        <v>12.11</v>
      </c>
      <c r="Z16" s="61">
        <v>12.49</v>
      </c>
      <c r="AA16" s="61">
        <v>7.56</v>
      </c>
      <c r="AB16" s="61">
        <v>20.85</v>
      </c>
      <c r="AC16" s="61">
        <v>21.52</v>
      </c>
      <c r="AD16" s="61" t="s">
        <v>1680</v>
      </c>
      <c r="AE16" s="1">
        <v>1980</v>
      </c>
    </row>
    <row r="17" spans="1:31" x14ac:dyDescent="0.25">
      <c r="A17" s="100" t="s">
        <v>333</v>
      </c>
      <c r="B17"/>
      <c r="C17"/>
      <c r="D17" s="1">
        <f>+D16+1</f>
        <v>10</v>
      </c>
      <c r="E17" s="13" t="s">
        <v>23</v>
      </c>
      <c r="F17" s="1" t="s">
        <v>24</v>
      </c>
      <c r="G17" s="7">
        <v>24.48</v>
      </c>
      <c r="H17" s="6">
        <f>+L17*G17</f>
        <v>139780.79999999999</v>
      </c>
      <c r="I17" s="6">
        <f>+[10]Main!$K$5-[10]Main!$K$6</f>
        <v>-42779</v>
      </c>
      <c r="J17" s="6">
        <f t="shared" si="1"/>
        <v>182559.8</v>
      </c>
      <c r="K17" s="3" t="s">
        <v>1842</v>
      </c>
      <c r="L17" s="6">
        <f>+[10]Main!$K$3</f>
        <v>5710</v>
      </c>
      <c r="M17" s="9">
        <v>45805</v>
      </c>
      <c r="N17" s="9"/>
      <c r="O17" s="9"/>
      <c r="P17" s="9"/>
      <c r="Q17" s="9"/>
      <c r="R17" s="9"/>
      <c r="S17" s="11">
        <f t="shared" si="3"/>
        <v>5.844962332352555</v>
      </c>
      <c r="T17" s="11">
        <f t="shared" si="3"/>
        <v>84.136694626232824</v>
      </c>
      <c r="U17" s="11">
        <f t="shared" si="3"/>
        <v>22.675137558842891</v>
      </c>
      <c r="V17" s="11">
        <f t="shared" si="3"/>
        <v>10.657314652656158</v>
      </c>
      <c r="W17" s="11">
        <f t="shared" si="3"/>
        <v>10.380501285054699</v>
      </c>
      <c r="X17" s="4" t="s">
        <v>1680</v>
      </c>
      <c r="Y17" s="61">
        <v>5.47</v>
      </c>
      <c r="Z17" s="61">
        <v>0.38</v>
      </c>
      <c r="AA17" s="61">
        <v>1.41</v>
      </c>
      <c r="AB17" s="61">
        <v>3</v>
      </c>
      <c r="AC17" s="61">
        <v>3.08</v>
      </c>
      <c r="AD17" s="61" t="s">
        <v>1680</v>
      </c>
    </row>
    <row r="18" spans="1:31" x14ac:dyDescent="0.25">
      <c r="A18" s="100" t="s">
        <v>333</v>
      </c>
      <c r="B18"/>
      <c r="C18"/>
      <c r="D18" s="1">
        <f>+D17+1</f>
        <v>11</v>
      </c>
      <c r="E18" s="13" t="s">
        <v>45</v>
      </c>
      <c r="F18" s="1" t="s">
        <v>46</v>
      </c>
      <c r="G18" s="7">
        <v>113.75</v>
      </c>
      <c r="H18" s="6">
        <f>+G18*L18</f>
        <v>143211.25</v>
      </c>
      <c r="I18" s="6">
        <f>+[11]Main!$J$5-[11]Main!$J$6</f>
        <v>-16720</v>
      </c>
      <c r="J18" s="6">
        <f t="shared" si="1"/>
        <v>159931.25</v>
      </c>
      <c r="K18" s="3" t="s">
        <v>1276</v>
      </c>
      <c r="L18" s="6">
        <f>+[11]Main!$J$3</f>
        <v>1259</v>
      </c>
      <c r="M18" s="9">
        <v>45768</v>
      </c>
      <c r="S18" s="11">
        <f t="shared" si="3"/>
        <v>34.898456388726444</v>
      </c>
      <c r="T18" s="11">
        <f t="shared" si="3"/>
        <v>28.228973612214279</v>
      </c>
      <c r="U18" s="11">
        <f t="shared" si="3"/>
        <v>334.29047698674805</v>
      </c>
      <c r="V18" s="11">
        <f t="shared" si="3"/>
        <v>15.898670995615051</v>
      </c>
      <c r="W18" s="11">
        <f t="shared" si="3"/>
        <v>14.909669161380782</v>
      </c>
      <c r="X18" s="4" t="s">
        <v>1680</v>
      </c>
      <c r="Y18" s="61">
        <v>3.64</v>
      </c>
      <c r="Z18" s="61">
        <v>4.5</v>
      </c>
      <c r="AA18" s="61">
        <v>0.38</v>
      </c>
      <c r="AB18" s="61">
        <v>7.99</v>
      </c>
      <c r="AC18" s="61">
        <v>8.52</v>
      </c>
      <c r="AD18" s="61" t="s">
        <v>1680</v>
      </c>
    </row>
    <row r="19" spans="1:31" x14ac:dyDescent="0.25">
      <c r="A19" s="100" t="s">
        <v>333</v>
      </c>
      <c r="B19"/>
      <c r="C19"/>
      <c r="D19" s="1">
        <f>+D18+1</f>
        <v>12</v>
      </c>
      <c r="E19" s="13" t="s">
        <v>35</v>
      </c>
      <c r="F19" s="1" t="s">
        <v>1111</v>
      </c>
      <c r="G19" s="14">
        <v>82</v>
      </c>
      <c r="H19" s="6">
        <f>G19*[12]Main!$K$3*EUR</f>
        <v>113866.02</v>
      </c>
      <c r="I19" s="6">
        <f>([13]Main!$K$5-[13]Main!$K$6)*EUR</f>
        <v>-12746.130000000001</v>
      </c>
      <c r="J19" s="6">
        <f t="shared" si="1"/>
        <v>126612.15000000001</v>
      </c>
      <c r="K19" s="3" t="s">
        <v>1069</v>
      </c>
      <c r="L19" s="6">
        <f>+[12]Main!$K$3</f>
        <v>1251</v>
      </c>
      <c r="M19" s="9">
        <v>45776</v>
      </c>
      <c r="S19" s="4" t="s">
        <v>1680</v>
      </c>
      <c r="T19" s="4" t="s">
        <v>1680</v>
      </c>
      <c r="U19" s="4" t="s">
        <v>1680</v>
      </c>
      <c r="V19" s="11">
        <f>($J19/$L19)/AB19</f>
        <v>22.097981003843213</v>
      </c>
      <c r="W19" s="11">
        <f>($J19/$L19)/AC19</f>
        <v>20.12102445280356</v>
      </c>
      <c r="X19" s="4" t="s">
        <v>1680</v>
      </c>
      <c r="Y19" s="61" t="s">
        <v>1680</v>
      </c>
      <c r="Z19" s="61" t="s">
        <v>1680</v>
      </c>
      <c r="AA19" s="61" t="s">
        <v>1680</v>
      </c>
      <c r="AB19" s="61">
        <v>4.58</v>
      </c>
      <c r="AC19" s="61">
        <v>5.03</v>
      </c>
      <c r="AD19" s="61" t="s">
        <v>1680</v>
      </c>
    </row>
    <row r="20" spans="1:31" x14ac:dyDescent="0.25">
      <c r="A20" s="100" t="s">
        <v>333</v>
      </c>
      <c r="B20"/>
      <c r="C20"/>
      <c r="D20">
        <f>+D19</f>
        <v>12</v>
      </c>
      <c r="E20" s="13" t="s">
        <v>35</v>
      </c>
      <c r="F20" t="s">
        <v>36</v>
      </c>
      <c r="G20" s="7">
        <v>47.76</v>
      </c>
      <c r="H20" s="6">
        <f>+G20*L20*2</f>
        <v>119495.51999999999</v>
      </c>
      <c r="I20" s="6">
        <f>([13]Main!$K$5-[13]Main!$K$6)*EUR</f>
        <v>-12746.130000000001</v>
      </c>
      <c r="J20" s="6">
        <f t="shared" si="1"/>
        <v>132241.65</v>
      </c>
      <c r="K20" s="3" t="str">
        <f>+K19</f>
        <v>Q224</v>
      </c>
      <c r="L20" s="6">
        <f>+L19</f>
        <v>1251</v>
      </c>
      <c r="M20" s="9">
        <f>+M19</f>
        <v>45776</v>
      </c>
      <c r="N20" s="4" t="s">
        <v>1680</v>
      </c>
      <c r="O20" s="4" t="s">
        <v>1680</v>
      </c>
      <c r="P20" s="4" t="s">
        <v>1680</v>
      </c>
      <c r="Q20" s="4" t="s">
        <v>1680</v>
      </c>
      <c r="R20" s="4" t="s">
        <v>1680</v>
      </c>
      <c r="S20" s="4" t="s">
        <v>1680</v>
      </c>
      <c r="T20" s="4" t="s">
        <v>1680</v>
      </c>
      <c r="U20" s="4" t="s">
        <v>1680</v>
      </c>
      <c r="V20" s="4" t="s">
        <v>1680</v>
      </c>
      <c r="W20" s="4" t="s">
        <v>1680</v>
      </c>
      <c r="X20" s="4" t="s">
        <v>1680</v>
      </c>
      <c r="Y20" s="4" t="s">
        <v>1680</v>
      </c>
      <c r="Z20" s="4" t="s">
        <v>1680</v>
      </c>
      <c r="AA20" s="4" t="s">
        <v>1680</v>
      </c>
      <c r="AB20" s="4" t="s">
        <v>1680</v>
      </c>
      <c r="AC20" s="4" t="s">
        <v>1680</v>
      </c>
      <c r="AD20" s="4" t="s">
        <v>1680</v>
      </c>
    </row>
    <row r="21" spans="1:31" x14ac:dyDescent="0.25">
      <c r="A21" s="100" t="s">
        <v>333</v>
      </c>
      <c r="B21"/>
      <c r="C21"/>
      <c r="D21" s="1">
        <f>+D20+1</f>
        <v>13</v>
      </c>
      <c r="E21" s="13" t="s">
        <v>31</v>
      </c>
      <c r="F21" s="1" t="s">
        <v>32</v>
      </c>
      <c r="G21" s="3">
        <v>45.38</v>
      </c>
      <c r="H21" s="6">
        <f>+G21*L21</f>
        <v>92076.02</v>
      </c>
      <c r="I21" s="6">
        <f>+[14]Main!$K$5-[14]Main!$K$6</f>
        <v>-38470</v>
      </c>
      <c r="J21" s="6">
        <f t="shared" si="1"/>
        <v>130546.02</v>
      </c>
      <c r="K21" s="3" t="s">
        <v>1276</v>
      </c>
      <c r="L21" s="6">
        <f>+[14]Main!$K$3</f>
        <v>2029</v>
      </c>
      <c r="M21" s="9">
        <v>45771</v>
      </c>
      <c r="S21" s="11">
        <f t="shared" ref="S21:W25" si="4">($J21/$L21)/Y21</f>
        <v>21.810196222569353</v>
      </c>
      <c r="T21" s="11">
        <f t="shared" si="4"/>
        <v>16.66841421154912</v>
      </c>
      <c r="U21" s="11">
        <f t="shared" si="4"/>
        <v>-14.589587042308297</v>
      </c>
      <c r="V21" s="11">
        <f t="shared" si="4"/>
        <v>9.3790202414839055</v>
      </c>
      <c r="W21" s="11">
        <f t="shared" si="4"/>
        <v>10.599683501907675</v>
      </c>
      <c r="X21" s="4" t="s">
        <v>1680</v>
      </c>
      <c r="Y21" s="61">
        <v>2.95</v>
      </c>
      <c r="Z21" s="61">
        <v>3.86</v>
      </c>
      <c r="AA21" s="61">
        <v>-4.41</v>
      </c>
      <c r="AB21" s="61">
        <v>6.86</v>
      </c>
      <c r="AC21" s="61">
        <v>6.07</v>
      </c>
      <c r="AD21" s="4" t="s">
        <v>1680</v>
      </c>
      <c r="AE21" s="1">
        <v>1887</v>
      </c>
    </row>
    <row r="22" spans="1:31" x14ac:dyDescent="0.25">
      <c r="A22" s="100" t="s">
        <v>333</v>
      </c>
      <c r="B22"/>
      <c r="C22"/>
      <c r="D22" s="1">
        <f>+D21+1</f>
        <v>14</v>
      </c>
      <c r="E22" s="13" t="s">
        <v>47</v>
      </c>
      <c r="F22" s="1" t="s">
        <v>48</v>
      </c>
      <c r="G22" s="7">
        <v>401</v>
      </c>
      <c r="H22" s="6">
        <f>+G22*[15]Main!$M$3</f>
        <v>102975.67198700001</v>
      </c>
      <c r="I22" s="6">
        <f>+[15]Main!$M$5-[15]Main!$M$6</f>
        <v>11358</v>
      </c>
      <c r="J22" s="6">
        <f t="shared" si="1"/>
        <v>91617.671987000009</v>
      </c>
      <c r="K22" s="3" t="s">
        <v>1842</v>
      </c>
      <c r="L22" s="6">
        <f>+[15]Main!$M$3</f>
        <v>256.79718700000001</v>
      </c>
      <c r="M22" s="9">
        <v>45789</v>
      </c>
      <c r="N22" s="7">
        <f>+[15]Model!$BK$34</f>
        <v>624.89045682268738</v>
      </c>
      <c r="O22" s="10">
        <f>N22/G22-1</f>
        <v>0.55833031626605334</v>
      </c>
      <c r="P22" s="10">
        <f>+[15]Model!$BK$32</f>
        <v>0.03</v>
      </c>
      <c r="Q22" s="10">
        <f>+[15]Model!$BK$30</f>
        <v>-0.05</v>
      </c>
      <c r="R22" s="10">
        <f>[15]Model!$BK$30</f>
        <v>-0.05</v>
      </c>
      <c r="S22" s="11">
        <f t="shared" si="4"/>
        <v>27.829215565188189</v>
      </c>
      <c r="T22" s="11">
        <f t="shared" si="4"/>
        <v>25.685424301347197</v>
      </c>
      <c r="U22" s="11">
        <f t="shared" si="4"/>
        <v>30.132647258928429</v>
      </c>
      <c r="V22" s="11">
        <f t="shared" si="4"/>
        <v>19.831603309934</v>
      </c>
      <c r="W22" s="11">
        <f t="shared" si="4"/>
        <v>17.144187580284125</v>
      </c>
      <c r="X22" s="4" t="s">
        <v>1680</v>
      </c>
      <c r="Y22" s="61">
        <v>12.82</v>
      </c>
      <c r="Z22" s="61">
        <v>13.89</v>
      </c>
      <c r="AA22" s="61">
        <f>-2.08+13.92</f>
        <v>11.84</v>
      </c>
      <c r="AB22" s="61">
        <v>17.989999999999998</v>
      </c>
      <c r="AC22" s="61">
        <v>20.81</v>
      </c>
      <c r="AD22" s="4" t="s">
        <v>1680</v>
      </c>
    </row>
    <row r="23" spans="1:31" x14ac:dyDescent="0.25">
      <c r="A23" s="100" t="s">
        <v>333</v>
      </c>
      <c r="B23"/>
      <c r="C23"/>
      <c r="D23" s="1">
        <f>+D22+1</f>
        <v>15</v>
      </c>
      <c r="E23" s="13" t="s">
        <v>39</v>
      </c>
      <c r="F23" s="1" t="s">
        <v>40</v>
      </c>
      <c r="G23" s="7">
        <v>37.44</v>
      </c>
      <c r="H23" s="6">
        <f>+G23*L23/2</f>
        <v>77444.639999999999</v>
      </c>
      <c r="I23" s="6">
        <f>([16]Main!$J$6-[16]Main!$J$7)*GBP</f>
        <v>-18131.100000000002</v>
      </c>
      <c r="J23" s="6">
        <f t="shared" si="1"/>
        <v>95575.74</v>
      </c>
      <c r="K23" s="3" t="s">
        <v>1842</v>
      </c>
      <c r="L23" s="6">
        <f>+[16]Main!$J$4</f>
        <v>4137</v>
      </c>
      <c r="M23" s="9">
        <v>45805</v>
      </c>
      <c r="S23" s="11">
        <f t="shared" si="4"/>
        <v>6.6964256812855352</v>
      </c>
      <c r="T23" s="11">
        <f t="shared" si="4"/>
        <v>5.9851473058122018</v>
      </c>
      <c r="U23" s="11">
        <f t="shared" si="4"/>
        <v>5.6763313514582547</v>
      </c>
      <c r="V23" s="11">
        <f t="shared" si="4"/>
        <v>5.1683822372338035</v>
      </c>
      <c r="W23" s="11">
        <f t="shared" si="4"/>
        <v>4.6766535628411123</v>
      </c>
      <c r="X23" s="4" t="s">
        <v>1680</v>
      </c>
      <c r="Y23" s="61">
        <v>3.45</v>
      </c>
      <c r="Z23" s="61">
        <v>3.86</v>
      </c>
      <c r="AA23" s="61">
        <v>4.07</v>
      </c>
      <c r="AB23" s="61">
        <v>4.47</v>
      </c>
      <c r="AC23" s="61">
        <v>4.9400000000000004</v>
      </c>
      <c r="AD23" s="4">
        <v>5.35</v>
      </c>
    </row>
    <row r="24" spans="1:31" x14ac:dyDescent="0.25">
      <c r="A24" s="100" t="s">
        <v>333</v>
      </c>
      <c r="B24"/>
      <c r="C24"/>
      <c r="D24" s="1">
        <f>+D23</f>
        <v>15</v>
      </c>
      <c r="E24" s="13" t="s">
        <v>39</v>
      </c>
      <c r="F24" s="1" t="s">
        <v>41</v>
      </c>
      <c r="G24" s="15">
        <v>1398</v>
      </c>
      <c r="H24" s="6">
        <f>+G24*L24/100*GBP</f>
        <v>75185.838000000003</v>
      </c>
      <c r="I24" s="6">
        <f>([16]Main!$J$6-[16]Main!$J$7)*GBP</f>
        <v>-18131.100000000002</v>
      </c>
      <c r="J24" s="6">
        <f t="shared" si="1"/>
        <v>93316.938000000009</v>
      </c>
      <c r="K24" s="3" t="str">
        <f>+K23</f>
        <v>Q125</v>
      </c>
      <c r="L24" s="6">
        <f>+L23</f>
        <v>4137</v>
      </c>
      <c r="M24" s="9">
        <f>+M23</f>
        <v>45805</v>
      </c>
      <c r="N24" s="3" t="s">
        <v>1680</v>
      </c>
      <c r="O24" s="3" t="s">
        <v>1680</v>
      </c>
      <c r="P24" s="3" t="s">
        <v>1680</v>
      </c>
      <c r="Q24" s="3" t="s">
        <v>1680</v>
      </c>
      <c r="R24" s="3" t="s">
        <v>1680</v>
      </c>
      <c r="S24" s="11">
        <f t="shared" si="4"/>
        <v>16.111906143167928</v>
      </c>
      <c r="T24" s="11">
        <f t="shared" si="4"/>
        <v>14.552689419635547</v>
      </c>
      <c r="U24" s="11">
        <f t="shared" si="4"/>
        <v>14.186584025430879</v>
      </c>
      <c r="V24" s="11">
        <f t="shared" si="4"/>
        <v>13.67070824268794</v>
      </c>
      <c r="W24" s="11">
        <f t="shared" si="4"/>
        <v>12.39377395628302</v>
      </c>
      <c r="X24" s="4" t="s">
        <v>1680</v>
      </c>
      <c r="Y24" s="61">
        <v>1.4</v>
      </c>
      <c r="Z24" s="4">
        <v>1.55</v>
      </c>
      <c r="AA24" s="4">
        <v>1.59</v>
      </c>
      <c r="AB24" s="4">
        <v>1.65</v>
      </c>
      <c r="AC24" s="4">
        <v>1.82</v>
      </c>
      <c r="AD24" s="4">
        <v>1.97</v>
      </c>
    </row>
    <row r="25" spans="1:31" x14ac:dyDescent="0.25">
      <c r="A25" s="100" t="s">
        <v>333</v>
      </c>
      <c r="B25"/>
      <c r="C25"/>
      <c r="D25" s="1">
        <f>+D24+1</f>
        <v>16</v>
      </c>
      <c r="E25" s="13" t="s">
        <v>44</v>
      </c>
      <c r="F25" s="1" t="s">
        <v>420</v>
      </c>
      <c r="G25" s="55">
        <v>264.91000000000003</v>
      </c>
      <c r="H25" s="6">
        <f>+G25*L25*AUD</f>
        <v>86117.879439637909</v>
      </c>
      <c r="I25" s="6">
        <f>[17]Main!$J$5-[17]Main!$J$6</f>
        <v>-10363</v>
      </c>
      <c r="J25" s="6">
        <f t="shared" si="1"/>
        <v>96480.879439637909</v>
      </c>
      <c r="K25" s="3" t="s">
        <v>1069</v>
      </c>
      <c r="L25" s="6">
        <f>+[17]Main!$J$3</f>
        <v>485.19930699999998</v>
      </c>
      <c r="M25" s="9">
        <v>45822</v>
      </c>
      <c r="S25" s="11">
        <f t="shared" si="4"/>
        <v>29.67879601618526</v>
      </c>
      <c r="T25" s="11">
        <f t="shared" si="4"/>
        <v>22.020812105032253</v>
      </c>
      <c r="U25" s="11">
        <f t="shared" si="4"/>
        <v>21.450693992280609</v>
      </c>
      <c r="V25" s="11">
        <f t="shared" si="4"/>
        <v>18.688715536507633</v>
      </c>
      <c r="W25" s="11">
        <f t="shared" si="4"/>
        <v>16.339189261170194</v>
      </c>
      <c r="X25" s="4" t="s">
        <v>1680</v>
      </c>
      <c r="Y25" s="61">
        <v>6.7</v>
      </c>
      <c r="Z25" s="61">
        <v>9.0299999999999994</v>
      </c>
      <c r="AA25" s="61">
        <v>9.27</v>
      </c>
      <c r="AB25" s="61">
        <v>10.64</v>
      </c>
      <c r="AC25" s="61">
        <v>12.17</v>
      </c>
      <c r="AD25" s="61">
        <v>13.65</v>
      </c>
    </row>
    <row r="26" spans="1:31" x14ac:dyDescent="0.25">
      <c r="A26" s="100" t="s">
        <v>333</v>
      </c>
      <c r="B26"/>
      <c r="C26"/>
      <c r="D26" s="1">
        <f>+D25+1</f>
        <v>17</v>
      </c>
      <c r="E26" s="13" t="s">
        <v>61</v>
      </c>
      <c r="F26" s="1" t="s">
        <v>62</v>
      </c>
      <c r="G26" s="3">
        <v>14.23</v>
      </c>
      <c r="H26" s="6">
        <f>+G26*2*L26</f>
        <v>44653.74</v>
      </c>
      <c r="I26" s="6">
        <f>([18]Main!$K$6-[18]Main!$K$7)/JPY</f>
        <v>-27370.051635111875</v>
      </c>
      <c r="J26" s="6">
        <f>+H26-I26</f>
        <v>72023.791635111877</v>
      </c>
      <c r="K26" s="3" t="s">
        <v>1069</v>
      </c>
      <c r="L26" s="6">
        <f>+[18]Main!$K$4</f>
        <v>1569</v>
      </c>
      <c r="M26" s="9">
        <v>45812</v>
      </c>
    </row>
    <row r="27" spans="1:31" x14ac:dyDescent="0.25">
      <c r="A27" s="100" t="s">
        <v>333</v>
      </c>
      <c r="B27"/>
      <c r="C27"/>
      <c r="D27" s="1">
        <f>+D26</f>
        <v>17</v>
      </c>
      <c r="E27" s="13" t="s">
        <v>61</v>
      </c>
      <c r="F27" s="1" t="s">
        <v>334</v>
      </c>
      <c r="G27" s="16">
        <v>4219</v>
      </c>
      <c r="H27" s="6">
        <f>+G27*L27/JPY</f>
        <v>45573.913941480205</v>
      </c>
      <c r="I27" s="6">
        <f>([18]Main!$K$6-[18]Main!$K$7)/JPY</f>
        <v>-27370.051635111875</v>
      </c>
      <c r="J27" s="6">
        <f>+H27-I27</f>
        <v>72943.965576592076</v>
      </c>
      <c r="K27" s="3" t="s">
        <v>1069</v>
      </c>
      <c r="L27" s="6">
        <f>+[18]Main!$K$4</f>
        <v>1569</v>
      </c>
      <c r="M27" s="9">
        <f>+M26</f>
        <v>45812</v>
      </c>
    </row>
    <row r="28" spans="1:31" x14ac:dyDescent="0.25">
      <c r="A28" s="100" t="s">
        <v>333</v>
      </c>
      <c r="B28"/>
      <c r="C28"/>
      <c r="D28" s="1">
        <f t="shared" ref="D28:D46" si="5">+D27+1</f>
        <v>18</v>
      </c>
      <c r="E28" s="13" t="s">
        <v>55</v>
      </c>
      <c r="F28" s="1" t="s">
        <v>56</v>
      </c>
      <c r="G28" s="16">
        <v>7303</v>
      </c>
      <c r="H28" s="6">
        <f>+G28*L28/JPY</f>
        <v>82728.416027614454</v>
      </c>
      <c r="I28" s="6">
        <f>([19]Main!$J$5-[19]Main!$J$6)/JPY</f>
        <v>5615.545611015491</v>
      </c>
      <c r="J28" s="6">
        <f>+H28-I28</f>
        <v>77112.870416598962</v>
      </c>
      <c r="K28" s="3" t="s">
        <v>1069</v>
      </c>
      <c r="L28" s="6">
        <f>+[19]Main!$J$3</f>
        <v>1645.3926369999999</v>
      </c>
      <c r="M28" s="9">
        <v>45537</v>
      </c>
      <c r="AE28" s="1">
        <v>1925</v>
      </c>
    </row>
    <row r="29" spans="1:31" x14ac:dyDescent="0.25">
      <c r="A29" s="100" t="s">
        <v>333</v>
      </c>
      <c r="B29"/>
      <c r="C29"/>
      <c r="D29" s="1">
        <f t="shared" si="5"/>
        <v>19</v>
      </c>
      <c r="E29" s="13" t="s">
        <v>42</v>
      </c>
      <c r="F29" s="1" t="s">
        <v>43</v>
      </c>
      <c r="G29" s="14">
        <v>108.45</v>
      </c>
      <c r="H29" s="6">
        <f>+G29*L29</f>
        <v>47175.75</v>
      </c>
      <c r="I29" s="6">
        <f>([20]Main!$J$5-[20]Main!$J$6)*EUR</f>
        <v>-7904.4210000000012</v>
      </c>
      <c r="J29" s="6">
        <f>H29-I29</f>
        <v>55080.171000000002</v>
      </c>
      <c r="K29" s="3" t="s">
        <v>1842</v>
      </c>
      <c r="L29" s="3">
        <v>435</v>
      </c>
      <c r="M29" s="9">
        <v>45822</v>
      </c>
    </row>
    <row r="30" spans="1:31" x14ac:dyDescent="0.25">
      <c r="A30" s="100" t="s">
        <v>333</v>
      </c>
      <c r="B30"/>
      <c r="C30"/>
      <c r="D30" s="1">
        <f t="shared" si="5"/>
        <v>20</v>
      </c>
      <c r="E30" s="13" t="s">
        <v>254</v>
      </c>
      <c r="F30" t="s">
        <v>255</v>
      </c>
      <c r="G30" s="14">
        <v>27.4</v>
      </c>
      <c r="H30" s="6">
        <f>+G30*L30*EUR</f>
        <v>29879.32188</v>
      </c>
      <c r="I30" s="6">
        <f>([21]Main!$J$5-[21]Main!$J$6)</f>
        <v>-34255</v>
      </c>
      <c r="J30" s="6">
        <f>+H30-I30</f>
        <v>64134.321880000003</v>
      </c>
      <c r="K30" s="3" t="s">
        <v>1842</v>
      </c>
      <c r="L30" s="6">
        <f>+[21]Main!$J$3</f>
        <v>982.42</v>
      </c>
      <c r="M30" s="9">
        <v>45822</v>
      </c>
    </row>
    <row r="31" spans="1:31" x14ac:dyDescent="0.25">
      <c r="A31" s="100" t="s">
        <v>333</v>
      </c>
      <c r="B31"/>
      <c r="C31"/>
      <c r="D31" s="1">
        <f t="shared" si="5"/>
        <v>21</v>
      </c>
      <c r="E31" s="13" t="s">
        <v>51</v>
      </c>
      <c r="F31" s="1" t="s">
        <v>52</v>
      </c>
      <c r="G31" s="7">
        <v>571.62</v>
      </c>
      <c r="H31" s="6">
        <f>+G31*L31</f>
        <v>63564.144</v>
      </c>
      <c r="I31" s="6">
        <f>+[22]Main!$J$5-[22]Main!$J$6</f>
        <v>15641</v>
      </c>
      <c r="J31" s="6">
        <f>H31-I31</f>
        <v>47923.144</v>
      </c>
      <c r="K31" s="3" t="s">
        <v>1842</v>
      </c>
      <c r="L31" s="6">
        <f>+[22]Main!$J$3</f>
        <v>111.2</v>
      </c>
      <c r="M31" s="9">
        <v>45776</v>
      </c>
      <c r="AE31" s="1">
        <v>1988</v>
      </c>
    </row>
    <row r="32" spans="1:31" x14ac:dyDescent="0.25">
      <c r="A32" s="100" t="s">
        <v>333</v>
      </c>
      <c r="B32"/>
      <c r="C32"/>
      <c r="D32" s="1">
        <f t="shared" si="5"/>
        <v>22</v>
      </c>
      <c r="E32" s="13" t="s">
        <v>264</v>
      </c>
      <c r="F32" t="s">
        <v>265</v>
      </c>
      <c r="G32" s="17">
        <v>1641.6</v>
      </c>
      <c r="H32" s="6" cm="1">
        <f t="array" ref="H32">+G32*L32/INR</f>
        <v>47706.824954572985</v>
      </c>
      <c r="I32" s="6">
        <f>([23]Main!$J$5-[23]Main!$J$6)/INR</f>
        <v>361.34100545124147</v>
      </c>
      <c r="J32" s="6">
        <f>H32-I32</f>
        <v>47345.483949121743</v>
      </c>
      <c r="K32" s="3" t="s">
        <v>1069</v>
      </c>
      <c r="L32" s="6">
        <f>+[23]Main!$J$3</f>
        <v>2399</v>
      </c>
      <c r="M32" s="9">
        <v>45537</v>
      </c>
      <c r="AE32" s="1">
        <v>1983</v>
      </c>
    </row>
    <row r="33" spans="1:32" x14ac:dyDescent="0.25">
      <c r="A33" s="100" t="s">
        <v>333</v>
      </c>
      <c r="B33"/>
      <c r="C33"/>
      <c r="D33" s="1">
        <f t="shared" si="5"/>
        <v>23</v>
      </c>
      <c r="E33" s="13" t="s">
        <v>256</v>
      </c>
      <c r="F33" t="s">
        <v>257</v>
      </c>
      <c r="G33" s="19">
        <v>1048000</v>
      </c>
      <c r="H33" s="6">
        <f>+G33*L33/KRW</f>
        <v>52051.88555478018</v>
      </c>
      <c r="I33" s="6">
        <f>([24]Main!$M$5-[24]Main!$M$6)/KRW*1000</f>
        <v>439.56163852058603</v>
      </c>
      <c r="J33" s="6">
        <f>+H33-I33</f>
        <v>51612.323916259593</v>
      </c>
      <c r="K33" s="3" t="s">
        <v>1039</v>
      </c>
      <c r="L33" s="6">
        <f>+[24]Main!$M$3</f>
        <v>71.174000000000007</v>
      </c>
      <c r="M33" s="9">
        <v>45536</v>
      </c>
    </row>
    <row r="34" spans="1:32" x14ac:dyDescent="0.25">
      <c r="A34" s="100" t="s">
        <v>333</v>
      </c>
      <c r="D34" s="1">
        <f t="shared" si="5"/>
        <v>24</v>
      </c>
      <c r="E34" s="13" t="s">
        <v>82</v>
      </c>
      <c r="F34" s="1" t="s">
        <v>83</v>
      </c>
      <c r="G34" s="16">
        <v>3620</v>
      </c>
      <c r="H34" s="6">
        <f>+G34*L34/JPY</f>
        <v>47710.798490877794</v>
      </c>
      <c r="I34" s="6">
        <f>([25]Main!$M$5-[25]Main!$M$6)*1000/JPY</f>
        <v>6914.7607573149744</v>
      </c>
      <c r="J34" s="6">
        <f>+H34-I34</f>
        <v>40796.037733562822</v>
      </c>
      <c r="K34" s="3" t="s">
        <v>1069</v>
      </c>
      <c r="L34" s="6">
        <f>+[25]Main!$M$3</f>
        <v>1914.36284</v>
      </c>
      <c r="M34" s="9">
        <v>45535</v>
      </c>
    </row>
    <row r="35" spans="1:32" x14ac:dyDescent="0.25">
      <c r="A35" s="100" t="s">
        <v>333</v>
      </c>
      <c r="D35" s="1">
        <f t="shared" si="5"/>
        <v>25</v>
      </c>
      <c r="E35" s="13" t="s">
        <v>270</v>
      </c>
      <c r="F35" t="s">
        <v>270</v>
      </c>
      <c r="G35" s="14">
        <v>184.65</v>
      </c>
      <c r="H35" s="6">
        <f>+G35*L35*EUR</f>
        <v>38942.685000000005</v>
      </c>
      <c r="I35" s="6">
        <f>([26]Main!$J$5-[26]Main!$J$6)*EUR</f>
        <v>-2901.5400000000004</v>
      </c>
      <c r="J35" s="6">
        <f>H35-I35</f>
        <v>41844.225000000006</v>
      </c>
      <c r="K35" s="3" t="s">
        <v>1069</v>
      </c>
      <c r="L35" s="6">
        <f>+[26]Main!$J$3</f>
        <v>190</v>
      </c>
      <c r="M35" s="9">
        <v>45537</v>
      </c>
    </row>
    <row r="36" spans="1:32" x14ac:dyDescent="0.25">
      <c r="A36" s="100" t="s">
        <v>333</v>
      </c>
      <c r="D36" s="1">
        <f t="shared" si="5"/>
        <v>26</v>
      </c>
      <c r="E36" s="13" t="s">
        <v>94</v>
      </c>
      <c r="F36" s="1" t="s">
        <v>95</v>
      </c>
      <c r="G36" s="7">
        <v>15.9</v>
      </c>
      <c r="H36" s="6">
        <f>+G36*L36</f>
        <v>18014.7</v>
      </c>
      <c r="I36" s="6">
        <f>+[27]Main!$M$5-[27]Main!$M$6</f>
        <v>-16382</v>
      </c>
      <c r="J36" s="6">
        <f>+H36-I36</f>
        <v>34396.699999999997</v>
      </c>
      <c r="K36" s="3" t="s">
        <v>1842</v>
      </c>
      <c r="L36" s="6">
        <f>+[27]Main!$M$3</f>
        <v>1133</v>
      </c>
      <c r="M36" s="9">
        <v>45793</v>
      </c>
    </row>
    <row r="37" spans="1:32" x14ac:dyDescent="0.25">
      <c r="A37" s="100" t="s">
        <v>333</v>
      </c>
      <c r="B37"/>
      <c r="C37"/>
      <c r="D37" s="1">
        <f t="shared" si="5"/>
        <v>27</v>
      </c>
      <c r="E37" s="13" t="s">
        <v>57</v>
      </c>
      <c r="F37" s="1" t="s">
        <v>58</v>
      </c>
      <c r="G37" s="7">
        <v>420.99</v>
      </c>
      <c r="H37" s="6">
        <f>+G37*L37</f>
        <v>54859.627890000003</v>
      </c>
      <c r="I37" s="6">
        <f>+[28]Main!$L$5-[28]Main!$L$6</f>
        <v>1606.6559999999997</v>
      </c>
      <c r="J37" s="6">
        <f>H37-I37</f>
        <v>53252.971890000001</v>
      </c>
      <c r="K37" s="3" t="s">
        <v>1842</v>
      </c>
      <c r="L37" s="6">
        <f>+[28]Main!$L$3</f>
        <v>130.31100000000001</v>
      </c>
      <c r="M37" s="9">
        <v>45821</v>
      </c>
      <c r="AE37" s="1">
        <v>2002</v>
      </c>
      <c r="AF37" s="1" t="s">
        <v>608</v>
      </c>
    </row>
    <row r="38" spans="1:32" x14ac:dyDescent="0.25">
      <c r="A38" s="100" t="s">
        <v>333</v>
      </c>
      <c r="B38"/>
      <c r="C38"/>
      <c r="D38" s="1">
        <f t="shared" si="5"/>
        <v>28</v>
      </c>
      <c r="E38" s="13" t="s">
        <v>63</v>
      </c>
      <c r="F38" s="1" t="s">
        <v>64</v>
      </c>
      <c r="G38" s="7">
        <v>693</v>
      </c>
      <c r="H38" s="6">
        <f>+G38*L38</f>
        <v>41649.300000000003</v>
      </c>
      <c r="I38" s="6">
        <f>+[29]Main!$K$5-[29]Main!$K$6</f>
        <v>3374</v>
      </c>
      <c r="J38" s="6">
        <f>H38-I38</f>
        <v>38275.300000000003</v>
      </c>
      <c r="K38" s="3" t="s">
        <v>1275</v>
      </c>
      <c r="L38" s="6">
        <f>+[29]Main!$K$3</f>
        <v>60.1</v>
      </c>
      <c r="M38" s="9">
        <v>45757</v>
      </c>
      <c r="AE38">
        <v>2008</v>
      </c>
    </row>
    <row r="39" spans="1:32" x14ac:dyDescent="0.25">
      <c r="A39" s="100" t="s">
        <v>333</v>
      </c>
      <c r="B39"/>
      <c r="C39"/>
      <c r="D39" s="1">
        <f t="shared" si="5"/>
        <v>29</v>
      </c>
      <c r="E39" s="13" t="s">
        <v>65</v>
      </c>
      <c r="F39" s="1" t="s">
        <v>66</v>
      </c>
      <c r="G39" s="3">
        <v>22.66</v>
      </c>
      <c r="H39" s="6">
        <f>+G39*L39</f>
        <v>11556.6</v>
      </c>
      <c r="I39" s="6">
        <f>+[30]Main!$K$5-[30]Main!$K$6</f>
        <v>-10809</v>
      </c>
      <c r="J39" s="6">
        <f>+H39-I39</f>
        <v>22365.599999999999</v>
      </c>
      <c r="K39" s="3" t="s">
        <v>1069</v>
      </c>
      <c r="L39" s="6">
        <f>+[30]Main!$K$3</f>
        <v>510</v>
      </c>
      <c r="M39" s="9">
        <v>45536</v>
      </c>
      <c r="AE39" s="1">
        <v>1931</v>
      </c>
    </row>
    <row r="40" spans="1:32" x14ac:dyDescent="0.25">
      <c r="A40" s="100" t="s">
        <v>333</v>
      </c>
      <c r="B40"/>
      <c r="C40"/>
      <c r="D40" s="1">
        <f t="shared" si="5"/>
        <v>30</v>
      </c>
      <c r="E40" s="146" t="s">
        <v>1826</v>
      </c>
      <c r="F40" t="s">
        <v>1827</v>
      </c>
      <c r="G40" s="14">
        <v>128.19999999999999</v>
      </c>
      <c r="H40" s="6"/>
      <c r="I40" s="6"/>
      <c r="J40" s="6"/>
      <c r="L40" s="6"/>
      <c r="M40" s="9"/>
    </row>
    <row r="41" spans="1:32" x14ac:dyDescent="0.25">
      <c r="A41" s="100" t="s">
        <v>333</v>
      </c>
      <c r="D41" s="1">
        <f t="shared" si="5"/>
        <v>31</v>
      </c>
      <c r="E41" s="13" t="s">
        <v>75</v>
      </c>
      <c r="F41" s="1" t="s">
        <v>76</v>
      </c>
      <c r="G41" s="7">
        <v>8.9600000000000009</v>
      </c>
      <c r="H41" s="6">
        <f>G41*[31]Main!$M$3</f>
        <v>10516.190397440001</v>
      </c>
      <c r="I41" s="6">
        <f>[31]Main!$M$5-[31]Main!$M$6</f>
        <v>-13431</v>
      </c>
      <c r="J41" s="6">
        <f>H41-I41</f>
        <v>23947.190397440001</v>
      </c>
      <c r="K41" s="3" t="s">
        <v>1069</v>
      </c>
      <c r="L41" s="6">
        <f>+[31]Main!$M$3</f>
        <v>1173.6819640000001</v>
      </c>
      <c r="M41" s="9">
        <v>45537</v>
      </c>
      <c r="AE41" s="1">
        <v>1961</v>
      </c>
    </row>
    <row r="42" spans="1:32" x14ac:dyDescent="0.25">
      <c r="A42" s="100" t="s">
        <v>333</v>
      </c>
      <c r="D42" s="1">
        <f t="shared" si="5"/>
        <v>32</v>
      </c>
      <c r="E42" s="13" t="s">
        <v>79</v>
      </c>
      <c r="F42" s="1" t="s">
        <v>1825</v>
      </c>
      <c r="G42" s="7">
        <v>307</v>
      </c>
      <c r="H42" s="6">
        <f>+G42*L42</f>
        <v>32142.488312999998</v>
      </c>
      <c r="I42" s="6">
        <f>[32]Main!$L$5-[32]Main!$L$6</f>
        <v>1581.0029999999999</v>
      </c>
      <c r="J42" s="6">
        <f>H42-I42</f>
        <v>30561.485312999997</v>
      </c>
      <c r="K42" s="3" t="s">
        <v>1069</v>
      </c>
      <c r="L42" s="6">
        <f>+[32]Main!$L$3</f>
        <v>104.69865899999999</v>
      </c>
      <c r="M42" s="9">
        <v>45537</v>
      </c>
    </row>
    <row r="43" spans="1:32" x14ac:dyDescent="0.25">
      <c r="A43" s="100" t="s">
        <v>333</v>
      </c>
      <c r="D43" s="1">
        <f t="shared" si="5"/>
        <v>33</v>
      </c>
      <c r="E43" s="13" t="s">
        <v>80</v>
      </c>
      <c r="F43" s="1" t="s">
        <v>81</v>
      </c>
      <c r="G43" s="16">
        <v>1556.5</v>
      </c>
      <c r="H43" s="6">
        <f>+G43*L43/JPY</f>
        <v>19531.133456110158</v>
      </c>
      <c r="I43" s="6">
        <f>([33]Main!$K$5-[33]Main!$K$6)/JPY</f>
        <v>-5033.4526678141137</v>
      </c>
      <c r="J43" s="6">
        <f>+H43-I43</f>
        <v>24564.586123924273</v>
      </c>
      <c r="K43" s="3" t="s">
        <v>1069</v>
      </c>
      <c r="L43" s="6">
        <f>+[33]Main!$K$3</f>
        <v>1822.6130000000001</v>
      </c>
      <c r="M43" s="9">
        <v>45537</v>
      </c>
      <c r="AE43">
        <v>1940</v>
      </c>
    </row>
    <row r="44" spans="1:32" x14ac:dyDescent="0.25">
      <c r="A44" s="100" t="s">
        <v>333</v>
      </c>
      <c r="B44"/>
      <c r="C44"/>
      <c r="D44" s="1">
        <f t="shared" si="5"/>
        <v>34</v>
      </c>
      <c r="E44" s="13" t="s">
        <v>67</v>
      </c>
      <c r="F44" s="1" t="s">
        <v>68</v>
      </c>
      <c r="G44" s="16">
        <v>7364</v>
      </c>
      <c r="H44" s="6">
        <f>+G44*L44/JPY</f>
        <v>27515.540371084338</v>
      </c>
      <c r="I44" s="6">
        <f>([34]Main!$L$5-[34]Main!$L$6)/JPY</f>
        <v>6437.1703958691915</v>
      </c>
      <c r="J44" s="6">
        <f>H44-I44</f>
        <v>21078.369975215148</v>
      </c>
      <c r="K44" s="3" t="s">
        <v>1069</v>
      </c>
      <c r="L44" s="6">
        <f>+[34]Main!$L$3</f>
        <v>542.72572500000001</v>
      </c>
      <c r="M44" s="9">
        <v>45539</v>
      </c>
    </row>
    <row r="45" spans="1:32" x14ac:dyDescent="0.25">
      <c r="A45" s="100" t="s">
        <v>333</v>
      </c>
      <c r="B45"/>
      <c r="C45"/>
      <c r="D45" s="1">
        <f t="shared" si="5"/>
        <v>35</v>
      </c>
      <c r="E45" s="13" t="s">
        <v>77</v>
      </c>
      <c r="F45" s="1" t="s">
        <v>78</v>
      </c>
      <c r="G45" s="7">
        <v>37.75</v>
      </c>
      <c r="H45" s="6">
        <f>+G45*L45</f>
        <v>22403.082837000002</v>
      </c>
      <c r="I45" s="6">
        <f>+[35]Main!$L$5-[35]Main!$L$6</f>
        <v>-4677.3590000000004</v>
      </c>
      <c r="J45" s="6">
        <f>+H45-I45</f>
        <v>27080.441837000002</v>
      </c>
      <c r="K45" s="3" t="s">
        <v>1069</v>
      </c>
      <c r="L45" s="6">
        <f>+[35]Main!$L$3</f>
        <v>593.45914800000003</v>
      </c>
      <c r="M45" s="9">
        <v>45537</v>
      </c>
      <c r="AE45" s="1">
        <v>1996</v>
      </c>
    </row>
    <row r="46" spans="1:32" x14ac:dyDescent="0.25">
      <c r="A46" s="100" t="s">
        <v>333</v>
      </c>
      <c r="B46"/>
      <c r="C46"/>
      <c r="D46" s="1">
        <f t="shared" si="5"/>
        <v>36</v>
      </c>
      <c r="E46" s="13" t="s">
        <v>262</v>
      </c>
      <c r="F46" t="s">
        <v>263</v>
      </c>
      <c r="G46" s="7">
        <v>132.15</v>
      </c>
      <c r="H46" s="6">
        <f>+G46*L46</f>
        <v>19293.900000000001</v>
      </c>
      <c r="I46" s="6">
        <f>+[36]Main!$J$5-[36]Main!$J$6</f>
        <v>-1500</v>
      </c>
      <c r="J46" s="6">
        <f>+H46-I46</f>
        <v>20793.900000000001</v>
      </c>
      <c r="K46" s="3" t="s">
        <v>1069</v>
      </c>
      <c r="L46" s="6">
        <f>+[36]Main!$J$3</f>
        <v>146</v>
      </c>
      <c r="M46" s="9">
        <v>45721</v>
      </c>
      <c r="AE46" s="1">
        <v>1978</v>
      </c>
      <c r="AF46" s="1" t="s">
        <v>608</v>
      </c>
    </row>
    <row r="47" spans="1:32" x14ac:dyDescent="0.25">
      <c r="A47" s="100" t="s">
        <v>333</v>
      </c>
      <c r="B47"/>
      <c r="C47"/>
      <c r="D47" s="1">
        <f>+D55+1</f>
        <v>44</v>
      </c>
      <c r="E47" s="13" t="s">
        <v>707</v>
      </c>
      <c r="F47" t="s">
        <v>708</v>
      </c>
      <c r="G47" s="7">
        <v>29.77</v>
      </c>
      <c r="H47" s="6">
        <f>+G47*L47</f>
        <v>21964.217880800003</v>
      </c>
      <c r="I47" s="6">
        <f>+[37]Main!$K$5-[37]Main!$K$6</f>
        <v>412.34900000000005</v>
      </c>
      <c r="J47" s="6">
        <f>H47-I47</f>
        <v>21551.868880800004</v>
      </c>
      <c r="K47" s="3" t="s">
        <v>1069</v>
      </c>
      <c r="L47" s="6">
        <f>+[37]Main!$K$3</f>
        <v>737.79704000000004</v>
      </c>
      <c r="M47" s="9">
        <v>45544</v>
      </c>
    </row>
    <row r="48" spans="1:32" x14ac:dyDescent="0.25">
      <c r="A48" s="100" t="s">
        <v>333</v>
      </c>
      <c r="B48"/>
      <c r="C48"/>
      <c r="D48" s="1">
        <f>+D46+1</f>
        <v>37</v>
      </c>
      <c r="E48" s="5" t="s">
        <v>352</v>
      </c>
      <c r="F48" t="s">
        <v>353</v>
      </c>
      <c r="G48" s="19">
        <v>173900</v>
      </c>
      <c r="H48" s="6">
        <f>+G48*L48/KRW</f>
        <v>17291.351129309143</v>
      </c>
      <c r="I48" s="6">
        <f>([38]Main!$J$5-[38]Main!$J$6)/KRW</f>
        <v>-768.78087927424986</v>
      </c>
      <c r="J48" s="6">
        <f>H48-I48</f>
        <v>18060.132008583394</v>
      </c>
      <c r="K48" s="3" t="s">
        <v>1069</v>
      </c>
      <c r="L48" s="6">
        <f>+[38]Main!$J$3</f>
        <v>142.48709700000001</v>
      </c>
      <c r="M48" s="9">
        <v>45537</v>
      </c>
    </row>
    <row r="49" spans="1:32" x14ac:dyDescent="0.25">
      <c r="A49" s="100" t="s">
        <v>333</v>
      </c>
      <c r="B49">
        <v>1</v>
      </c>
      <c r="C49">
        <v>3</v>
      </c>
      <c r="D49" s="1">
        <f>+D48+1</f>
        <v>38</v>
      </c>
      <c r="E49" s="5" t="s">
        <v>84</v>
      </c>
      <c r="F49" s="1" t="s">
        <v>85</v>
      </c>
      <c r="G49" s="7">
        <v>10.8</v>
      </c>
      <c r="H49" s="6">
        <f>+G49*L49</f>
        <v>7425.5930064000013</v>
      </c>
      <c r="I49" s="6">
        <f>([39]Main!$L$5-[39]Main!$L$6)*EUR</f>
        <v>-9653.0694899999999</v>
      </c>
      <c r="J49" s="6">
        <f>H49-I49</f>
        <v>17078.6624964</v>
      </c>
      <c r="K49" s="3" t="s">
        <v>1276</v>
      </c>
      <c r="L49" s="6">
        <f>+[39]Main!$L$3</f>
        <v>687.55490800000007</v>
      </c>
      <c r="M49" s="9">
        <v>45749</v>
      </c>
    </row>
    <row r="50" spans="1:32" x14ac:dyDescent="0.25">
      <c r="A50" s="100" t="s">
        <v>333</v>
      </c>
      <c r="B50"/>
      <c r="C50"/>
      <c r="D50" s="1">
        <f>+D58+1</f>
        <v>47</v>
      </c>
      <c r="E50" s="5" t="s">
        <v>174</v>
      </c>
      <c r="F50" s="1" t="s">
        <v>175</v>
      </c>
      <c r="G50" s="7">
        <v>112.31</v>
      </c>
      <c r="H50" s="6">
        <f>+G50*L50</f>
        <v>19300.372757930003</v>
      </c>
      <c r="I50" s="6">
        <f>+[40]Main!$L$5-[40]Main!$L$6</f>
        <v>299.97399999999993</v>
      </c>
      <c r="J50" s="6">
        <f>+H50-I50</f>
        <v>19000.398757930005</v>
      </c>
      <c r="K50" s="3" t="s">
        <v>1069</v>
      </c>
      <c r="L50" s="6">
        <f>+[40]Main!$L$3</f>
        <v>171.84910300000001</v>
      </c>
      <c r="M50" s="9">
        <v>45583</v>
      </c>
      <c r="AE50" s="1">
        <v>1999</v>
      </c>
    </row>
    <row r="51" spans="1:32" x14ac:dyDescent="0.25">
      <c r="A51" s="100" t="s">
        <v>333</v>
      </c>
      <c r="B51">
        <v>8</v>
      </c>
      <c r="C51">
        <v>8</v>
      </c>
      <c r="D51" s="1">
        <f>+D49+1</f>
        <v>39</v>
      </c>
      <c r="E51" s="5" t="s">
        <v>69</v>
      </c>
      <c r="F51" s="1" t="s">
        <v>70</v>
      </c>
      <c r="G51" s="7">
        <v>61.61</v>
      </c>
      <c r="H51" s="6">
        <f>+G51*L51</f>
        <v>12075.56</v>
      </c>
      <c r="I51" s="6">
        <f>+[41]Main!$L$5-[41]Main!$L$6</f>
        <v>1183</v>
      </c>
      <c r="J51" s="6">
        <f>H51-I51</f>
        <v>10892.56</v>
      </c>
      <c r="K51" s="3" t="s">
        <v>1842</v>
      </c>
      <c r="L51" s="6">
        <f>+[41]Main!$L$3</f>
        <v>196</v>
      </c>
      <c r="M51" s="9">
        <v>45798</v>
      </c>
      <c r="AE51">
        <v>1997</v>
      </c>
      <c r="AF51" s="1" t="s">
        <v>1123</v>
      </c>
    </row>
    <row r="52" spans="1:32" x14ac:dyDescent="0.25">
      <c r="A52" s="100" t="s">
        <v>333</v>
      </c>
      <c r="B52"/>
      <c r="C52"/>
      <c r="D52" s="1">
        <f>+D51+1</f>
        <v>40</v>
      </c>
      <c r="E52" s="5" t="s">
        <v>59</v>
      </c>
      <c r="F52" s="1" t="s">
        <v>60</v>
      </c>
      <c r="G52" s="3">
        <v>22.03</v>
      </c>
      <c r="H52" s="6">
        <f>+G52*L52*10</f>
        <v>14583.2528532</v>
      </c>
      <c r="I52" s="6">
        <f>([42]Main!$K$7-[42]Main!$K$8)/DKK</f>
        <v>0</v>
      </c>
      <c r="J52" s="6">
        <f>H52-I52</f>
        <v>14583.2528532</v>
      </c>
      <c r="K52" s="3" t="s">
        <v>1069</v>
      </c>
      <c r="L52" s="6">
        <f>+[42]Main!$K$4</f>
        <v>66.197243999999998</v>
      </c>
      <c r="M52" s="9">
        <v>45537</v>
      </c>
      <c r="AE52" s="1">
        <v>1999</v>
      </c>
      <c r="AF52" s="1" t="s">
        <v>1124</v>
      </c>
    </row>
    <row r="53" spans="1:32" x14ac:dyDescent="0.25">
      <c r="A53" s="100" t="s">
        <v>333</v>
      </c>
      <c r="B53"/>
      <c r="C53"/>
      <c r="D53" s="1">
        <f>+D52+1</f>
        <v>41</v>
      </c>
      <c r="E53" s="5" t="s">
        <v>59</v>
      </c>
      <c r="F53" t="s">
        <v>513</v>
      </c>
      <c r="G53" s="54">
        <v>1414</v>
      </c>
      <c r="H53" s="6">
        <f>+G53*L53/DKK</f>
        <v>13263.83775201927</v>
      </c>
      <c r="I53" s="6">
        <f>([42]Main!$K$7-[42]Main!$K$8)/DKK</f>
        <v>0</v>
      </c>
      <c r="J53" s="6">
        <f>H53-I53</f>
        <v>13263.83775201927</v>
      </c>
      <c r="K53" s="3" t="s">
        <v>1069</v>
      </c>
      <c r="L53" s="6">
        <f>+[42]Main!$K$4</f>
        <v>66.197243999999998</v>
      </c>
      <c r="M53" s="9">
        <v>45537</v>
      </c>
      <c r="AE53" s="1">
        <v>1999</v>
      </c>
      <c r="AF53" s="1" t="s">
        <v>1124</v>
      </c>
    </row>
    <row r="54" spans="1:32" x14ac:dyDescent="0.25">
      <c r="A54" s="100" t="s">
        <v>333</v>
      </c>
      <c r="B54"/>
      <c r="C54"/>
      <c r="D54" s="1">
        <f>+D53+1</f>
        <v>42</v>
      </c>
      <c r="E54" s="5" t="s">
        <v>408</v>
      </c>
      <c r="F54" t="s">
        <v>409</v>
      </c>
      <c r="G54" s="18">
        <v>35.020000000000003</v>
      </c>
      <c r="H54" s="6">
        <f>+G54*L54/CNY</f>
        <v>29306.899781579694</v>
      </c>
      <c r="I54" s="6">
        <f>([43]Main!$J$5-[43]Main!$J$6)/CNY</f>
        <v>3006.8781382228485</v>
      </c>
      <c r="J54" s="6">
        <f>H54-I54</f>
        <v>26300.021643356846</v>
      </c>
      <c r="K54" s="3" t="s">
        <v>1112</v>
      </c>
      <c r="L54" s="6">
        <f>+[43]Main!$J$3</f>
        <v>5933.3500700000004</v>
      </c>
      <c r="M54" s="9">
        <v>45539</v>
      </c>
      <c r="AE54" s="1">
        <v>1995</v>
      </c>
    </row>
    <row r="55" spans="1:32" x14ac:dyDescent="0.25">
      <c r="A55" s="100" t="s">
        <v>333</v>
      </c>
      <c r="B55"/>
      <c r="C55"/>
      <c r="D55" s="1">
        <f>+D54+1</f>
        <v>43</v>
      </c>
      <c r="E55" s="5" t="s">
        <v>88</v>
      </c>
      <c r="F55" s="1" t="s">
        <v>89</v>
      </c>
      <c r="G55" s="7">
        <v>295.76</v>
      </c>
      <c r="H55" s="6">
        <f>+G55*L55</f>
        <v>13158.710213760001</v>
      </c>
      <c r="I55" s="6">
        <f>[44]Main!$K$5-[44]Main!$K$6</f>
        <v>3801.8999999999996</v>
      </c>
      <c r="J55" s="6">
        <f>H55-I55</f>
        <v>9356.8102137600017</v>
      </c>
      <c r="K55" s="3" t="s">
        <v>1069</v>
      </c>
      <c r="L55" s="6">
        <f>+[44]Main!$K$3</f>
        <v>44.491176000000003</v>
      </c>
      <c r="M55" s="9">
        <v>45537</v>
      </c>
    </row>
    <row r="56" spans="1:32" x14ac:dyDescent="0.25">
      <c r="A56" s="100" t="s">
        <v>333</v>
      </c>
      <c r="B56"/>
      <c r="C56"/>
      <c r="D56" s="1">
        <f>+D47+1</f>
        <v>45</v>
      </c>
      <c r="E56" s="5" t="s">
        <v>113</v>
      </c>
      <c r="F56" s="1" t="s">
        <v>114</v>
      </c>
      <c r="G56" s="3">
        <v>8.91</v>
      </c>
      <c r="H56" s="6">
        <f>+G56*L56</f>
        <v>2294.08868007</v>
      </c>
      <c r="I56" s="6">
        <f>[45]Main!$L$5-[45]Main!$L$6</f>
        <v>-8205</v>
      </c>
      <c r="J56" s="6">
        <f>+H56-I56</f>
        <v>10499.088680069999</v>
      </c>
      <c r="K56" s="3" t="s">
        <v>1069</v>
      </c>
      <c r="L56" s="6">
        <f>+[45]Main!$L$3</f>
        <v>257.473477</v>
      </c>
      <c r="M56" s="9">
        <v>45562</v>
      </c>
    </row>
    <row r="57" spans="1:32" customFormat="1" x14ac:dyDescent="0.25">
      <c r="A57" s="100" t="s">
        <v>333</v>
      </c>
      <c r="D57" s="1">
        <f>+D56+1</f>
        <v>46</v>
      </c>
      <c r="E57" s="5" t="s">
        <v>380</v>
      </c>
      <c r="F57" t="s">
        <v>381</v>
      </c>
      <c r="G57" s="44">
        <v>26.84</v>
      </c>
      <c r="H57" s="30">
        <f>+G57*L57/CNY</f>
        <v>10116.668745167843</v>
      </c>
      <c r="I57" s="6">
        <f>([46]Main!$K$6-[46]Main!$K$7)/CNY</f>
        <v>-2662.9055007052189</v>
      </c>
      <c r="J57" s="6">
        <f>+H57-I57</f>
        <v>12779.574245873062</v>
      </c>
      <c r="K57" s="3" t="s">
        <v>1112</v>
      </c>
      <c r="L57" s="6">
        <f>+[46]Main!$K$4</f>
        <v>2672.3987109999998</v>
      </c>
      <c r="M57" s="9">
        <v>45542</v>
      </c>
      <c r="Y57" s="39"/>
      <c r="Z57" s="39"/>
      <c r="AA57" s="39"/>
      <c r="AB57" s="39"/>
      <c r="AC57" s="39"/>
      <c r="AD57" s="39"/>
    </row>
    <row r="58" spans="1:32" x14ac:dyDescent="0.25">
      <c r="A58" s="100" t="s">
        <v>333</v>
      </c>
      <c r="B58"/>
      <c r="C58"/>
      <c r="D58" s="1">
        <f>+D57</f>
        <v>46</v>
      </c>
      <c r="E58" s="5" t="s">
        <v>380</v>
      </c>
      <c r="F58" t="s">
        <v>382</v>
      </c>
      <c r="G58" s="18">
        <v>18.600000000000001</v>
      </c>
      <c r="H58" s="6">
        <f>+G58*L58/HKD</f>
        <v>6372.6430800769231</v>
      </c>
      <c r="I58" s="6">
        <f>([46]Main!$K$6-[46]Main!$K$7)/CNY</f>
        <v>-2662.9055007052189</v>
      </c>
      <c r="J58" s="6">
        <f>+H58-I58</f>
        <v>9035.5485807821424</v>
      </c>
      <c r="K58" s="3" t="s">
        <v>1112</v>
      </c>
      <c r="L58" s="6">
        <f>+[46]Main!$K$4</f>
        <v>2672.3987109999998</v>
      </c>
      <c r="M58" s="9">
        <v>45542</v>
      </c>
    </row>
    <row r="59" spans="1:32" x14ac:dyDescent="0.25">
      <c r="A59" s="100" t="s">
        <v>333</v>
      </c>
      <c r="D59" s="1">
        <f>+D50+1</f>
        <v>48</v>
      </c>
      <c r="E59" s="5" t="s">
        <v>49</v>
      </c>
      <c r="F59" s="1" t="s">
        <v>50</v>
      </c>
      <c r="G59" s="7">
        <v>78.19</v>
      </c>
      <c r="H59" s="6">
        <f>+G59*L59</f>
        <v>15059.239731129999</v>
      </c>
      <c r="I59" s="6">
        <f>+[47]Main!$K$5-[47]Main!$K$6</f>
        <v>1549.0429999999999</v>
      </c>
      <c r="J59" s="6">
        <f>H59-I59</f>
        <v>13510.19673113</v>
      </c>
      <c r="K59" s="3" t="s">
        <v>1069</v>
      </c>
      <c r="L59" s="6">
        <f>+[47]Main!$K$3</f>
        <v>192.598027</v>
      </c>
      <c r="M59" s="9">
        <v>45537</v>
      </c>
    </row>
    <row r="60" spans="1:32" x14ac:dyDescent="0.25">
      <c r="A60" s="100" t="s">
        <v>333</v>
      </c>
      <c r="B60"/>
      <c r="C60"/>
      <c r="D60" s="1">
        <f t="shared" ref="D60:D98" si="6">+D59+1</f>
        <v>49</v>
      </c>
      <c r="E60" s="5" t="s">
        <v>273</v>
      </c>
      <c r="F60" t="s">
        <v>274</v>
      </c>
      <c r="G60" s="16">
        <v>4304</v>
      </c>
      <c r="H60" s="6">
        <f>+G60*L60/JPY</f>
        <v>8484.9518846678147</v>
      </c>
      <c r="I60" s="6">
        <f>+([48]Main!$K$5-[48]Main!$K$6)/JPY</f>
        <v>861.49397590361446</v>
      </c>
      <c r="J60" s="6">
        <f>H60-I60</f>
        <v>7623.4579087642005</v>
      </c>
      <c r="K60" s="3" t="s">
        <v>1069</v>
      </c>
      <c r="L60" s="6">
        <f>+[48]Main!$K$3</f>
        <v>286.34741200000002</v>
      </c>
      <c r="M60" s="9">
        <v>45537</v>
      </c>
    </row>
    <row r="61" spans="1:32" x14ac:dyDescent="0.25">
      <c r="A61" s="100" t="s">
        <v>333</v>
      </c>
      <c r="B61"/>
      <c r="C61"/>
      <c r="D61" s="1">
        <f t="shared" si="6"/>
        <v>50</v>
      </c>
      <c r="E61" s="5" t="s">
        <v>92</v>
      </c>
      <c r="F61" s="1" t="s">
        <v>93</v>
      </c>
      <c r="G61" s="7">
        <v>115</v>
      </c>
      <c r="H61" s="6">
        <f>+G61*L61</f>
        <v>7087.776715</v>
      </c>
      <c r="I61" s="6">
        <f>+[49]Main!$K$5-[49]Main!$K$6</f>
        <v>-2795.5349999999999</v>
      </c>
      <c r="J61" s="6">
        <f>+H61-I61</f>
        <v>9883.3117149999998</v>
      </c>
      <c r="K61" s="3" t="s">
        <v>1069</v>
      </c>
      <c r="L61" s="6">
        <f>+[49]Main!$K$3</f>
        <v>61.632840999999999</v>
      </c>
      <c r="M61" s="9">
        <v>45537</v>
      </c>
      <c r="N61" s="7">
        <f>+[49]Model!$AP$31</f>
        <v>0</v>
      </c>
      <c r="O61" s="10">
        <f>+N61/G61-1</f>
        <v>-1</v>
      </c>
      <c r="P61" s="10">
        <f>+[49]Model!$AP$28</f>
        <v>65.822500000000005</v>
      </c>
      <c r="Q61" s="10">
        <f>+[49]Model!$AP$27</f>
        <v>36.378823801023692</v>
      </c>
      <c r="R61" s="10">
        <f>+[49]Model!$AP$29</f>
        <v>0</v>
      </c>
    </row>
    <row r="62" spans="1:32" x14ac:dyDescent="0.25">
      <c r="A62" s="100" t="s">
        <v>333</v>
      </c>
      <c r="B62"/>
      <c r="C62"/>
      <c r="D62" s="1">
        <f t="shared" si="6"/>
        <v>51</v>
      </c>
      <c r="E62" s="5" t="s">
        <v>1117</v>
      </c>
      <c r="F62" t="s">
        <v>1118</v>
      </c>
      <c r="G62" s="7">
        <v>33.630000000000003</v>
      </c>
      <c r="H62" s="6">
        <f>+G62*L62</f>
        <v>3753.4332357300004</v>
      </c>
      <c r="I62" s="6">
        <f>+[50]Main!$L$5-[50]Main!$L$6</f>
        <v>1853.0430000000001</v>
      </c>
      <c r="J62" s="6">
        <f>+H62-I62</f>
        <v>1900.3902357300003</v>
      </c>
      <c r="K62" s="3" t="s">
        <v>1069</v>
      </c>
      <c r="L62" s="6">
        <f>+[50]Main!$L$3</f>
        <v>111.60967100000001</v>
      </c>
      <c r="M62" s="9">
        <v>45544</v>
      </c>
      <c r="AE62" s="1">
        <v>2013</v>
      </c>
    </row>
    <row r="63" spans="1:32" x14ac:dyDescent="0.25">
      <c r="A63" s="100" t="s">
        <v>333</v>
      </c>
      <c r="D63" s="1">
        <f t="shared" si="6"/>
        <v>52</v>
      </c>
      <c r="E63" s="5" t="s">
        <v>365</v>
      </c>
      <c r="F63" t="s">
        <v>366</v>
      </c>
      <c r="G63" s="14">
        <v>106.1</v>
      </c>
      <c r="H63" s="6">
        <f>+G63*L63*EUR</f>
        <v>9870.9205415460001</v>
      </c>
      <c r="I63" s="6">
        <f>([51]Main!$L$5-[51]Main!$L$6)*EUR</f>
        <v>7.548</v>
      </c>
      <c r="J63" s="6">
        <f>+H63-I63</f>
        <v>9863.3725415459994</v>
      </c>
      <c r="K63" s="3" t="s">
        <v>1069</v>
      </c>
      <c r="L63" s="6">
        <f>+[51]Main!$L$3</f>
        <v>83.814526000000001</v>
      </c>
      <c r="M63" s="9">
        <v>45563</v>
      </c>
    </row>
    <row r="64" spans="1:32" x14ac:dyDescent="0.25">
      <c r="A64" s="87" t="s">
        <v>333</v>
      </c>
      <c r="B64"/>
      <c r="C64"/>
      <c r="D64" s="1">
        <f t="shared" si="6"/>
        <v>53</v>
      </c>
      <c r="E64" s="5" t="s">
        <v>73</v>
      </c>
      <c r="F64" s="1" t="s">
        <v>74</v>
      </c>
      <c r="G64" s="7">
        <v>111.06</v>
      </c>
      <c r="H64" s="6">
        <f>+G64*L64</f>
        <v>26625.496857120001</v>
      </c>
      <c r="I64" s="6">
        <f>+[52]Main!$K$5-[52]Main!$K$6</f>
        <v>18066.8</v>
      </c>
      <c r="J64" s="6">
        <f>+H64-I64</f>
        <v>8558.6968571200014</v>
      </c>
      <c r="K64" s="3" t="s">
        <v>1275</v>
      </c>
      <c r="L64" s="6">
        <f>+[52]Main!$K$3</f>
        <v>239.73975200000001</v>
      </c>
      <c r="M64" s="9">
        <v>45684</v>
      </c>
      <c r="AE64" s="1">
        <v>2008</v>
      </c>
    </row>
    <row r="65" spans="1:32" x14ac:dyDescent="0.25">
      <c r="A65" s="87" t="s">
        <v>333</v>
      </c>
      <c r="D65" s="1">
        <f t="shared" si="6"/>
        <v>54</v>
      </c>
      <c r="E65" s="5" t="s">
        <v>363</v>
      </c>
      <c r="F65" t="s">
        <v>364</v>
      </c>
      <c r="G65" s="14">
        <v>50.55</v>
      </c>
      <c r="H65" s="23">
        <f>G65*L65</f>
        <v>10428.422537999999</v>
      </c>
      <c r="I65" s="6">
        <f>([53]Main!$M$5-[53]Main!$M$6)*EUR</f>
        <v>-1631.0340000000003</v>
      </c>
      <c r="J65" s="6">
        <f>+H65-I65</f>
        <v>12059.456537999999</v>
      </c>
      <c r="K65" s="3" t="s">
        <v>1069</v>
      </c>
      <c r="L65" s="6">
        <f>[53]Main!$M$3</f>
        <v>206.29916</v>
      </c>
      <c r="M65" s="9">
        <v>45540</v>
      </c>
      <c r="AE65" s="1">
        <v>1926</v>
      </c>
    </row>
    <row r="66" spans="1:32" x14ac:dyDescent="0.25">
      <c r="A66" s="87" t="s">
        <v>333</v>
      </c>
      <c r="D66" s="1">
        <f t="shared" si="6"/>
        <v>55</v>
      </c>
      <c r="E66" s="5" t="s">
        <v>90</v>
      </c>
      <c r="F66" s="1" t="s">
        <v>91</v>
      </c>
      <c r="G66" s="7">
        <v>128.29</v>
      </c>
      <c r="H66" s="6">
        <f>+G66*L66</f>
        <v>13213.869999999999</v>
      </c>
      <c r="I66" s="6">
        <f>+[54]Main!$L$5-[54]Main!$L$6</f>
        <v>1940</v>
      </c>
      <c r="J66" s="6">
        <f>H66-I66</f>
        <v>11273.869999999999</v>
      </c>
      <c r="K66" s="3" t="s">
        <v>1276</v>
      </c>
      <c r="L66" s="6">
        <f>+[54]Main!$L$3</f>
        <v>103</v>
      </c>
      <c r="M66" s="9">
        <v>45707</v>
      </c>
    </row>
    <row r="67" spans="1:32" x14ac:dyDescent="0.25">
      <c r="A67" s="87" t="s">
        <v>333</v>
      </c>
      <c r="D67">
        <f t="shared" si="6"/>
        <v>56</v>
      </c>
      <c r="E67" s="5" t="s">
        <v>121</v>
      </c>
      <c r="F67" s="1" t="s">
        <v>122</v>
      </c>
      <c r="G67" s="7">
        <v>36.72</v>
      </c>
      <c r="H67" s="6">
        <f>+G67*L67</f>
        <v>10013.8480416</v>
      </c>
      <c r="I67" s="6">
        <f>+[55]Main!$M$5-[55]Main!$M$6</f>
        <v>1650.7570000000001</v>
      </c>
      <c r="J67" s="6">
        <f>+H67-I67</f>
        <v>8363.0910416000006</v>
      </c>
      <c r="K67" s="3" t="s">
        <v>1842</v>
      </c>
      <c r="L67" s="6">
        <f>+[55]Main!$M$3</f>
        <v>272.70828</v>
      </c>
      <c r="M67" s="9">
        <v>45812</v>
      </c>
    </row>
    <row r="68" spans="1:32" x14ac:dyDescent="0.25">
      <c r="A68" s="87" t="s">
        <v>333</v>
      </c>
      <c r="B68"/>
      <c r="C68"/>
      <c r="D68">
        <f t="shared" si="6"/>
        <v>57</v>
      </c>
      <c r="E68" s="5" t="s">
        <v>98</v>
      </c>
      <c r="F68" s="1" t="s">
        <v>99</v>
      </c>
      <c r="G68" s="7">
        <v>60.54</v>
      </c>
      <c r="H68" s="6">
        <f>+G68*L68</f>
        <v>7669.0861199999999</v>
      </c>
      <c r="I68" s="6">
        <f>+[56]Main!$M$5-[56]Main!$M$6</f>
        <v>-973.48500000000013</v>
      </c>
      <c r="J68" s="6">
        <f>+H68-I68</f>
        <v>8642.5711200000005</v>
      </c>
      <c r="K68" s="3" t="s">
        <v>1069</v>
      </c>
      <c r="L68" s="6">
        <f>+[56]Main!$M$3</f>
        <v>126.678</v>
      </c>
      <c r="M68" s="9">
        <v>45538</v>
      </c>
    </row>
    <row r="69" spans="1:32" x14ac:dyDescent="0.25">
      <c r="A69"/>
      <c r="B69"/>
      <c r="C69"/>
      <c r="D69">
        <f t="shared" si="6"/>
        <v>58</v>
      </c>
      <c r="E69" s="5" t="s">
        <v>138</v>
      </c>
      <c r="F69" s="1" t="s">
        <v>139</v>
      </c>
      <c r="G69" s="3">
        <v>72.03</v>
      </c>
      <c r="H69" s="6">
        <f>+G69*L69</f>
        <v>5001.0891432600001</v>
      </c>
      <c r="I69" s="6">
        <f>+[57]Main!$K$5-[57]Main!$K$6</f>
        <v>310.25300000000004</v>
      </c>
      <c r="J69" s="6">
        <f>+H69-I69</f>
        <v>4690.8361432600004</v>
      </c>
      <c r="K69" s="3" t="s">
        <v>1069</v>
      </c>
      <c r="L69" s="6">
        <f>+[57]Main!$K$3</f>
        <v>69.430642000000006</v>
      </c>
      <c r="M69" s="9">
        <v>45586</v>
      </c>
    </row>
    <row r="70" spans="1:32" x14ac:dyDescent="0.25">
      <c r="A70" s="87" t="s">
        <v>333</v>
      </c>
      <c r="B70"/>
      <c r="C70"/>
      <c r="D70">
        <f t="shared" si="6"/>
        <v>59</v>
      </c>
      <c r="E70" s="5" t="s">
        <v>371</v>
      </c>
      <c r="F70" t="s">
        <v>372</v>
      </c>
      <c r="G70" s="14">
        <v>71.099999999999994</v>
      </c>
      <c r="H70" s="6">
        <f>+G70*L70*EUR</f>
        <v>11138.436413999998</v>
      </c>
      <c r="I70" s="6">
        <f>([58]Main!$L$5-[58]Main!$L$6)*EUR</f>
        <v>-123.432</v>
      </c>
      <c r="J70" s="6">
        <f>+H70-I70</f>
        <v>11261.868413999999</v>
      </c>
      <c r="K70" s="3" t="s">
        <v>1069</v>
      </c>
      <c r="L70" s="6">
        <f>+[58]Main!$L$3</f>
        <v>141.13399999999999</v>
      </c>
      <c r="M70" s="9">
        <v>45566</v>
      </c>
    </row>
    <row r="71" spans="1:32" x14ac:dyDescent="0.25">
      <c r="A71" s="87" t="s">
        <v>333</v>
      </c>
      <c r="D71">
        <f t="shared" si="6"/>
        <v>60</v>
      </c>
      <c r="E71" s="5" t="s">
        <v>136</v>
      </c>
      <c r="F71" s="1" t="s">
        <v>137</v>
      </c>
      <c r="G71" s="7">
        <v>183.59</v>
      </c>
      <c r="H71" s="6">
        <f>G71*L71</f>
        <v>10690.629290000001</v>
      </c>
      <c r="I71" s="6">
        <f>[59]Main!$K$5-[59]Main!$K$6</f>
        <v>-413.63900000000001</v>
      </c>
      <c r="J71" s="6">
        <f>H71-I71</f>
        <v>11104.26829</v>
      </c>
      <c r="K71" s="3" t="s">
        <v>1069</v>
      </c>
      <c r="L71" s="6">
        <f>[59]Main!$K$3</f>
        <v>58.231000000000002</v>
      </c>
      <c r="M71" s="9">
        <v>45539</v>
      </c>
      <c r="AE71" s="1">
        <v>2007</v>
      </c>
      <c r="AF71" s="1" t="s">
        <v>1140</v>
      </c>
    </row>
    <row r="72" spans="1:32" s="24" customFormat="1" ht="13" x14ac:dyDescent="0.3">
      <c r="A72" s="87" t="s">
        <v>333</v>
      </c>
      <c r="D72">
        <f t="shared" si="6"/>
        <v>61</v>
      </c>
      <c r="E72" s="41" t="s">
        <v>1057</v>
      </c>
      <c r="F72" s="24" t="s">
        <v>1058</v>
      </c>
      <c r="G72" s="45">
        <v>34.049999999999997</v>
      </c>
      <c r="H72" s="26">
        <f>+G72*L72</f>
        <v>3541.2</v>
      </c>
      <c r="I72" s="25">
        <f>+[60]Main!$K$5-[60]Main!$K$6</f>
        <v>711</v>
      </c>
      <c r="J72" s="26">
        <f t="shared" ref="J72:J83" si="7">+H72-I72</f>
        <v>2830.2</v>
      </c>
      <c r="K72" s="25" t="s">
        <v>1112</v>
      </c>
      <c r="L72" s="25">
        <f>+[60]Main!$K$3</f>
        <v>104</v>
      </c>
      <c r="M72" s="42">
        <v>45541</v>
      </c>
      <c r="N72" s="25"/>
      <c r="O72" s="25"/>
      <c r="P72" s="25"/>
      <c r="Q72" s="25"/>
      <c r="R72" s="25"/>
      <c r="S72" s="43"/>
      <c r="T72" s="43"/>
      <c r="U72" s="43"/>
      <c r="V72" s="43"/>
      <c r="W72" s="43"/>
      <c r="X72" s="43"/>
      <c r="Y72" s="103"/>
      <c r="Z72" s="103"/>
      <c r="AA72" s="103"/>
      <c r="AB72" s="103"/>
      <c r="AC72" s="103"/>
      <c r="AD72" s="103"/>
    </row>
    <row r="73" spans="1:32" x14ac:dyDescent="0.25">
      <c r="A73" s="87" t="s">
        <v>333</v>
      </c>
      <c r="D73">
        <f t="shared" si="6"/>
        <v>62</v>
      </c>
      <c r="E73" s="5" t="s">
        <v>100</v>
      </c>
      <c r="F73" s="1" t="s">
        <v>101</v>
      </c>
      <c r="G73" s="3">
        <v>43.08</v>
      </c>
      <c r="H73" s="6">
        <f>+G73*L73</f>
        <v>6298.7738002800006</v>
      </c>
      <c r="I73" s="6">
        <f>+[61]Main!$L$5-[61]Main!$L$6</f>
        <v>309.9079999999999</v>
      </c>
      <c r="J73" s="6">
        <f t="shared" si="7"/>
        <v>5988.8658002800003</v>
      </c>
      <c r="K73" s="9" t="s">
        <v>1069</v>
      </c>
      <c r="L73" s="6">
        <f>+[61]Main!$L$3</f>
        <v>146.21109100000001</v>
      </c>
      <c r="M73" s="9">
        <v>45539</v>
      </c>
      <c r="AE73" s="1">
        <v>1989</v>
      </c>
    </row>
    <row r="74" spans="1:32" x14ac:dyDescent="0.25">
      <c r="A74" s="87" t="s">
        <v>333</v>
      </c>
      <c r="D74">
        <f t="shared" si="6"/>
        <v>63</v>
      </c>
      <c r="E74" s="5" t="s">
        <v>295</v>
      </c>
      <c r="F74" t="s">
        <v>296</v>
      </c>
      <c r="G74" s="21">
        <v>1930</v>
      </c>
      <c r="H74" s="6">
        <f>+G74*L74/100*GBP</f>
        <v>5563.6466567500011</v>
      </c>
      <c r="I74" s="6">
        <f>+[62]Main!$K$5-[62]Main!$K$6</f>
        <v>-1276</v>
      </c>
      <c r="J74" s="6">
        <f t="shared" si="7"/>
        <v>6839.6466567500011</v>
      </c>
      <c r="K74" s="3" t="s">
        <v>1069</v>
      </c>
      <c r="L74" s="6">
        <f>+[62]Main!$K$3</f>
        <v>221.74757500000001</v>
      </c>
      <c r="M74" s="9">
        <v>45541</v>
      </c>
    </row>
    <row r="75" spans="1:32" x14ac:dyDescent="0.25">
      <c r="A75" s="87" t="s">
        <v>333</v>
      </c>
      <c r="D75">
        <f t="shared" si="6"/>
        <v>64</v>
      </c>
      <c r="E75" s="5" t="s">
        <v>275</v>
      </c>
      <c r="F75" t="s">
        <v>276</v>
      </c>
      <c r="G75" s="16">
        <v>2565</v>
      </c>
      <c r="H75" s="6">
        <f>+G75*L75/JPY</f>
        <v>9427.8621878829599</v>
      </c>
      <c r="I75" s="6">
        <f>([63]Main!$L$5-[63]Main!$L$6)/JPY</f>
        <v>2512.9707401032701</v>
      </c>
      <c r="J75" s="6">
        <f t="shared" si="7"/>
        <v>6914.8914477796898</v>
      </c>
      <c r="K75" s="3" t="s">
        <v>1069</v>
      </c>
      <c r="L75" s="6">
        <f>+[63]Main!$L$3</f>
        <v>533.87796600000001</v>
      </c>
      <c r="M75" s="9">
        <v>45567</v>
      </c>
    </row>
    <row r="76" spans="1:32" x14ac:dyDescent="0.25">
      <c r="A76" t="s">
        <v>333</v>
      </c>
      <c r="B76"/>
      <c r="C76"/>
      <c r="D76">
        <f t="shared" si="6"/>
        <v>65</v>
      </c>
      <c r="E76" s="5" t="s">
        <v>130</v>
      </c>
      <c r="F76" s="1" t="s">
        <v>131</v>
      </c>
      <c r="G76" s="7">
        <v>26.7</v>
      </c>
      <c r="H76" s="6">
        <f t="shared" ref="H76:H83" si="8">+G76*L76</f>
        <v>3642.2916605999994</v>
      </c>
      <c r="I76" s="6">
        <f>+[64]Main!$N$5-[64]Main!$N$6</f>
        <v>-3514.8</v>
      </c>
      <c r="J76" s="6">
        <f t="shared" si="7"/>
        <v>7157.0916605999992</v>
      </c>
      <c r="K76" s="3" t="s">
        <v>1069</v>
      </c>
      <c r="L76" s="6">
        <f>+[64]Main!$N$3</f>
        <v>136.41541799999999</v>
      </c>
      <c r="M76" s="9">
        <v>45566</v>
      </c>
    </row>
    <row r="77" spans="1:32" x14ac:dyDescent="0.25">
      <c r="A77" s="87" t="s">
        <v>333</v>
      </c>
      <c r="D77">
        <f t="shared" si="6"/>
        <v>66</v>
      </c>
      <c r="E77" s="5" t="s">
        <v>685</v>
      </c>
      <c r="F77" t="s">
        <v>686</v>
      </c>
      <c r="G77" s="7">
        <v>36.07</v>
      </c>
      <c r="H77" s="6">
        <f t="shared" si="8"/>
        <v>4243.9809784600002</v>
      </c>
      <c r="I77" s="6">
        <f>+[65]Main!$K$5-[65]Main!$K$6</f>
        <v>707.18499999999995</v>
      </c>
      <c r="J77" s="6">
        <f t="shared" si="7"/>
        <v>3536.7959784600002</v>
      </c>
      <c r="K77" s="3" t="s">
        <v>1069</v>
      </c>
      <c r="L77" s="6">
        <f>+[65]Main!$K$3</f>
        <v>117.659578</v>
      </c>
      <c r="M77" s="9">
        <v>45570</v>
      </c>
    </row>
    <row r="78" spans="1:32" x14ac:dyDescent="0.25">
      <c r="A78" s="87" t="s">
        <v>333</v>
      </c>
      <c r="D78">
        <f t="shared" si="6"/>
        <v>67</v>
      </c>
      <c r="E78" s="5" t="s">
        <v>697</v>
      </c>
      <c r="F78" t="s">
        <v>698</v>
      </c>
      <c r="G78" s="52">
        <v>47.92</v>
      </c>
      <c r="H78" s="29">
        <f t="shared" si="8"/>
        <v>8989.1211200000016</v>
      </c>
      <c r="I78" s="29">
        <f>+[66]Main!$N$5-[66]Main!$N$6</f>
        <v>-1130.3990000000001</v>
      </c>
      <c r="J78" s="29">
        <f t="shared" si="7"/>
        <v>10119.520120000001</v>
      </c>
      <c r="K78" s="27" t="s">
        <v>1069</v>
      </c>
      <c r="L78" s="29">
        <f>+[66]Main!$N$3</f>
        <v>187.58600000000001</v>
      </c>
      <c r="M78" s="36">
        <v>45579</v>
      </c>
    </row>
    <row r="79" spans="1:32" x14ac:dyDescent="0.25">
      <c r="A79" s="87" t="s">
        <v>333</v>
      </c>
      <c r="B79"/>
      <c r="C79"/>
      <c r="D79">
        <f t="shared" si="6"/>
        <v>68</v>
      </c>
      <c r="E79" s="5" t="s">
        <v>678</v>
      </c>
      <c r="F79" t="s">
        <v>679</v>
      </c>
      <c r="G79" s="7">
        <v>328</v>
      </c>
      <c r="H79" s="6">
        <f t="shared" si="8"/>
        <v>7121.7580559999997</v>
      </c>
      <c r="I79" s="6">
        <f>+[67]Main!$M$5-[67]Main!$M$6</f>
        <v>946.1869999999999</v>
      </c>
      <c r="J79" s="6">
        <f t="shared" si="7"/>
        <v>6175.5710559999998</v>
      </c>
      <c r="K79" s="3" t="s">
        <v>1069</v>
      </c>
      <c r="L79" s="6">
        <f>+[67]Main!$M$3</f>
        <v>21.712676999999999</v>
      </c>
      <c r="M79" s="9">
        <v>45783</v>
      </c>
    </row>
    <row r="80" spans="1:32" x14ac:dyDescent="0.25">
      <c r="A80" s="87" t="s">
        <v>333</v>
      </c>
      <c r="D80">
        <f t="shared" si="6"/>
        <v>69</v>
      </c>
      <c r="E80" s="5" t="s">
        <v>505</v>
      </c>
      <c r="F80" t="s">
        <v>506</v>
      </c>
      <c r="G80" s="7">
        <v>27.93</v>
      </c>
      <c r="H80" s="6">
        <f t="shared" si="8"/>
        <v>4324.2102164099997</v>
      </c>
      <c r="I80" s="6">
        <f>+[68]Main!$J$5-[68]Main!$J$6</f>
        <v>115.66200000000001</v>
      </c>
      <c r="J80" s="6">
        <f t="shared" si="7"/>
        <v>4208.5482164099994</v>
      </c>
      <c r="K80" s="3" t="s">
        <v>1069</v>
      </c>
      <c r="L80" s="6">
        <f>+[68]Main!$J$3</f>
        <v>154.823137</v>
      </c>
      <c r="M80" s="9">
        <v>45580</v>
      </c>
    </row>
    <row r="81" spans="1:32" x14ac:dyDescent="0.25">
      <c r="A81" s="87" t="s">
        <v>333</v>
      </c>
      <c r="B81"/>
      <c r="C81"/>
      <c r="D81">
        <f t="shared" si="6"/>
        <v>70</v>
      </c>
      <c r="E81" s="5" t="s">
        <v>430</v>
      </c>
      <c r="F81" t="s">
        <v>431</v>
      </c>
      <c r="G81" s="7">
        <v>106</v>
      </c>
      <c r="H81" s="6">
        <f t="shared" si="8"/>
        <v>5134.2274479999996</v>
      </c>
      <c r="I81" s="6">
        <f>+[69]Main!$L$5-[69]Main!$L$6</f>
        <v>206.86999999999998</v>
      </c>
      <c r="J81" s="6">
        <f t="shared" si="7"/>
        <v>4927.3574479999997</v>
      </c>
      <c r="K81" s="3" t="s">
        <v>1069</v>
      </c>
      <c r="L81" s="6">
        <f>+[69]Main!$L$3</f>
        <v>48.436107999999997</v>
      </c>
      <c r="M81" s="9">
        <v>45540</v>
      </c>
    </row>
    <row r="82" spans="1:32" x14ac:dyDescent="0.25">
      <c r="A82" s="87" t="s">
        <v>333</v>
      </c>
      <c r="D82">
        <f t="shared" si="6"/>
        <v>71</v>
      </c>
      <c r="E82" s="5" t="s">
        <v>117</v>
      </c>
      <c r="F82" s="1" t="s">
        <v>118</v>
      </c>
      <c r="G82" s="7">
        <v>38.880000000000003</v>
      </c>
      <c r="H82" s="6">
        <f t="shared" si="8"/>
        <v>7099.5687537600006</v>
      </c>
      <c r="I82" s="6">
        <f>+[70]Main!$K$5-[70]Main!$K$6</f>
        <v>1008.441</v>
      </c>
      <c r="J82" s="6">
        <f t="shared" si="7"/>
        <v>6091.1277537600008</v>
      </c>
      <c r="K82" s="3" t="s">
        <v>1069</v>
      </c>
      <c r="L82" s="6">
        <f>+[70]Main!$K$3</f>
        <v>182.60207700000001</v>
      </c>
      <c r="M82" s="9">
        <v>45574</v>
      </c>
    </row>
    <row r="83" spans="1:32" x14ac:dyDescent="0.25">
      <c r="A83" s="87" t="s">
        <v>333</v>
      </c>
      <c r="D83">
        <f t="shared" si="6"/>
        <v>72</v>
      </c>
      <c r="E83" s="5" t="s">
        <v>803</v>
      </c>
      <c r="F83" t="s">
        <v>804</v>
      </c>
      <c r="G83" s="3">
        <v>19.86</v>
      </c>
      <c r="H83" s="6">
        <f t="shared" si="8"/>
        <v>4806.12</v>
      </c>
      <c r="I83" s="6">
        <f>+[71]Main!$L$5-[71]Main!$L$6</f>
        <v>-43</v>
      </c>
      <c r="J83" s="6">
        <f t="shared" si="7"/>
        <v>4849.12</v>
      </c>
      <c r="K83" s="3" t="s">
        <v>1069</v>
      </c>
      <c r="L83" s="6">
        <f>+[71]Main!$L$3</f>
        <v>242</v>
      </c>
      <c r="M83" s="9">
        <v>45566</v>
      </c>
    </row>
    <row r="84" spans="1:32" x14ac:dyDescent="0.25">
      <c r="A84" s="87" t="s">
        <v>333</v>
      </c>
      <c r="B84"/>
      <c r="C84"/>
      <c r="D84">
        <f t="shared" si="6"/>
        <v>73</v>
      </c>
      <c r="E84" s="5" t="s">
        <v>134</v>
      </c>
      <c r="F84" s="1" t="s">
        <v>135</v>
      </c>
      <c r="G84" s="7">
        <v>26.36</v>
      </c>
      <c r="H84" s="6">
        <f>+L84*G84</f>
        <v>4340.6571524399997</v>
      </c>
      <c r="I84" s="6">
        <f>+[72]Main!$L$5-[72]Main!$L$6</f>
        <v>673.06</v>
      </c>
      <c r="J84" s="6">
        <f t="shared" ref="J84" si="9">+H84-I84</f>
        <v>3667.5971524399997</v>
      </c>
      <c r="K84" s="3" t="s">
        <v>1069</v>
      </c>
      <c r="L84" s="6">
        <f>+[72]Main!$L$3</f>
        <v>164.668329</v>
      </c>
      <c r="M84" s="9">
        <v>45540</v>
      </c>
    </row>
    <row r="85" spans="1:32" x14ac:dyDescent="0.25">
      <c r="A85" s="87" t="s">
        <v>333</v>
      </c>
      <c r="B85"/>
      <c r="C85"/>
      <c r="D85">
        <f t="shared" si="6"/>
        <v>74</v>
      </c>
      <c r="E85" s="5" t="s">
        <v>197</v>
      </c>
      <c r="F85" s="1" t="s">
        <v>198</v>
      </c>
      <c r="G85" s="7">
        <v>132.99</v>
      </c>
      <c r="H85" s="6">
        <f>+G85*L85</f>
        <v>3824.8652785200002</v>
      </c>
      <c r="I85" s="6">
        <f>+[73]Main!$K$5-[73]Main!$K$6</f>
        <v>694.2120000000001</v>
      </c>
      <c r="J85" s="6">
        <f>+H85-I85</f>
        <v>3130.6532785200002</v>
      </c>
      <c r="K85" s="3" t="s">
        <v>1275</v>
      </c>
      <c r="L85" s="6">
        <f>+[73]Main!$K$3</f>
        <v>28.760548</v>
      </c>
      <c r="M85" s="9">
        <v>45631</v>
      </c>
    </row>
    <row r="86" spans="1:32" x14ac:dyDescent="0.25">
      <c r="A86" s="87" t="s">
        <v>333</v>
      </c>
      <c r="B86"/>
      <c r="C86"/>
      <c r="D86">
        <f t="shared" si="6"/>
        <v>75</v>
      </c>
      <c r="E86" s="5" t="s">
        <v>680</v>
      </c>
      <c r="F86" t="s">
        <v>1824</v>
      </c>
      <c r="G86" s="54">
        <v>33.78</v>
      </c>
      <c r="H86" s="6">
        <f>+G86*L86/DKK</f>
        <v>4747.0066600538476</v>
      </c>
      <c r="I86" s="6">
        <f>([74]Main!$K$5-[74]Main!$K$6)/DKK</f>
        <v>356.95054555760237</v>
      </c>
      <c r="J86" s="6">
        <f>+H86-I86</f>
        <v>4390.0561144962448</v>
      </c>
      <c r="K86" s="3" t="s">
        <v>1069</v>
      </c>
      <c r="L86" s="6">
        <f>+[74]Main!$K$3</f>
        <v>991.7</v>
      </c>
      <c r="M86" s="9">
        <v>45581</v>
      </c>
    </row>
    <row r="87" spans="1:32" x14ac:dyDescent="0.25">
      <c r="A87" s="87" t="s">
        <v>333</v>
      </c>
      <c r="B87"/>
      <c r="C87"/>
      <c r="D87">
        <f t="shared" si="6"/>
        <v>76</v>
      </c>
      <c r="E87" s="5" t="s">
        <v>406</v>
      </c>
      <c r="F87" t="s">
        <v>407</v>
      </c>
      <c r="G87" s="18">
        <v>7.25</v>
      </c>
      <c r="H87" s="6">
        <f>+G87*L87/HKD</f>
        <v>17110.280434647437</v>
      </c>
      <c r="I87" s="6">
        <f>([75]Main!$K$5-[75]Main!$K$6)/HKD</f>
        <v>3986.4565384615375</v>
      </c>
      <c r="J87" s="6">
        <f>H87-I87</f>
        <v>13123.823896185899</v>
      </c>
      <c r="K87" s="3" t="s">
        <v>1069</v>
      </c>
      <c r="L87" s="6">
        <f>+[75]Main!$K$3</f>
        <v>18408.301708999999</v>
      </c>
      <c r="M87" s="9">
        <v>45539</v>
      </c>
    </row>
    <row r="88" spans="1:32" x14ac:dyDescent="0.25">
      <c r="A88" s="87" t="s">
        <v>333</v>
      </c>
      <c r="D88">
        <f t="shared" si="6"/>
        <v>77</v>
      </c>
      <c r="E88" s="5" t="s">
        <v>497</v>
      </c>
      <c r="F88" s="1" t="s">
        <v>498</v>
      </c>
      <c r="G88" s="7">
        <v>8.8000000000000007</v>
      </c>
      <c r="H88" s="6">
        <f>+G88*L88</f>
        <v>2357.7362160000002</v>
      </c>
      <c r="I88" s="6">
        <f>+[76]Main!$J$5-[76]Main!$J$6</f>
        <v>-984</v>
      </c>
      <c r="J88" s="6">
        <f>+H88-I88</f>
        <v>3341.7362160000002</v>
      </c>
      <c r="K88" s="3" t="s">
        <v>1276</v>
      </c>
      <c r="L88" s="6">
        <f>+[76]Main!$J$3</f>
        <v>267.92457000000002</v>
      </c>
      <c r="M88" s="9">
        <v>45761</v>
      </c>
    </row>
    <row r="89" spans="1:32" x14ac:dyDescent="0.25">
      <c r="A89" s="87" t="s">
        <v>333</v>
      </c>
      <c r="B89"/>
      <c r="C89"/>
      <c r="D89">
        <f t="shared" si="6"/>
        <v>78</v>
      </c>
      <c r="E89" s="5" t="s">
        <v>163</v>
      </c>
      <c r="F89" s="1" t="s">
        <v>164</v>
      </c>
      <c r="G89" s="7">
        <v>6.93</v>
      </c>
      <c r="H89" s="6">
        <f>+G89*L89</f>
        <v>2055.37515183</v>
      </c>
      <c r="I89" s="6">
        <f>+[77]Main!$M$5-[77]Main!$M$6</f>
        <v>-128.87700000000001</v>
      </c>
      <c r="J89" s="6">
        <f t="shared" ref="J89:J110" si="10">+H89-I89</f>
        <v>2184.25215183</v>
      </c>
      <c r="K89" s="3" t="s">
        <v>1069</v>
      </c>
      <c r="L89" s="6">
        <f>+[77]Main!$M$3</f>
        <v>296.59093100000001</v>
      </c>
      <c r="M89" s="9">
        <v>45580</v>
      </c>
    </row>
    <row r="90" spans="1:32" x14ac:dyDescent="0.25">
      <c r="A90" s="87" t="s">
        <v>333</v>
      </c>
      <c r="B90"/>
      <c r="C90"/>
      <c r="D90">
        <f t="shared" si="6"/>
        <v>79</v>
      </c>
      <c r="E90" s="5" t="s">
        <v>349</v>
      </c>
      <c r="F90" t="s">
        <v>690</v>
      </c>
      <c r="G90" s="3">
        <v>11.47</v>
      </c>
      <c r="H90" s="6">
        <f>+G90*L90</f>
        <v>8184.4122832599996</v>
      </c>
      <c r="I90" s="6">
        <f>+[78]Main!$K$5-[78]Main!$K$6</f>
        <v>5436.5479999999998</v>
      </c>
      <c r="J90" s="6">
        <f t="shared" si="10"/>
        <v>2747.8642832599999</v>
      </c>
      <c r="K90" s="3" t="s">
        <v>1069</v>
      </c>
      <c r="L90" s="6">
        <f>+[78]Main!$K$3</f>
        <v>713.54945799999996</v>
      </c>
      <c r="M90" s="9">
        <v>45540</v>
      </c>
    </row>
    <row r="91" spans="1:32" x14ac:dyDescent="0.25">
      <c r="A91" s="87" t="s">
        <v>333</v>
      </c>
      <c r="D91">
        <f t="shared" si="6"/>
        <v>80</v>
      </c>
      <c r="E91" s="5" t="s">
        <v>147</v>
      </c>
      <c r="F91" s="1" t="s">
        <v>148</v>
      </c>
      <c r="G91" s="7">
        <v>28.61</v>
      </c>
      <c r="H91" s="6">
        <f>+G91*L91</f>
        <v>2704.8476213499998</v>
      </c>
      <c r="I91" s="6">
        <f>+[79]Main!$L$5-[79]Main!$L$6</f>
        <v>563.00300000000004</v>
      </c>
      <c r="J91" s="6">
        <f>+H91-I91</f>
        <v>2141.8446213499997</v>
      </c>
      <c r="K91" s="3" t="s">
        <v>1039</v>
      </c>
      <c r="L91" s="6">
        <f>[79]Main!$L$3</f>
        <v>94.542034999999998</v>
      </c>
      <c r="M91" s="9">
        <v>45571</v>
      </c>
      <c r="AE91" s="1">
        <v>2010</v>
      </c>
    </row>
    <row r="92" spans="1:32" x14ac:dyDescent="0.25">
      <c r="A92" s="87" t="s">
        <v>333</v>
      </c>
      <c r="B92"/>
      <c r="C92"/>
      <c r="D92">
        <f t="shared" si="6"/>
        <v>81</v>
      </c>
      <c r="E92" s="5" t="s">
        <v>211</v>
      </c>
      <c r="F92" s="1" t="s">
        <v>212</v>
      </c>
      <c r="G92" s="7">
        <v>2.4500000000000002</v>
      </c>
      <c r="H92" s="6">
        <f>+G92*L92</f>
        <v>1706.5068741</v>
      </c>
      <c r="I92" s="6">
        <f>+[80]Main!$J$5-[80]Main!$J$6</f>
        <v>-474.93899999999996</v>
      </c>
      <c r="J92" s="6">
        <f>+H92-I92</f>
        <v>2181.4458740999999</v>
      </c>
      <c r="K92" s="3" t="s">
        <v>1069</v>
      </c>
      <c r="L92" s="6">
        <f>+[80]Main!$J$3</f>
        <v>696.53341799999998</v>
      </c>
      <c r="M92" s="9">
        <v>45572</v>
      </c>
    </row>
    <row r="93" spans="1:32" x14ac:dyDescent="0.25">
      <c r="A93" s="87" t="s">
        <v>333</v>
      </c>
      <c r="B93"/>
      <c r="C93"/>
      <c r="D93">
        <f t="shared" si="6"/>
        <v>82</v>
      </c>
      <c r="E93" s="5" t="s">
        <v>132</v>
      </c>
      <c r="F93" s="1" t="s">
        <v>133</v>
      </c>
      <c r="G93" s="7">
        <v>24.43</v>
      </c>
      <c r="H93" s="6">
        <f>G93*L93</f>
        <v>2974.75139304</v>
      </c>
      <c r="I93" s="6">
        <f>+[81]Main!$L$5-[81]Main!$L$6</f>
        <v>-96.746999999999957</v>
      </c>
      <c r="J93" s="6">
        <f t="shared" ref="J93:J102" si="11">+H93-I93</f>
        <v>3071.4983930399999</v>
      </c>
      <c r="K93" s="3" t="s">
        <v>1069</v>
      </c>
      <c r="L93" s="6">
        <f>[81]Main!$L$3</f>
        <v>121.766328</v>
      </c>
      <c r="M93" s="9">
        <v>45540</v>
      </c>
      <c r="AE93" s="1">
        <v>2009</v>
      </c>
      <c r="AF93" s="1" t="s">
        <v>993</v>
      </c>
    </row>
    <row r="94" spans="1:32" x14ac:dyDescent="0.25">
      <c r="A94" s="87" t="s">
        <v>333</v>
      </c>
      <c r="D94">
        <f t="shared" si="6"/>
        <v>83</v>
      </c>
      <c r="E94" s="38" t="s">
        <v>1160</v>
      </c>
      <c r="F94" t="s">
        <v>1161</v>
      </c>
      <c r="G94" s="7">
        <v>83.6</v>
      </c>
      <c r="H94" s="6">
        <f>+G94*L94</f>
        <v>3820.8385995999997</v>
      </c>
      <c r="I94" s="6">
        <f>+[82]Main!$J$5-[82]Main!$J$6</f>
        <v>268.82000000000005</v>
      </c>
      <c r="J94" s="6">
        <f>+H94-I94</f>
        <v>3552.0185995999996</v>
      </c>
      <c r="K94" s="3" t="s">
        <v>1276</v>
      </c>
      <c r="L94" s="6">
        <f>+[82]Main!$J$3</f>
        <v>45.703811000000002</v>
      </c>
      <c r="M94" s="9">
        <v>45546</v>
      </c>
      <c r="AE94" s="1">
        <v>1999</v>
      </c>
    </row>
    <row r="95" spans="1:32" x14ac:dyDescent="0.25">
      <c r="A95" s="87" t="s">
        <v>333</v>
      </c>
      <c r="B95"/>
      <c r="C95"/>
      <c r="D95">
        <f t="shared" si="6"/>
        <v>84</v>
      </c>
      <c r="E95" s="5" t="s">
        <v>1289</v>
      </c>
      <c r="F95" t="s">
        <v>1290</v>
      </c>
      <c r="G95" s="7">
        <v>26.93</v>
      </c>
      <c r="H95" s="6">
        <f>+G95*L95</f>
        <v>2155.2617599999999</v>
      </c>
      <c r="I95" s="6">
        <f>+[83]Main!$K$5-[83]Main!$K$6</f>
        <v>140.42099999999999</v>
      </c>
      <c r="J95" s="6">
        <f>+H95-I95</f>
        <v>2014.8407599999998</v>
      </c>
      <c r="K95" s="3" t="s">
        <v>1069</v>
      </c>
      <c r="L95" s="6">
        <f>+[83]Main!$K$3</f>
        <v>80.031999999999996</v>
      </c>
      <c r="M95" s="9">
        <v>45572</v>
      </c>
    </row>
    <row r="96" spans="1:32" ht="13" x14ac:dyDescent="0.3">
      <c r="A96" s="87" t="s">
        <v>333</v>
      </c>
      <c r="D96">
        <f t="shared" si="6"/>
        <v>85</v>
      </c>
      <c r="E96" s="41" t="s">
        <v>335</v>
      </c>
      <c r="F96" s="24" t="s">
        <v>336</v>
      </c>
      <c r="G96" s="45">
        <v>71.819999999999993</v>
      </c>
      <c r="H96" s="26">
        <f>+G96*L96</f>
        <v>3860.7328657799999</v>
      </c>
      <c r="I96" s="26">
        <f>+[84]Main!$K$5-[84]Main!$K$6</f>
        <v>649.44200000000001</v>
      </c>
      <c r="J96" s="26">
        <f>+H96-I96</f>
        <v>3211.2908657799999</v>
      </c>
      <c r="K96" s="25" t="s">
        <v>1069</v>
      </c>
      <c r="L96" s="26">
        <f>+[84]Main!$K$3</f>
        <v>53.755679000000001</v>
      </c>
      <c r="M96" s="42">
        <v>45591</v>
      </c>
    </row>
    <row r="97" spans="1:32" x14ac:dyDescent="0.25">
      <c r="A97" s="87" t="s">
        <v>333</v>
      </c>
      <c r="B97"/>
      <c r="C97"/>
      <c r="D97">
        <f t="shared" si="6"/>
        <v>86</v>
      </c>
      <c r="E97" s="5" t="s">
        <v>203</v>
      </c>
      <c r="F97" s="1" t="s">
        <v>204</v>
      </c>
      <c r="G97" s="3">
        <v>21.39</v>
      </c>
      <c r="H97" s="6">
        <f>+G97*L97</f>
        <v>1041.1758325799999</v>
      </c>
      <c r="I97" s="6">
        <f>+[85]Main!$L$5-[85]Main!$L$6</f>
        <v>-356.94799999999998</v>
      </c>
      <c r="J97" s="6">
        <f>+H97-I97</f>
        <v>1398.12383258</v>
      </c>
      <c r="K97" s="3" t="s">
        <v>1069</v>
      </c>
      <c r="L97" s="6">
        <f>+[85]Main!$L$3</f>
        <v>48.675821999999997</v>
      </c>
      <c r="M97" s="9">
        <v>45576</v>
      </c>
    </row>
    <row r="98" spans="1:32" x14ac:dyDescent="0.25">
      <c r="A98" s="87" t="s">
        <v>333</v>
      </c>
      <c r="B98"/>
      <c r="C98"/>
      <c r="D98">
        <f t="shared" si="6"/>
        <v>87</v>
      </c>
      <c r="E98" s="5" t="s">
        <v>847</v>
      </c>
      <c r="F98" t="s">
        <v>848</v>
      </c>
      <c r="G98" s="3">
        <v>13.72</v>
      </c>
      <c r="H98" s="6">
        <f>+G98*L98</f>
        <v>1286.5557913600001</v>
      </c>
      <c r="I98" s="6">
        <f>+[86]Main!$J$5-[86]Main!$J$6</f>
        <v>511.75100000000003</v>
      </c>
      <c r="J98" s="6">
        <f>+H98-I98</f>
        <v>774.80479136000008</v>
      </c>
      <c r="K98" s="3" t="s">
        <v>1069</v>
      </c>
      <c r="L98" s="6">
        <f>+[86]Main!$J$3</f>
        <v>93.772288000000003</v>
      </c>
      <c r="M98" s="9">
        <v>45554</v>
      </c>
    </row>
    <row r="99" spans="1:32" x14ac:dyDescent="0.25">
      <c r="A99" s="87" t="s">
        <v>333</v>
      </c>
      <c r="B99"/>
      <c r="C99"/>
      <c r="D99">
        <f>+D101+1</f>
        <v>89</v>
      </c>
      <c r="E99" s="5" t="s">
        <v>691</v>
      </c>
      <c r="F99" t="s">
        <v>692</v>
      </c>
      <c r="G99" s="7">
        <v>48.93</v>
      </c>
      <c r="H99" s="6">
        <f t="shared" ref="H99:H103" si="12">+G99*L99</f>
        <v>3863.4447383699999</v>
      </c>
      <c r="I99" s="6">
        <f>+[87]Main!$L$5-[87]Main!$L$6</f>
        <v>1071.1729999999998</v>
      </c>
      <c r="J99" s="6">
        <f t="shared" si="11"/>
        <v>2792.2717383700001</v>
      </c>
      <c r="K99" s="3" t="s">
        <v>1275</v>
      </c>
      <c r="L99" s="6">
        <f>+[87]Main!$L$3</f>
        <v>78.958608999999996</v>
      </c>
      <c r="M99" s="9">
        <v>45684</v>
      </c>
    </row>
    <row r="100" spans="1:32" x14ac:dyDescent="0.25">
      <c r="A100" s="87" t="s">
        <v>333</v>
      </c>
      <c r="D100">
        <f>+D99+1</f>
        <v>90</v>
      </c>
      <c r="E100" s="5" t="s">
        <v>788</v>
      </c>
      <c r="F100" t="s">
        <v>1172</v>
      </c>
      <c r="G100" s="7">
        <v>37.25</v>
      </c>
      <c r="H100" s="6">
        <f t="shared" si="12"/>
        <v>4362.7720382500002</v>
      </c>
      <c r="I100" s="6">
        <f>+[88]Main!$L$5-[88]Main!$L$6</f>
        <v>1590.0459999999998</v>
      </c>
      <c r="J100" s="6">
        <f t="shared" si="11"/>
        <v>2772.7260382500003</v>
      </c>
      <c r="K100" s="3" t="s">
        <v>1069</v>
      </c>
      <c r="L100" s="6">
        <f>+[88]Main!$L$3</f>
        <v>117.121397</v>
      </c>
      <c r="M100" s="9">
        <v>45558</v>
      </c>
    </row>
    <row r="101" spans="1:32" x14ac:dyDescent="0.25">
      <c r="A101" s="87" t="s">
        <v>333</v>
      </c>
      <c r="D101">
        <f>+D98+1</f>
        <v>88</v>
      </c>
      <c r="E101" s="5" t="s">
        <v>126</v>
      </c>
      <c r="F101" s="1" t="s">
        <v>127</v>
      </c>
      <c r="G101" s="7">
        <v>16.82</v>
      </c>
      <c r="H101" s="6">
        <f>+G101*L101</f>
        <v>1631.54</v>
      </c>
      <c r="I101" s="6">
        <f>+[89]Main!$L$5-[89]Main!$L$6</f>
        <v>-352</v>
      </c>
      <c r="J101" s="6">
        <f>+H101-I101</f>
        <v>1983.54</v>
      </c>
      <c r="K101" s="3" t="s">
        <v>1276</v>
      </c>
      <c r="L101" s="6">
        <f>+[89]Main!$L$3</f>
        <v>97</v>
      </c>
      <c r="M101" s="9">
        <v>45783</v>
      </c>
    </row>
    <row r="102" spans="1:32" x14ac:dyDescent="0.25">
      <c r="A102" s="87" t="s">
        <v>333</v>
      </c>
      <c r="B102"/>
      <c r="C102"/>
      <c r="D102">
        <f>+D100+1</f>
        <v>91</v>
      </c>
      <c r="E102" s="5" t="s">
        <v>86</v>
      </c>
      <c r="F102" s="1" t="s">
        <v>87</v>
      </c>
      <c r="G102" s="7">
        <v>14.9</v>
      </c>
      <c r="H102" s="6">
        <f t="shared" si="12"/>
        <v>1505.7179355000001</v>
      </c>
      <c r="I102" s="6">
        <f>+[90]Main!$L$5-[90]Main!$L$6</f>
        <v>489</v>
      </c>
      <c r="J102" s="6">
        <f t="shared" si="11"/>
        <v>1016.7179355000001</v>
      </c>
      <c r="K102" s="3" t="s">
        <v>1069</v>
      </c>
      <c r="L102" s="6">
        <f>+[90]Main!$L$3</f>
        <v>101.054895</v>
      </c>
      <c r="M102" s="9">
        <v>45583</v>
      </c>
    </row>
    <row r="103" spans="1:32" x14ac:dyDescent="0.25">
      <c r="A103" s="87" t="s">
        <v>333</v>
      </c>
      <c r="B103"/>
      <c r="C103"/>
      <c r="D103">
        <f>+D102+1</f>
        <v>92</v>
      </c>
      <c r="E103" s="13" t="s">
        <v>53</v>
      </c>
      <c r="F103" s="1" t="s">
        <v>54</v>
      </c>
      <c r="G103" s="7">
        <v>27.4</v>
      </c>
      <c r="H103" s="6">
        <f t="shared" si="12"/>
        <v>10544.008021399999</v>
      </c>
      <c r="I103" s="6">
        <f>+[91]Main!$K$5-[91]Main!$K$6</f>
        <v>9519</v>
      </c>
      <c r="J103" s="6">
        <f>H103-I103</f>
        <v>1025.0080213999991</v>
      </c>
      <c r="K103" s="3" t="s">
        <v>1276</v>
      </c>
      <c r="L103" s="6">
        <f>+[91]Main!$K$3</f>
        <v>384.81781100000001</v>
      </c>
      <c r="M103" s="9">
        <v>45707</v>
      </c>
      <c r="AF103" s="1" t="s">
        <v>608</v>
      </c>
    </row>
    <row r="104" spans="1:32" x14ac:dyDescent="0.25">
      <c r="A104" s="87" t="s">
        <v>333</v>
      </c>
      <c r="B104"/>
      <c r="C104"/>
      <c r="D104">
        <f>+D103+1</f>
        <v>93</v>
      </c>
      <c r="E104" s="5" t="s">
        <v>683</v>
      </c>
      <c r="F104" t="s">
        <v>684</v>
      </c>
      <c r="G104" s="3">
        <v>14.17</v>
      </c>
      <c r="H104" s="6">
        <f>G104*L104</f>
        <v>2426.2161650999997</v>
      </c>
      <c r="I104" s="6">
        <f>[92]Main!$K$5-[92]Main!$K$6</f>
        <v>1053.77</v>
      </c>
      <c r="J104" s="6">
        <f t="shared" si="10"/>
        <v>1372.4461650999997</v>
      </c>
      <c r="K104" s="3" t="s">
        <v>1842</v>
      </c>
      <c r="L104" s="6">
        <f>[92]Main!$K$3</f>
        <v>171.22202999999999</v>
      </c>
      <c r="M104" s="9">
        <v>45839</v>
      </c>
    </row>
    <row r="105" spans="1:32" x14ac:dyDescent="0.25">
      <c r="A105" s="87" t="s">
        <v>333</v>
      </c>
      <c r="B105"/>
      <c r="C105"/>
      <c r="D105">
        <f>+D104+1</f>
        <v>94</v>
      </c>
      <c r="E105" s="5" t="s">
        <v>124</v>
      </c>
      <c r="F105" s="1" t="s">
        <v>125</v>
      </c>
      <c r="G105" s="3">
        <v>24.05</v>
      </c>
      <c r="H105" s="6">
        <f t="shared" ref="H105:H106" si="13">+G105*L105</f>
        <v>3996.4847000000004</v>
      </c>
      <c r="I105" s="6">
        <f>+[93]Main!$K$5-[93]Main!$K$6</f>
        <v>501</v>
      </c>
      <c r="J105" s="6">
        <f t="shared" si="10"/>
        <v>3495.4847000000004</v>
      </c>
      <c r="K105" s="3" t="s">
        <v>1069</v>
      </c>
      <c r="L105" s="6">
        <f>+[93]Main!$K$3</f>
        <v>166.17400000000001</v>
      </c>
      <c r="M105" s="9">
        <v>45541</v>
      </c>
    </row>
    <row r="106" spans="1:32" x14ac:dyDescent="0.25">
      <c r="A106" s="87" t="s">
        <v>333</v>
      </c>
      <c r="B106"/>
      <c r="C106"/>
      <c r="D106">
        <f>+D105+1</f>
        <v>95</v>
      </c>
      <c r="E106" s="5" t="s">
        <v>111</v>
      </c>
      <c r="F106" s="1" t="s">
        <v>112</v>
      </c>
      <c r="G106" s="3">
        <v>16.52</v>
      </c>
      <c r="H106" s="6">
        <f t="shared" si="13"/>
        <v>2053.6883264799999</v>
      </c>
      <c r="I106" s="6">
        <f>+[94]Main!$L$5-[94]Main!$L$6</f>
        <v>436.77100000000002</v>
      </c>
      <c r="J106" s="6">
        <f t="shared" si="10"/>
        <v>1616.9173264799999</v>
      </c>
      <c r="K106" s="3" t="s">
        <v>1069</v>
      </c>
      <c r="L106" s="6">
        <f>+[94]Main!$L$3</f>
        <v>124.315274</v>
      </c>
      <c r="M106" s="9">
        <v>45562</v>
      </c>
    </row>
    <row r="107" spans="1:32" x14ac:dyDescent="0.25">
      <c r="A107" s="87" t="s">
        <v>333</v>
      </c>
      <c r="B107"/>
      <c r="C107"/>
      <c r="D107">
        <f t="shared" ref="D107:D120" si="14">+D106+1</f>
        <v>96</v>
      </c>
      <c r="E107" s="5" t="s">
        <v>119</v>
      </c>
      <c r="F107" s="1" t="s">
        <v>120</v>
      </c>
      <c r="G107" s="7">
        <v>57.05</v>
      </c>
      <c r="H107" s="6">
        <f>G107*L107</f>
        <v>4858.8434139000001</v>
      </c>
      <c r="I107" s="6">
        <f>[95]Main!$L$5-[95]Main!$L$6</f>
        <v>2012.8349999999998</v>
      </c>
      <c r="J107" s="6">
        <f t="shared" si="10"/>
        <v>2846.0084139000001</v>
      </c>
      <c r="K107" s="3" t="s">
        <v>1069</v>
      </c>
      <c r="L107" s="6">
        <f>[95]Main!$L$3</f>
        <v>85.168158000000005</v>
      </c>
      <c r="M107" s="9">
        <v>45565</v>
      </c>
    </row>
    <row r="108" spans="1:32" s="24" customFormat="1" ht="13" x14ac:dyDescent="0.3">
      <c r="A108" s="101" t="s">
        <v>333</v>
      </c>
      <c r="B108" s="24">
        <v>7</v>
      </c>
      <c r="C108" s="24">
        <v>3</v>
      </c>
      <c r="D108">
        <f t="shared" si="14"/>
        <v>97</v>
      </c>
      <c r="E108" s="41" t="s">
        <v>730</v>
      </c>
      <c r="F108" s="24" t="s">
        <v>731</v>
      </c>
      <c r="G108" s="25">
        <v>28.29</v>
      </c>
      <c r="H108" s="26">
        <f>+G108*L108</f>
        <v>2650.2108776999999</v>
      </c>
      <c r="I108" s="26">
        <v>1274.124</v>
      </c>
      <c r="J108" s="26">
        <f t="shared" si="10"/>
        <v>1376.0868776999998</v>
      </c>
      <c r="K108" s="25" t="s">
        <v>1307</v>
      </c>
      <c r="L108" s="26">
        <v>93.680130000000005</v>
      </c>
      <c r="M108" s="42">
        <v>45791</v>
      </c>
      <c r="N108" s="25"/>
      <c r="O108" s="25"/>
      <c r="P108" s="25"/>
      <c r="Q108" s="25"/>
      <c r="R108" s="25"/>
      <c r="S108" s="43"/>
      <c r="T108" s="43"/>
      <c r="U108" s="43"/>
      <c r="V108" s="43"/>
      <c r="W108" s="43"/>
      <c r="X108" s="43"/>
      <c r="Y108" s="103"/>
      <c r="Z108" s="103"/>
      <c r="AA108" s="103"/>
      <c r="AB108" s="103"/>
      <c r="AC108" s="103"/>
      <c r="AD108" s="103"/>
    </row>
    <row r="109" spans="1:32" x14ac:dyDescent="0.25">
      <c r="A109" s="87" t="s">
        <v>333</v>
      </c>
      <c r="B109"/>
      <c r="C109"/>
      <c r="D109">
        <f t="shared" si="14"/>
        <v>98</v>
      </c>
      <c r="E109" s="5" t="s">
        <v>711</v>
      </c>
      <c r="F109" t="s">
        <v>712</v>
      </c>
      <c r="G109" s="7">
        <v>53.23</v>
      </c>
      <c r="H109" s="6">
        <f>+G109*L109</f>
        <v>3135.4910595499996</v>
      </c>
      <c r="I109" s="6">
        <f>+[96]Main!$L$5-[96]Main!$L$6</f>
        <v>595.44399999999996</v>
      </c>
      <c r="J109" s="6">
        <f t="shared" si="10"/>
        <v>2540.0470595499996</v>
      </c>
      <c r="K109" s="3" t="s">
        <v>1069</v>
      </c>
      <c r="L109" s="6">
        <f>+[96]Main!$L$3</f>
        <v>58.904584999999997</v>
      </c>
      <c r="M109" s="9">
        <v>45553</v>
      </c>
    </row>
    <row r="110" spans="1:32" x14ac:dyDescent="0.25">
      <c r="A110" s="87" t="s">
        <v>333</v>
      </c>
      <c r="B110"/>
      <c r="C110"/>
      <c r="D110">
        <f t="shared" si="14"/>
        <v>99</v>
      </c>
      <c r="E110" s="5" t="s">
        <v>367</v>
      </c>
      <c r="F110" t="s">
        <v>368</v>
      </c>
      <c r="G110" s="40">
        <v>44550</v>
      </c>
      <c r="H110" s="6">
        <f>+G110*L110/KRW</f>
        <v>2388.4458129797626</v>
      </c>
      <c r="I110" s="6">
        <f>([97]Main!$L$5-[97]Main!$L$6)/KRW</f>
        <v>792.45638520586181</v>
      </c>
      <c r="J110" s="6">
        <f t="shared" si="10"/>
        <v>1595.9894277739008</v>
      </c>
      <c r="K110" s="3" t="s">
        <v>1069</v>
      </c>
      <c r="L110" s="6">
        <f>+[97]Main!$L$3</f>
        <v>76.826999999999998</v>
      </c>
      <c r="M110" s="9">
        <v>45542</v>
      </c>
    </row>
    <row r="111" spans="1:32" x14ac:dyDescent="0.25">
      <c r="A111" s="87" t="s">
        <v>333</v>
      </c>
      <c r="B111"/>
      <c r="C111"/>
      <c r="D111">
        <f t="shared" si="14"/>
        <v>100</v>
      </c>
      <c r="E111" s="102" t="s">
        <v>1866</v>
      </c>
      <c r="F111" t="s">
        <v>1867</v>
      </c>
      <c r="G111" s="40">
        <v>96100</v>
      </c>
      <c r="H111" s="6"/>
      <c r="I111" s="6"/>
      <c r="J111" s="6"/>
      <c r="L111" s="6"/>
      <c r="M111" s="9"/>
    </row>
    <row r="112" spans="1:32" x14ac:dyDescent="0.25">
      <c r="A112" s="87" t="s">
        <v>333</v>
      </c>
      <c r="B112"/>
      <c r="C112"/>
      <c r="D112">
        <f t="shared" si="14"/>
        <v>101</v>
      </c>
      <c r="E112" s="5" t="s">
        <v>845</v>
      </c>
      <c r="F112" t="s">
        <v>846</v>
      </c>
      <c r="G112" s="7">
        <v>24.25</v>
      </c>
      <c r="H112" s="6">
        <f>+G112*L112</f>
        <v>1272.688985</v>
      </c>
      <c r="I112" s="6">
        <f>+[98]Main!$L$5-[98]Main!$L$6</f>
        <v>658</v>
      </c>
      <c r="J112" s="6">
        <f>+H112-I112</f>
        <v>614.688985</v>
      </c>
      <c r="K112" s="3" t="s">
        <v>1275</v>
      </c>
      <c r="L112" s="6">
        <f>+[98]Main!$L$3</f>
        <v>52.482019999999999</v>
      </c>
      <c r="M112" s="9">
        <v>45628</v>
      </c>
      <c r="AE112" s="1">
        <v>2017</v>
      </c>
    </row>
    <row r="113" spans="1:32" customFormat="1" x14ac:dyDescent="0.25">
      <c r="A113" s="87" t="s">
        <v>333</v>
      </c>
      <c r="D113">
        <f t="shared" si="14"/>
        <v>102</v>
      </c>
      <c r="E113" s="5" t="s">
        <v>662</v>
      </c>
      <c r="F113" t="s">
        <v>663</v>
      </c>
      <c r="G113" s="52">
        <v>16.66</v>
      </c>
      <c r="H113" s="29">
        <f>+G113*L113</f>
        <v>952.89402875333337</v>
      </c>
      <c r="I113" s="29">
        <f>+[99]Main!$N$5-[99]Main!$N$6</f>
        <v>927.11899999999991</v>
      </c>
      <c r="J113" s="29">
        <f>+H113-I113</f>
        <v>25.775028753333459</v>
      </c>
      <c r="K113" s="27" t="s">
        <v>1069</v>
      </c>
      <c r="L113" s="29">
        <f>+[99]Main!$N$3</f>
        <v>57.196520333333332</v>
      </c>
      <c r="M113" s="36">
        <v>45572</v>
      </c>
      <c r="N113" s="27"/>
      <c r="O113" s="27"/>
      <c r="P113" s="27"/>
      <c r="Q113" s="27"/>
      <c r="R113" s="27"/>
      <c r="S113" s="56"/>
      <c r="T113" s="56"/>
      <c r="U113" s="56"/>
      <c r="V113" s="56"/>
      <c r="W113" s="56"/>
      <c r="X113" s="56"/>
      <c r="Y113" s="104"/>
      <c r="Z113" s="104"/>
      <c r="AA113" s="104"/>
      <c r="AB113" s="104"/>
      <c r="AC113" s="104"/>
      <c r="AD113" s="104"/>
    </row>
    <row r="114" spans="1:32" x14ac:dyDescent="0.25">
      <c r="A114" s="87" t="s">
        <v>333</v>
      </c>
      <c r="B114"/>
      <c r="C114"/>
      <c r="D114">
        <f t="shared" si="14"/>
        <v>103</v>
      </c>
      <c r="E114" s="5" t="s">
        <v>292</v>
      </c>
      <c r="F114" s="1" t="s">
        <v>184</v>
      </c>
      <c r="G114" s="7">
        <v>8.56</v>
      </c>
      <c r="H114" s="6">
        <f>+G114*L114</f>
        <v>1766.5878732799999</v>
      </c>
      <c r="I114" s="6">
        <f>+[100]Main!$M$5-[100]Main!$M$6</f>
        <v>28.069999999999993</v>
      </c>
      <c r="J114" s="6">
        <f>+H114-I114</f>
        <v>1738.51787328</v>
      </c>
      <c r="K114" s="3" t="s">
        <v>1039</v>
      </c>
      <c r="L114" s="6">
        <f>+[100]Main!$M$3</f>
        <v>206.37708799999999</v>
      </c>
      <c r="M114" s="9">
        <v>45567</v>
      </c>
    </row>
    <row r="115" spans="1:32" x14ac:dyDescent="0.25">
      <c r="A115" s="87" t="s">
        <v>333</v>
      </c>
      <c r="B115"/>
      <c r="C115"/>
      <c r="D115">
        <f t="shared" si="14"/>
        <v>104</v>
      </c>
      <c r="E115" s="5" t="s">
        <v>205</v>
      </c>
      <c r="F115" s="1" t="s">
        <v>206</v>
      </c>
      <c r="G115" s="7">
        <v>5.8</v>
      </c>
      <c r="H115" s="6">
        <f>G115*L115</f>
        <v>1949.0086839999999</v>
      </c>
      <c r="I115" s="6">
        <f>[101]Main!$K$5-[101]Main!$K$6</f>
        <v>575.553</v>
      </c>
      <c r="J115" s="6">
        <f>H115-I115</f>
        <v>1373.455684</v>
      </c>
      <c r="K115" s="3" t="s">
        <v>1069</v>
      </c>
      <c r="L115" s="6">
        <f>[101]Main!$K$3</f>
        <v>336.03598</v>
      </c>
      <c r="M115" s="9">
        <v>45572</v>
      </c>
    </row>
    <row r="116" spans="1:32" s="24" customFormat="1" ht="13" x14ac:dyDescent="0.3">
      <c r="A116" s="101" t="s">
        <v>333</v>
      </c>
      <c r="D116" s="24">
        <f t="shared" si="14"/>
        <v>105</v>
      </c>
      <c r="E116" s="41" t="s">
        <v>96</v>
      </c>
      <c r="F116" s="24" t="s">
        <v>97</v>
      </c>
      <c r="G116" s="25">
        <v>3.73</v>
      </c>
      <c r="H116" s="26">
        <f>+G116*L116</f>
        <v>402.48143883</v>
      </c>
      <c r="I116" s="26">
        <f>+[102]Main!$K$5-[102]Main!$K$6</f>
        <v>271.49400000000003</v>
      </c>
      <c r="J116" s="26">
        <f>+H116-I116</f>
        <v>130.98743882999997</v>
      </c>
      <c r="K116" s="25" t="s">
        <v>1069</v>
      </c>
      <c r="L116" s="26">
        <f>+[102]Main!$K$3</f>
        <v>107.903871</v>
      </c>
      <c r="M116" s="42">
        <v>45573</v>
      </c>
      <c r="N116" s="25"/>
      <c r="O116" s="25"/>
      <c r="P116" s="25"/>
      <c r="Q116" s="25"/>
      <c r="R116" s="25"/>
      <c r="S116" s="43"/>
      <c r="T116" s="43"/>
      <c r="U116" s="43"/>
      <c r="V116" s="43"/>
      <c r="W116" s="43"/>
      <c r="X116" s="43"/>
      <c r="Y116" s="103"/>
      <c r="Z116" s="103"/>
      <c r="AA116" s="103"/>
      <c r="AB116" s="103"/>
      <c r="AC116" s="103"/>
      <c r="AD116" s="103"/>
    </row>
    <row r="117" spans="1:32" x14ac:dyDescent="0.25">
      <c r="A117" s="87" t="s">
        <v>333</v>
      </c>
      <c r="D117">
        <f t="shared" si="14"/>
        <v>106</v>
      </c>
      <c r="E117" s="5" t="s">
        <v>738</v>
      </c>
      <c r="F117" t="s">
        <v>739</v>
      </c>
      <c r="G117" s="3">
        <v>4.24</v>
      </c>
      <c r="H117" s="6">
        <f>+G117*L117</f>
        <v>943.40000000000009</v>
      </c>
      <c r="I117" s="6">
        <f>+[103]Main!$I$5-[103]Main!$I$6</f>
        <v>251.643</v>
      </c>
      <c r="J117" s="6">
        <f>+H117-I117</f>
        <v>691.75700000000006</v>
      </c>
      <c r="K117" s="3" t="s">
        <v>1069</v>
      </c>
      <c r="L117" s="6">
        <f>+[103]Main!$I$3</f>
        <v>222.5</v>
      </c>
      <c r="M117" s="9">
        <v>45593</v>
      </c>
    </row>
    <row r="118" spans="1:32" x14ac:dyDescent="0.25">
      <c r="A118" s="87" t="s">
        <v>333</v>
      </c>
      <c r="B118"/>
      <c r="C118"/>
      <c r="D118">
        <f t="shared" si="14"/>
        <v>107</v>
      </c>
      <c r="E118" s="5" t="s">
        <v>157</v>
      </c>
      <c r="F118" s="1" t="s">
        <v>158</v>
      </c>
      <c r="G118" s="7">
        <v>18.23</v>
      </c>
      <c r="H118" s="6">
        <f>+G118*L118</f>
        <v>1502.4367343700001</v>
      </c>
      <c r="I118" s="6">
        <f>+[104]Main!$K$5-[104]Main!$K$6</f>
        <v>1008.165</v>
      </c>
      <c r="J118" s="6">
        <f>+H118-I118</f>
        <v>494.2717343700001</v>
      </c>
      <c r="K118" s="3" t="s">
        <v>1069</v>
      </c>
      <c r="L118" s="6">
        <f>+[104]Main!$K$3</f>
        <v>82.415619000000007</v>
      </c>
      <c r="M118" s="9">
        <v>45565</v>
      </c>
    </row>
    <row r="119" spans="1:32" x14ac:dyDescent="0.25">
      <c r="A119" s="87" t="s">
        <v>333</v>
      </c>
      <c r="B119"/>
      <c r="C119"/>
      <c r="D119">
        <f t="shared" si="14"/>
        <v>108</v>
      </c>
      <c r="E119" s="5" t="s">
        <v>144</v>
      </c>
      <c r="F119" s="1" t="s">
        <v>145</v>
      </c>
      <c r="G119" s="7">
        <v>11.89</v>
      </c>
      <c r="H119" s="6">
        <f>+G119*L119</f>
        <v>1147.0877499999999</v>
      </c>
      <c r="I119" s="6">
        <f>+[105]Main!$J$5-[105]Main!$J$6</f>
        <v>939.9</v>
      </c>
      <c r="J119" s="6">
        <f>+H119-I119</f>
        <v>207.18774999999994</v>
      </c>
      <c r="K119" s="3" t="s">
        <v>1039</v>
      </c>
      <c r="L119" s="6">
        <f>+[105]Main!$J$3</f>
        <v>96.474999999999994</v>
      </c>
      <c r="M119" s="9">
        <v>45565</v>
      </c>
    </row>
    <row r="120" spans="1:32" x14ac:dyDescent="0.25">
      <c r="A120" s="87" t="s">
        <v>333</v>
      </c>
      <c r="B120"/>
      <c r="C120"/>
      <c r="D120">
        <f t="shared" si="14"/>
        <v>109</v>
      </c>
      <c r="E120" s="5" t="s">
        <v>369</v>
      </c>
      <c r="F120" t="s">
        <v>370</v>
      </c>
      <c r="G120" s="18">
        <v>24.06</v>
      </c>
      <c r="H120" s="6">
        <f>+G120*L120/HKD</f>
        <v>3040.4741405461541</v>
      </c>
      <c r="I120" s="6">
        <f>([106]Main!$J$6-[106]Main!$J$7)/HKD</f>
        <v>376.08884615384613</v>
      </c>
      <c r="J120" s="6">
        <f>+H120-I120</f>
        <v>2664.385294392308</v>
      </c>
      <c r="K120" s="3" t="s">
        <v>1112</v>
      </c>
      <c r="L120" s="6">
        <f>+[106]Main!$J$4</f>
        <v>985.68987100000004</v>
      </c>
      <c r="M120" s="9">
        <v>45543</v>
      </c>
      <c r="AF120" s="1">
        <v>2012</v>
      </c>
    </row>
    <row r="121" spans="1:32" x14ac:dyDescent="0.25">
      <c r="A121" s="87" t="s">
        <v>333</v>
      </c>
      <c r="B121"/>
      <c r="C121"/>
      <c r="D121">
        <f t="shared" ref="D121:D152" si="15">+D120+1</f>
        <v>110</v>
      </c>
      <c r="E121" s="5" t="s">
        <v>369</v>
      </c>
      <c r="F121" t="s">
        <v>1182</v>
      </c>
      <c r="G121" s="44">
        <v>37.659999999999997</v>
      </c>
      <c r="H121" s="6"/>
      <c r="K121" s="3" t="str">
        <f>+K120</f>
        <v>Q423</v>
      </c>
      <c r="L121" s="6"/>
      <c r="M121" s="9">
        <f>+M120</f>
        <v>45543</v>
      </c>
    </row>
    <row r="122" spans="1:32" x14ac:dyDescent="0.25">
      <c r="A122" s="87" t="s">
        <v>333</v>
      </c>
      <c r="D122">
        <f t="shared" si="15"/>
        <v>111</v>
      </c>
      <c r="E122" s="5" t="s">
        <v>213</v>
      </c>
      <c r="F122" s="1" t="s">
        <v>214</v>
      </c>
      <c r="G122" s="3">
        <v>2.81</v>
      </c>
      <c r="H122" s="6">
        <f>+G122*L122</f>
        <v>852.87398031999999</v>
      </c>
      <c r="I122" s="6">
        <f>+[107]Main!$I$5-[107]Main!$I$6</f>
        <v>417.97200000000004</v>
      </c>
      <c r="J122" s="6">
        <f>+H122-I122</f>
        <v>434.90198031999995</v>
      </c>
      <c r="K122" s="3" t="s">
        <v>1069</v>
      </c>
      <c r="L122" s="6">
        <f>+[107]Main!$I$3</f>
        <v>303.51387199999999</v>
      </c>
      <c r="M122" s="9">
        <v>45525</v>
      </c>
    </row>
    <row r="123" spans="1:32" x14ac:dyDescent="0.25">
      <c r="A123" s="87" t="s">
        <v>333</v>
      </c>
      <c r="D123">
        <f t="shared" si="15"/>
        <v>112</v>
      </c>
      <c r="E123" s="5" t="s">
        <v>109</v>
      </c>
      <c r="F123" s="1" t="s">
        <v>110</v>
      </c>
      <c r="G123" s="7">
        <v>8.06</v>
      </c>
      <c r="H123" s="6">
        <f>+G123*L123</f>
        <v>498.37825180000004</v>
      </c>
      <c r="I123" s="6">
        <f>+[108]Main!$O$5-[108]Main!$O$6</f>
        <v>637.79299999999989</v>
      </c>
      <c r="J123" s="6">
        <f>+H123-I123</f>
        <v>-139.41474819999985</v>
      </c>
      <c r="K123" s="3" t="s">
        <v>1069</v>
      </c>
      <c r="L123" s="6">
        <f>+[108]Main!$O$3</f>
        <v>61.833530000000003</v>
      </c>
      <c r="M123" s="9">
        <v>45563</v>
      </c>
    </row>
    <row r="124" spans="1:32" x14ac:dyDescent="0.25">
      <c r="A124" s="87" t="s">
        <v>333</v>
      </c>
      <c r="B124"/>
      <c r="C124"/>
      <c r="D124">
        <f t="shared" si="15"/>
        <v>113</v>
      </c>
      <c r="E124" s="5" t="s">
        <v>762</v>
      </c>
      <c r="F124" t="s">
        <v>763</v>
      </c>
      <c r="G124" s="7">
        <v>5.96</v>
      </c>
      <c r="H124" s="6">
        <f>+G124*L124</f>
        <v>407.06799999999998</v>
      </c>
      <c r="I124" s="6">
        <f>+[109]Main!$K$5-[109]Main!$K$6</f>
        <v>437.42699999999996</v>
      </c>
      <c r="J124" s="6">
        <f>+H124-I124</f>
        <v>-30.35899999999998</v>
      </c>
      <c r="K124" s="3" t="s">
        <v>1069</v>
      </c>
      <c r="L124" s="6">
        <v>68.3</v>
      </c>
      <c r="M124" s="9">
        <v>45565</v>
      </c>
      <c r="AE124" s="1">
        <v>2015</v>
      </c>
    </row>
    <row r="125" spans="1:32" x14ac:dyDescent="0.25">
      <c r="A125" s="87" t="s">
        <v>333</v>
      </c>
      <c r="B125"/>
      <c r="C125"/>
      <c r="D125">
        <f t="shared" si="15"/>
        <v>114</v>
      </c>
      <c r="E125" s="5" t="s">
        <v>1156</v>
      </c>
      <c r="F125" t="s">
        <v>1157</v>
      </c>
      <c r="G125" s="7">
        <v>2.35</v>
      </c>
      <c r="H125" s="6">
        <f>+G125*L125</f>
        <v>585.72605314999998</v>
      </c>
      <c r="I125" s="6">
        <f>+[110]Main!$K$5-[110]Main!$K$6</f>
        <v>565.53499999999997</v>
      </c>
      <c r="J125" s="6">
        <f>+H125-I125</f>
        <v>20.191053150000016</v>
      </c>
      <c r="K125" s="3" t="s">
        <v>1069</v>
      </c>
      <c r="L125" s="6">
        <f>+[110]Main!$K$3</f>
        <v>249.24512899999999</v>
      </c>
      <c r="M125" s="9">
        <v>45505</v>
      </c>
      <c r="AE125" s="1">
        <v>2018</v>
      </c>
    </row>
    <row r="126" spans="1:32" x14ac:dyDescent="0.25">
      <c r="A126" s="87" t="s">
        <v>333</v>
      </c>
      <c r="B126"/>
      <c r="C126"/>
      <c r="D126">
        <f t="shared" si="15"/>
        <v>115</v>
      </c>
      <c r="E126" s="5" t="s">
        <v>155</v>
      </c>
      <c r="F126" s="1" t="s">
        <v>156</v>
      </c>
      <c r="G126" s="3">
        <v>4.37</v>
      </c>
      <c r="H126" s="6">
        <f>+G126*L126</f>
        <v>1287.6883748400001</v>
      </c>
      <c r="I126" s="6">
        <f>+[111]Main!$L$5-[111]Main!$L$6</f>
        <v>851.52300000000002</v>
      </c>
      <c r="J126" s="6">
        <f>+H126-I126</f>
        <v>436.16537484000003</v>
      </c>
      <c r="K126" s="3" t="s">
        <v>1069</v>
      </c>
      <c r="L126" s="6">
        <f>+[111]Main!$L$3</f>
        <v>294.66553199999998</v>
      </c>
      <c r="M126" s="9">
        <v>45536</v>
      </c>
    </row>
    <row r="127" spans="1:32" x14ac:dyDescent="0.25">
      <c r="A127" s="87" t="s">
        <v>333</v>
      </c>
      <c r="B127"/>
      <c r="C127"/>
      <c r="D127">
        <f t="shared" si="15"/>
        <v>116</v>
      </c>
      <c r="E127" t="s">
        <v>693</v>
      </c>
      <c r="F127" t="s">
        <v>694</v>
      </c>
      <c r="G127" s="7">
        <v>15.84</v>
      </c>
      <c r="H127" s="6">
        <v>3500</v>
      </c>
    </row>
    <row r="128" spans="1:32" x14ac:dyDescent="0.25">
      <c r="A128" s="87" t="s">
        <v>333</v>
      </c>
      <c r="B128"/>
      <c r="C128"/>
      <c r="D128">
        <f t="shared" si="15"/>
        <v>117</v>
      </c>
      <c r="E128" s="1" t="s">
        <v>165</v>
      </c>
      <c r="F128" s="1" t="s">
        <v>166</v>
      </c>
      <c r="G128" s="3">
        <v>33.97</v>
      </c>
      <c r="H128" s="6">
        <v>3280</v>
      </c>
    </row>
    <row r="129" spans="1:8" x14ac:dyDescent="0.25">
      <c r="A129" s="87" t="s">
        <v>333</v>
      </c>
      <c r="B129"/>
      <c r="C129"/>
      <c r="D129">
        <f t="shared" si="15"/>
        <v>118</v>
      </c>
      <c r="E129" s="1" t="s">
        <v>153</v>
      </c>
      <c r="F129" s="1" t="s">
        <v>154</v>
      </c>
      <c r="G129" s="3">
        <v>39.39</v>
      </c>
      <c r="H129" s="6">
        <v>2880</v>
      </c>
    </row>
    <row r="130" spans="1:8" x14ac:dyDescent="0.25">
      <c r="A130" s="87" t="s">
        <v>333</v>
      </c>
      <c r="B130"/>
      <c r="C130"/>
      <c r="D130">
        <f t="shared" si="15"/>
        <v>119</v>
      </c>
      <c r="E130" s="5" t="s">
        <v>161</v>
      </c>
      <c r="F130" s="1" t="s">
        <v>162</v>
      </c>
      <c r="G130" s="7">
        <v>5.88</v>
      </c>
      <c r="H130" s="6">
        <v>2230</v>
      </c>
    </row>
    <row r="131" spans="1:8" x14ac:dyDescent="0.25">
      <c r="A131"/>
      <c r="B131"/>
      <c r="C131"/>
      <c r="D131">
        <f t="shared" si="15"/>
        <v>120</v>
      </c>
      <c r="E131" s="1" t="s">
        <v>521</v>
      </c>
      <c r="F131" t="s">
        <v>123</v>
      </c>
      <c r="G131" s="3">
        <v>13.98</v>
      </c>
      <c r="H131" s="6"/>
    </row>
    <row r="132" spans="1:8" x14ac:dyDescent="0.25">
      <c r="A132" s="87" t="s">
        <v>333</v>
      </c>
      <c r="B132"/>
      <c r="C132"/>
      <c r="D132">
        <f t="shared" si="15"/>
        <v>121</v>
      </c>
      <c r="E132" t="s">
        <v>1816</v>
      </c>
      <c r="F132" t="s">
        <v>1817</v>
      </c>
      <c r="G132" s="3">
        <v>12.17</v>
      </c>
      <c r="H132" s="6"/>
    </row>
    <row r="133" spans="1:8" x14ac:dyDescent="0.25">
      <c r="A133" s="87" t="s">
        <v>333</v>
      </c>
      <c r="B133"/>
      <c r="C133"/>
      <c r="D133">
        <f t="shared" si="15"/>
        <v>122</v>
      </c>
      <c r="E133" t="s">
        <v>715</v>
      </c>
      <c r="F133" t="s">
        <v>716</v>
      </c>
      <c r="G133" s="3">
        <v>1.23</v>
      </c>
      <c r="H133" s="6">
        <v>2400</v>
      </c>
    </row>
    <row r="134" spans="1:8" x14ac:dyDescent="0.25">
      <c r="A134" s="87" t="s">
        <v>333</v>
      </c>
      <c r="B134"/>
      <c r="C134"/>
      <c r="D134">
        <f t="shared" si="15"/>
        <v>123</v>
      </c>
      <c r="E134" s="1" t="s">
        <v>172</v>
      </c>
      <c r="F134" s="1" t="s">
        <v>173</v>
      </c>
      <c r="G134" s="7">
        <v>70.53</v>
      </c>
      <c r="H134" s="6">
        <v>2150</v>
      </c>
    </row>
    <row r="135" spans="1:8" x14ac:dyDescent="0.25">
      <c r="A135" s="87" t="s">
        <v>333</v>
      </c>
      <c r="B135"/>
      <c r="C135"/>
      <c r="D135">
        <f t="shared" si="15"/>
        <v>124</v>
      </c>
      <c r="E135" s="1" t="s">
        <v>201</v>
      </c>
      <c r="F135" s="1" t="s">
        <v>202</v>
      </c>
      <c r="G135" s="7">
        <v>32.97</v>
      </c>
      <c r="H135" s="6">
        <v>2590</v>
      </c>
    </row>
    <row r="136" spans="1:8" x14ac:dyDescent="0.25">
      <c r="A136" s="87" t="s">
        <v>333</v>
      </c>
      <c r="B136"/>
      <c r="C136"/>
      <c r="D136">
        <f t="shared" si="15"/>
        <v>125</v>
      </c>
      <c r="E136" s="1" t="s">
        <v>178</v>
      </c>
      <c r="F136" s="1" t="s">
        <v>179</v>
      </c>
      <c r="G136" s="7">
        <v>51.8</v>
      </c>
      <c r="H136" s="6">
        <v>2540</v>
      </c>
    </row>
    <row r="137" spans="1:8" x14ac:dyDescent="0.25">
      <c r="A137" s="87" t="s">
        <v>333</v>
      </c>
      <c r="B137"/>
      <c r="C137"/>
      <c r="D137">
        <f t="shared" si="15"/>
        <v>126</v>
      </c>
      <c r="E137" s="1" t="s">
        <v>189</v>
      </c>
      <c r="F137" s="1" t="s">
        <v>190</v>
      </c>
      <c r="G137" s="7">
        <v>34.1</v>
      </c>
      <c r="H137" s="6">
        <v>2360</v>
      </c>
    </row>
    <row r="138" spans="1:8" x14ac:dyDescent="0.25">
      <c r="A138" s="87" t="s">
        <v>333</v>
      </c>
      <c r="B138"/>
      <c r="C138"/>
      <c r="D138">
        <f t="shared" si="15"/>
        <v>127</v>
      </c>
      <c r="E138" s="1" t="s">
        <v>209</v>
      </c>
      <c r="F138" s="1" t="s">
        <v>210</v>
      </c>
      <c r="G138" s="7">
        <v>36.700000000000003</v>
      </c>
      <c r="H138" s="6">
        <v>1990</v>
      </c>
    </row>
    <row r="139" spans="1:8" x14ac:dyDescent="0.25">
      <c r="A139" s="87" t="s">
        <v>333</v>
      </c>
      <c r="B139"/>
      <c r="C139"/>
      <c r="D139">
        <f t="shared" si="15"/>
        <v>128</v>
      </c>
      <c r="E139" t="s">
        <v>1847</v>
      </c>
      <c r="F139" s="1" t="s">
        <v>1846</v>
      </c>
      <c r="G139" s="40">
        <v>432000</v>
      </c>
      <c r="H139" s="6">
        <v>12895</v>
      </c>
    </row>
    <row r="140" spans="1:8" x14ac:dyDescent="0.25">
      <c r="A140" s="87" t="s">
        <v>333</v>
      </c>
      <c r="B140"/>
      <c r="C140"/>
      <c r="D140">
        <f t="shared" si="15"/>
        <v>129</v>
      </c>
      <c r="E140" t="s">
        <v>357</v>
      </c>
      <c r="F140" t="s">
        <v>358</v>
      </c>
      <c r="G140" s="18">
        <v>9.66</v>
      </c>
    </row>
    <row r="141" spans="1:8" x14ac:dyDescent="0.25">
      <c r="A141" s="87" t="s">
        <v>333</v>
      </c>
      <c r="B141"/>
      <c r="C141"/>
      <c r="D141">
        <f t="shared" si="15"/>
        <v>130</v>
      </c>
      <c r="E141" t="s">
        <v>355</v>
      </c>
      <c r="F141" t="s">
        <v>356</v>
      </c>
      <c r="G141" s="17">
        <v>6489.5</v>
      </c>
    </row>
    <row r="142" spans="1:8" x14ac:dyDescent="0.25">
      <c r="A142" s="87" t="s">
        <v>333</v>
      </c>
      <c r="B142"/>
      <c r="C142"/>
      <c r="D142">
        <f t="shared" si="15"/>
        <v>131</v>
      </c>
      <c r="E142" t="s">
        <v>1868</v>
      </c>
      <c r="F142" t="s">
        <v>1869</v>
      </c>
      <c r="G142" s="17">
        <v>861.2</v>
      </c>
    </row>
    <row r="143" spans="1:8" x14ac:dyDescent="0.25">
      <c r="A143" s="87" t="s">
        <v>333</v>
      </c>
      <c r="D143">
        <f t="shared" si="15"/>
        <v>132</v>
      </c>
      <c r="E143" t="s">
        <v>271</v>
      </c>
      <c r="F143" t="s">
        <v>272</v>
      </c>
    </row>
    <row r="144" spans="1:8" x14ac:dyDescent="0.25">
      <c r="A144" s="87" t="s">
        <v>333</v>
      </c>
      <c r="D144">
        <f t="shared" si="15"/>
        <v>133</v>
      </c>
      <c r="E144" t="s">
        <v>268</v>
      </c>
      <c r="F144" t="s">
        <v>269</v>
      </c>
      <c r="G144" s="16">
        <v>2547</v>
      </c>
    </row>
    <row r="145" spans="1:31" x14ac:dyDescent="0.25">
      <c r="A145" s="87" t="s">
        <v>333</v>
      </c>
      <c r="D145">
        <f t="shared" si="15"/>
        <v>134</v>
      </c>
      <c r="E145" t="s">
        <v>361</v>
      </c>
      <c r="F145" t="s">
        <v>362</v>
      </c>
      <c r="G145" s="17">
        <v>1515</v>
      </c>
    </row>
    <row r="146" spans="1:31" x14ac:dyDescent="0.25">
      <c r="A146" s="87" t="s">
        <v>333</v>
      </c>
      <c r="B146"/>
      <c r="C146"/>
      <c r="D146">
        <f t="shared" si="15"/>
        <v>135</v>
      </c>
      <c r="E146" t="s">
        <v>1055</v>
      </c>
      <c r="F146" t="s">
        <v>1056</v>
      </c>
      <c r="G146" s="54">
        <v>269.8</v>
      </c>
    </row>
    <row r="147" spans="1:31" x14ac:dyDescent="0.25">
      <c r="A147" s="87" t="s">
        <v>333</v>
      </c>
      <c r="B147"/>
      <c r="C147"/>
      <c r="D147">
        <f t="shared" si="15"/>
        <v>136</v>
      </c>
      <c r="E147" t="s">
        <v>1053</v>
      </c>
      <c r="F147" t="s">
        <v>1054</v>
      </c>
      <c r="G147" s="20">
        <v>46.22</v>
      </c>
    </row>
    <row r="148" spans="1:31" x14ac:dyDescent="0.25">
      <c r="A148"/>
      <c r="B148"/>
      <c r="C148"/>
      <c r="D148">
        <f t="shared" si="15"/>
        <v>137</v>
      </c>
      <c r="E148" t="s">
        <v>596</v>
      </c>
      <c r="F148" t="s">
        <v>597</v>
      </c>
    </row>
    <row r="149" spans="1:31" x14ac:dyDescent="0.25">
      <c r="A149" s="87" t="s">
        <v>333</v>
      </c>
      <c r="D149">
        <f t="shared" si="15"/>
        <v>138</v>
      </c>
      <c r="E149" s="1" t="s">
        <v>115</v>
      </c>
      <c r="F149" s="1" t="s">
        <v>116</v>
      </c>
      <c r="G149" s="3">
        <v>13.71</v>
      </c>
    </row>
    <row r="150" spans="1:31" x14ac:dyDescent="0.25">
      <c r="A150" s="87" t="s">
        <v>333</v>
      </c>
      <c r="B150"/>
      <c r="C150"/>
      <c r="D150">
        <f t="shared" si="15"/>
        <v>139</v>
      </c>
      <c r="E150" t="s">
        <v>1059</v>
      </c>
      <c r="F150" t="s">
        <v>1060</v>
      </c>
      <c r="G150" s="17">
        <v>958.85</v>
      </c>
      <c r="H150" s="6"/>
    </row>
    <row r="151" spans="1:31" x14ac:dyDescent="0.25">
      <c r="A151" s="87" t="s">
        <v>333</v>
      </c>
      <c r="B151"/>
      <c r="C151"/>
      <c r="D151">
        <f t="shared" si="15"/>
        <v>140</v>
      </c>
      <c r="E151" t="s">
        <v>1115</v>
      </c>
      <c r="F151" t="s">
        <v>1116</v>
      </c>
      <c r="G151" s="17">
        <v>4902.5</v>
      </c>
      <c r="H151" s="6"/>
    </row>
    <row r="152" spans="1:31" x14ac:dyDescent="0.25">
      <c r="A152" s="87" t="s">
        <v>333</v>
      </c>
      <c r="B152"/>
      <c r="C152"/>
      <c r="D152">
        <f t="shared" si="15"/>
        <v>141</v>
      </c>
      <c r="E152" t="s">
        <v>1862</v>
      </c>
      <c r="F152" t="s">
        <v>1863</v>
      </c>
      <c r="G152" s="54">
        <v>186.9</v>
      </c>
      <c r="H152" s="6"/>
    </row>
    <row r="153" spans="1:31" x14ac:dyDescent="0.25">
      <c r="A153" s="87" t="s">
        <v>333</v>
      </c>
      <c r="B153"/>
      <c r="C153"/>
      <c r="D153">
        <f t="shared" ref="D153:D184" si="16">+D152+1</f>
        <v>142</v>
      </c>
      <c r="E153" t="s">
        <v>1064</v>
      </c>
      <c r="F153" s="1" t="s">
        <v>1986</v>
      </c>
      <c r="G153" s="17">
        <v>1882.2</v>
      </c>
      <c r="H153" s="6"/>
    </row>
    <row r="154" spans="1:31" x14ac:dyDescent="0.25">
      <c r="A154" s="87" t="s">
        <v>333</v>
      </c>
      <c r="B154"/>
      <c r="C154"/>
      <c r="D154">
        <f t="shared" si="16"/>
        <v>143</v>
      </c>
      <c r="E154" t="s">
        <v>1065</v>
      </c>
      <c r="F154" s="1" t="s">
        <v>1987</v>
      </c>
      <c r="G154" s="17">
        <v>1090.4000000000001</v>
      </c>
      <c r="H154" s="6"/>
    </row>
    <row r="155" spans="1:31" x14ac:dyDescent="0.25">
      <c r="A155" s="87" t="s">
        <v>333</v>
      </c>
      <c r="B155"/>
      <c r="C155"/>
      <c r="D155">
        <f t="shared" si="16"/>
        <v>144</v>
      </c>
      <c r="E155" t="s">
        <v>1063</v>
      </c>
      <c r="F155" t="s">
        <v>1988</v>
      </c>
      <c r="G155" s="17">
        <v>3612</v>
      </c>
      <c r="H155" s="6"/>
    </row>
    <row r="156" spans="1:31" x14ac:dyDescent="0.25">
      <c r="A156" s="87" t="s">
        <v>333</v>
      </c>
      <c r="B156"/>
      <c r="C156"/>
      <c r="D156">
        <f t="shared" si="16"/>
        <v>145</v>
      </c>
      <c r="E156" t="s">
        <v>1145</v>
      </c>
      <c r="F156" s="1" t="s">
        <v>1146</v>
      </c>
      <c r="G156" s="18">
        <v>152.1</v>
      </c>
      <c r="H156" s="6"/>
    </row>
    <row r="157" spans="1:31" x14ac:dyDescent="0.25">
      <c r="A157" s="87" t="s">
        <v>333</v>
      </c>
      <c r="B157"/>
      <c r="C157"/>
      <c r="D157">
        <f t="shared" si="16"/>
        <v>146</v>
      </c>
      <c r="E157" t="s">
        <v>681</v>
      </c>
      <c r="F157" t="s">
        <v>682</v>
      </c>
      <c r="G157" s="3">
        <v>7.18</v>
      </c>
    </row>
    <row r="158" spans="1:31" x14ac:dyDescent="0.25">
      <c r="A158" s="87" t="s">
        <v>333</v>
      </c>
      <c r="B158"/>
      <c r="C158"/>
      <c r="D158">
        <f t="shared" si="16"/>
        <v>147</v>
      </c>
      <c r="E158" t="s">
        <v>306</v>
      </c>
      <c r="F158" t="s">
        <v>307</v>
      </c>
      <c r="G158" s="18">
        <v>92.9</v>
      </c>
      <c r="H158" s="6"/>
      <c r="AE158" s="1">
        <v>2011</v>
      </c>
    </row>
    <row r="159" spans="1:31" s="24" customFormat="1" ht="13" x14ac:dyDescent="0.3">
      <c r="A159" s="87" t="s">
        <v>333</v>
      </c>
      <c r="D159">
        <f t="shared" si="16"/>
        <v>148</v>
      </c>
      <c r="E159" s="24" t="s">
        <v>215</v>
      </c>
      <c r="F159" s="24" t="s">
        <v>216</v>
      </c>
      <c r="G159" s="45">
        <v>37.47</v>
      </c>
      <c r="H159" s="26">
        <v>7387</v>
      </c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43"/>
      <c r="T159" s="43"/>
      <c r="U159" s="43"/>
      <c r="V159" s="43"/>
      <c r="W159" s="43"/>
      <c r="X159" s="43"/>
      <c r="Y159" s="103"/>
      <c r="Z159" s="103"/>
      <c r="AA159" s="103"/>
      <c r="AB159" s="103"/>
      <c r="AC159" s="103"/>
      <c r="AD159" s="103"/>
    </row>
    <row r="160" spans="1:31" s="33" customFormat="1" ht="13" x14ac:dyDescent="0.3">
      <c r="A160" s="107" t="s">
        <v>333</v>
      </c>
      <c r="D160" s="33">
        <f t="shared" si="16"/>
        <v>149</v>
      </c>
      <c r="E160" s="57" t="s">
        <v>374</v>
      </c>
      <c r="F160" s="33" t="s">
        <v>375</v>
      </c>
      <c r="G160" s="34">
        <v>49</v>
      </c>
      <c r="H160" s="35">
        <f>+G160*L160</f>
        <v>3632.5077390000001</v>
      </c>
      <c r="I160" s="35">
        <f>+[112]Main!$K$5-[112]Main!$K$6</f>
        <v>461.9</v>
      </c>
      <c r="J160" s="35">
        <f t="shared" ref="J160:J165" si="17">+H160-I160</f>
        <v>3170.607739</v>
      </c>
      <c r="K160" s="58" t="s">
        <v>1276</v>
      </c>
      <c r="L160" s="35">
        <f>+[112]Main!$K$3</f>
        <v>74.132811000000004</v>
      </c>
      <c r="M160" s="59">
        <v>45733</v>
      </c>
      <c r="N160" s="58"/>
      <c r="O160" s="58"/>
      <c r="P160" s="58"/>
      <c r="Q160" s="58"/>
      <c r="R160" s="58"/>
      <c r="S160" s="60"/>
      <c r="T160" s="60"/>
      <c r="U160" s="60"/>
      <c r="V160" s="60"/>
      <c r="W160" s="60"/>
      <c r="X160" s="60"/>
      <c r="Y160" s="108"/>
      <c r="Z160" s="108"/>
      <c r="AA160" s="108"/>
      <c r="AB160" s="108"/>
      <c r="AC160" s="108"/>
      <c r="AD160" s="108"/>
    </row>
    <row r="161" spans="1:30" x14ac:dyDescent="0.25">
      <c r="A161" s="87" t="s">
        <v>333</v>
      </c>
      <c r="B161"/>
      <c r="C161"/>
      <c r="D161">
        <f t="shared" si="16"/>
        <v>150</v>
      </c>
      <c r="E161" s="5" t="s">
        <v>1814</v>
      </c>
      <c r="F161" t="s">
        <v>1815</v>
      </c>
      <c r="G161" s="7">
        <v>41.84</v>
      </c>
      <c r="H161" s="6">
        <f>+G161*L161</f>
        <v>1605.7011275200002</v>
      </c>
      <c r="I161" s="6">
        <f>+[113]Main!$J$5-[113]Main!$J$6</f>
        <v>219.55499999999998</v>
      </c>
      <c r="J161" s="6">
        <f t="shared" si="17"/>
        <v>1386.1461275200002</v>
      </c>
      <c r="K161" s="3" t="s">
        <v>1276</v>
      </c>
      <c r="L161" s="6">
        <f>+[113]Main!$J$3</f>
        <v>38.377178000000001</v>
      </c>
      <c r="M161" s="9">
        <v>45749</v>
      </c>
    </row>
    <row r="162" spans="1:30" x14ac:dyDescent="0.25">
      <c r="A162" s="87" t="s">
        <v>333</v>
      </c>
      <c r="B162"/>
      <c r="C162"/>
      <c r="D162">
        <f>+D173+1</f>
        <v>162</v>
      </c>
      <c r="E162" s="5" t="s">
        <v>1067</v>
      </c>
      <c r="F162" t="s">
        <v>1068</v>
      </c>
      <c r="G162" s="7">
        <v>21.99</v>
      </c>
      <c r="H162" s="6">
        <f>+G162*L162</f>
        <v>2468.8321872299998</v>
      </c>
      <c r="I162" s="6">
        <f>[114]Main!$I$5-[114]Main!$I$6</f>
        <v>748.42</v>
      </c>
      <c r="J162" s="6">
        <f t="shared" si="17"/>
        <v>1720.4121872299997</v>
      </c>
      <c r="K162" s="3" t="s">
        <v>1842</v>
      </c>
      <c r="L162" s="6">
        <f>[114]Main!$I$3</f>
        <v>112.27067700000001</v>
      </c>
      <c r="M162" s="9">
        <v>45824</v>
      </c>
    </row>
    <row r="163" spans="1:30" x14ac:dyDescent="0.25">
      <c r="A163" s="87" t="s">
        <v>333</v>
      </c>
      <c r="B163"/>
      <c r="C163"/>
      <c r="D163">
        <f>+D161+1</f>
        <v>151</v>
      </c>
      <c r="E163" s="5" t="s">
        <v>511</v>
      </c>
      <c r="F163" t="s">
        <v>512</v>
      </c>
      <c r="G163" s="3">
        <v>5.94</v>
      </c>
      <c r="H163" s="6">
        <f>G163*L163</f>
        <v>328.40411472</v>
      </c>
      <c r="I163" s="6">
        <f>[115]Main!$L$5-[115]Main!$L$6</f>
        <v>578</v>
      </c>
      <c r="J163" s="6">
        <f t="shared" si="17"/>
        <v>-249.59588528</v>
      </c>
      <c r="K163" s="3" t="s">
        <v>648</v>
      </c>
      <c r="L163" s="6">
        <f>[115]Main!$L$3</f>
        <v>55.286887999999998</v>
      </c>
      <c r="M163" s="9">
        <v>45064</v>
      </c>
    </row>
    <row r="164" spans="1:30" x14ac:dyDescent="0.25">
      <c r="A164" s="87" t="s">
        <v>333</v>
      </c>
      <c r="B164"/>
      <c r="C164"/>
      <c r="D164">
        <f t="shared" si="16"/>
        <v>152</v>
      </c>
      <c r="E164" s="5" t="s">
        <v>781</v>
      </c>
      <c r="F164" t="s">
        <v>782</v>
      </c>
      <c r="G164" s="7">
        <v>7.96</v>
      </c>
      <c r="H164" s="6">
        <f>G164*L164</f>
        <v>534.72149332000004</v>
      </c>
      <c r="I164" s="6">
        <f>[116]Main!$O$5-[116]Main!$O$6</f>
        <v>345.67399999999998</v>
      </c>
      <c r="J164" s="6">
        <f t="shared" si="17"/>
        <v>189.04749332000006</v>
      </c>
      <c r="K164" s="3" t="s">
        <v>648</v>
      </c>
      <c r="L164" s="6">
        <f>[116]Main!$O$3</f>
        <v>67.176067000000003</v>
      </c>
      <c r="M164" s="9">
        <v>45067</v>
      </c>
    </row>
    <row r="165" spans="1:30" x14ac:dyDescent="0.25">
      <c r="A165" s="87" t="s">
        <v>333</v>
      </c>
      <c r="B165">
        <v>4</v>
      </c>
      <c r="C165">
        <v>3</v>
      </c>
      <c r="D165">
        <f t="shared" si="16"/>
        <v>153</v>
      </c>
      <c r="E165" s="5" t="s">
        <v>182</v>
      </c>
      <c r="F165" s="1" t="s">
        <v>183</v>
      </c>
      <c r="G165" s="3">
        <v>7.68</v>
      </c>
      <c r="H165" s="6">
        <f>+G165*L165</f>
        <v>560.57387519999997</v>
      </c>
      <c r="I165" s="6">
        <f>+[117]Main!$O$5-[117]Main!$O$6</f>
        <v>953.8</v>
      </c>
      <c r="J165" s="6">
        <f t="shared" si="17"/>
        <v>-393.22612479999998</v>
      </c>
      <c r="K165" s="3" t="s">
        <v>1275</v>
      </c>
      <c r="L165" s="6">
        <f>+[117]Main!$O$3</f>
        <v>72.991389999999996</v>
      </c>
      <c r="M165" s="9">
        <v>45684</v>
      </c>
    </row>
    <row r="166" spans="1:30" s="33" customFormat="1" ht="13" x14ac:dyDescent="0.3">
      <c r="A166" s="107" t="s">
        <v>333</v>
      </c>
      <c r="D166" s="33">
        <f t="shared" si="16"/>
        <v>154</v>
      </c>
      <c r="E166" s="57" t="s">
        <v>180</v>
      </c>
      <c r="F166" s="33" t="s">
        <v>181</v>
      </c>
      <c r="G166" s="34">
        <v>7.28</v>
      </c>
      <c r="H166" s="35">
        <f>G166*L166</f>
        <v>434.74418623999998</v>
      </c>
      <c r="I166" s="35">
        <f>[118]Main!$K$5-[118]Main!$K$6</f>
        <v>1272.4940000000001</v>
      </c>
      <c r="J166" s="35">
        <f>H166-I166</f>
        <v>-837.74981376000017</v>
      </c>
      <c r="K166" s="58" t="s">
        <v>516</v>
      </c>
      <c r="L166" s="35">
        <f>[118]Main!$K$3</f>
        <v>59.717607999999998</v>
      </c>
      <c r="M166" s="59">
        <v>44999</v>
      </c>
      <c r="N166" s="58"/>
      <c r="O166" s="58"/>
      <c r="P166" s="58"/>
      <c r="Q166" s="58"/>
      <c r="R166" s="58"/>
      <c r="S166" s="60"/>
      <c r="T166" s="60"/>
      <c r="U166" s="60"/>
      <c r="V166" s="60"/>
      <c r="W166" s="60"/>
      <c r="X166" s="60"/>
      <c r="Y166" s="108"/>
      <c r="Z166" s="108"/>
      <c r="AA166" s="108"/>
      <c r="AB166" s="108"/>
      <c r="AC166" s="108"/>
      <c r="AD166" s="108"/>
    </row>
    <row r="167" spans="1:30" x14ac:dyDescent="0.25">
      <c r="A167"/>
      <c r="B167"/>
      <c r="C167"/>
      <c r="D167">
        <f t="shared" si="16"/>
        <v>155</v>
      </c>
      <c r="E167" s="5" t="s">
        <v>140</v>
      </c>
      <c r="F167" t="s">
        <v>1175</v>
      </c>
      <c r="G167" s="14">
        <v>6.81</v>
      </c>
      <c r="H167" s="6"/>
    </row>
    <row r="168" spans="1:30" x14ac:dyDescent="0.25">
      <c r="A168"/>
      <c r="B168"/>
      <c r="C168"/>
      <c r="D168">
        <f t="shared" si="16"/>
        <v>156</v>
      </c>
      <c r="E168" s="5" t="s">
        <v>140</v>
      </c>
      <c r="F168" t="s">
        <v>141</v>
      </c>
      <c r="G168" s="7">
        <v>3.85</v>
      </c>
      <c r="H168" s="6"/>
    </row>
    <row r="169" spans="1:30" x14ac:dyDescent="0.25">
      <c r="A169" s="87" t="s">
        <v>333</v>
      </c>
      <c r="B169"/>
      <c r="C169"/>
      <c r="D169">
        <f t="shared" si="16"/>
        <v>157</v>
      </c>
      <c r="E169" t="s">
        <v>1119</v>
      </c>
      <c r="F169" t="s">
        <v>1120</v>
      </c>
      <c r="G169" s="7">
        <v>115</v>
      </c>
      <c r="H169" s="6"/>
    </row>
    <row r="170" spans="1:30" x14ac:dyDescent="0.25">
      <c r="A170" s="87" t="s">
        <v>333</v>
      </c>
      <c r="B170"/>
      <c r="C170"/>
      <c r="D170">
        <f t="shared" si="16"/>
        <v>158</v>
      </c>
      <c r="E170" s="5" t="s">
        <v>1843</v>
      </c>
      <c r="F170" t="s">
        <v>1844</v>
      </c>
      <c r="G170" s="3">
        <v>15.26</v>
      </c>
      <c r="H170" s="6">
        <v>1700</v>
      </c>
    </row>
    <row r="171" spans="1:30" x14ac:dyDescent="0.25">
      <c r="A171" s="87" t="s">
        <v>333</v>
      </c>
      <c r="D171">
        <f t="shared" si="16"/>
        <v>159</v>
      </c>
      <c r="E171" t="s">
        <v>1121</v>
      </c>
      <c r="F171" t="s">
        <v>1122</v>
      </c>
      <c r="G171" s="6">
        <v>10370</v>
      </c>
    </row>
    <row r="172" spans="1:30" x14ac:dyDescent="0.25">
      <c r="A172" s="87" t="s">
        <v>333</v>
      </c>
      <c r="B172"/>
      <c r="C172"/>
      <c r="D172">
        <f t="shared" si="16"/>
        <v>160</v>
      </c>
      <c r="E172" s="1" t="s">
        <v>783</v>
      </c>
      <c r="F172" s="1" t="s">
        <v>169</v>
      </c>
      <c r="G172" s="3">
        <v>22.66</v>
      </c>
      <c r="H172" s="6">
        <v>1770</v>
      </c>
    </row>
    <row r="173" spans="1:30" x14ac:dyDescent="0.25">
      <c r="A173" s="87" t="s">
        <v>333</v>
      </c>
      <c r="B173"/>
      <c r="C173"/>
      <c r="D173">
        <f t="shared" si="16"/>
        <v>161</v>
      </c>
      <c r="E173" t="s">
        <v>376</v>
      </c>
      <c r="F173" t="s">
        <v>377</v>
      </c>
      <c r="G173" s="7">
        <v>44.34</v>
      </c>
    </row>
    <row r="174" spans="1:30" x14ac:dyDescent="0.25">
      <c r="A174" s="87" t="s">
        <v>333</v>
      </c>
      <c r="B174"/>
      <c r="C174"/>
      <c r="D174">
        <f>+D162+1</f>
        <v>163</v>
      </c>
      <c r="E174" t="s">
        <v>725</v>
      </c>
      <c r="F174" s="1" t="s">
        <v>1989</v>
      </c>
      <c r="G174" s="17">
        <v>114.35</v>
      </c>
      <c r="H174" s="6"/>
    </row>
    <row r="175" spans="1:30" x14ac:dyDescent="0.25">
      <c r="A175" s="87" t="s">
        <v>333</v>
      </c>
      <c r="B175"/>
      <c r="C175"/>
      <c r="D175">
        <f t="shared" si="16"/>
        <v>164</v>
      </c>
      <c r="E175" s="1" t="s">
        <v>176</v>
      </c>
      <c r="F175" s="1" t="s">
        <v>177</v>
      </c>
      <c r="G175" s="3">
        <v>3.69</v>
      </c>
      <c r="H175" s="6">
        <v>1720</v>
      </c>
    </row>
    <row r="176" spans="1:30" ht="13" x14ac:dyDescent="0.3">
      <c r="A176" s="87" t="s">
        <v>333</v>
      </c>
      <c r="D176">
        <f t="shared" si="16"/>
        <v>165</v>
      </c>
      <c r="E176" s="24" t="s">
        <v>622</v>
      </c>
      <c r="F176" s="24" t="s">
        <v>623</v>
      </c>
      <c r="G176" s="25">
        <v>12.29</v>
      </c>
      <c r="H176" s="26"/>
    </row>
    <row r="177" spans="1:30" x14ac:dyDescent="0.25">
      <c r="A177" s="87" t="s">
        <v>333</v>
      </c>
      <c r="B177"/>
      <c r="C177"/>
      <c r="D177">
        <f t="shared" si="16"/>
        <v>166</v>
      </c>
      <c r="E177" t="s">
        <v>764</v>
      </c>
      <c r="F177" t="s">
        <v>765</v>
      </c>
      <c r="G177" s="7">
        <v>5.16</v>
      </c>
      <c r="H177" s="6"/>
    </row>
    <row r="178" spans="1:30" x14ac:dyDescent="0.25">
      <c r="A178" s="87" t="s">
        <v>333</v>
      </c>
      <c r="D178">
        <f t="shared" si="16"/>
        <v>167</v>
      </c>
      <c r="E178" t="s">
        <v>1421</v>
      </c>
      <c r="F178" t="s">
        <v>1422</v>
      </c>
      <c r="G178" s="7">
        <v>1.58</v>
      </c>
    </row>
    <row r="179" spans="1:30" x14ac:dyDescent="0.25">
      <c r="A179" s="87" t="s">
        <v>333</v>
      </c>
      <c r="D179">
        <f t="shared" si="16"/>
        <v>168</v>
      </c>
      <c r="E179" t="s">
        <v>1897</v>
      </c>
      <c r="F179" t="s">
        <v>1898</v>
      </c>
      <c r="G179" s="20">
        <v>66.75</v>
      </c>
    </row>
    <row r="180" spans="1:30" x14ac:dyDescent="0.25">
      <c r="A180" s="87" t="s">
        <v>333</v>
      </c>
      <c r="B180"/>
      <c r="C180"/>
      <c r="D180">
        <f t="shared" si="16"/>
        <v>169</v>
      </c>
      <c r="E180" t="s">
        <v>779</v>
      </c>
      <c r="F180" t="s">
        <v>780</v>
      </c>
      <c r="G180" s="54">
        <v>333.9</v>
      </c>
      <c r="H180" s="6"/>
    </row>
    <row r="181" spans="1:30" x14ac:dyDescent="0.25">
      <c r="A181" s="87" t="s">
        <v>333</v>
      </c>
      <c r="B181"/>
      <c r="C181"/>
      <c r="D181">
        <f t="shared" si="16"/>
        <v>170</v>
      </c>
      <c r="E181" t="s">
        <v>778</v>
      </c>
      <c r="F181" t="s">
        <v>1990</v>
      </c>
      <c r="G181" s="17">
        <v>2074.9</v>
      </c>
      <c r="H181" s="6"/>
    </row>
    <row r="182" spans="1:30" x14ac:dyDescent="0.25">
      <c r="A182" s="87" t="s">
        <v>333</v>
      </c>
      <c r="B182"/>
      <c r="C182"/>
      <c r="D182">
        <f t="shared" si="16"/>
        <v>171</v>
      </c>
      <c r="E182" s="1" t="s">
        <v>159</v>
      </c>
      <c r="F182" s="1" t="s">
        <v>160</v>
      </c>
      <c r="G182" s="7">
        <v>5.47</v>
      </c>
      <c r="H182" s="6">
        <v>1100</v>
      </c>
    </row>
    <row r="183" spans="1:30" x14ac:dyDescent="0.25">
      <c r="A183" s="87" t="s">
        <v>333</v>
      </c>
      <c r="B183"/>
      <c r="C183"/>
      <c r="D183">
        <f t="shared" si="16"/>
        <v>172</v>
      </c>
      <c r="E183" t="s">
        <v>776</v>
      </c>
      <c r="F183" t="s">
        <v>777</v>
      </c>
      <c r="G183" s="18">
        <v>20.46</v>
      </c>
      <c r="H183" s="6"/>
    </row>
    <row r="184" spans="1:30" x14ac:dyDescent="0.25">
      <c r="A184" s="87" t="s">
        <v>333</v>
      </c>
      <c r="B184"/>
      <c r="C184"/>
      <c r="D184">
        <f t="shared" si="16"/>
        <v>173</v>
      </c>
      <c r="E184" t="s">
        <v>437</v>
      </c>
      <c r="F184" t="s">
        <v>438</v>
      </c>
      <c r="G184" s="3">
        <v>8.2799999999999994</v>
      </c>
      <c r="H184" s="6">
        <v>1000</v>
      </c>
    </row>
    <row r="185" spans="1:30" x14ac:dyDescent="0.25">
      <c r="A185" s="87" t="s">
        <v>333</v>
      </c>
      <c r="D185">
        <f t="shared" ref="D185:D248" si="18">+D184+1</f>
        <v>174</v>
      </c>
      <c r="E185" s="1" t="s">
        <v>103</v>
      </c>
      <c r="F185" s="1" t="s">
        <v>104</v>
      </c>
      <c r="G185" s="3">
        <v>16.13</v>
      </c>
    </row>
    <row r="186" spans="1:30" x14ac:dyDescent="0.25">
      <c r="A186" s="87" t="s">
        <v>333</v>
      </c>
      <c r="B186"/>
      <c r="C186"/>
      <c r="D186">
        <f t="shared" si="18"/>
        <v>175</v>
      </c>
      <c r="E186" s="1" t="s">
        <v>107</v>
      </c>
      <c r="F186" s="1" t="s">
        <v>108</v>
      </c>
      <c r="G186" s="3">
        <v>5.07</v>
      </c>
    </row>
    <row r="187" spans="1:30" x14ac:dyDescent="0.25">
      <c r="A187" s="87" t="s">
        <v>333</v>
      </c>
      <c r="B187"/>
      <c r="C187"/>
      <c r="D187">
        <f t="shared" si="18"/>
        <v>176</v>
      </c>
      <c r="E187" t="s">
        <v>768</v>
      </c>
      <c r="F187" t="s">
        <v>769</v>
      </c>
      <c r="G187" s="3">
        <v>66.650000000000006</v>
      </c>
      <c r="H187" s="6"/>
    </row>
    <row r="188" spans="1:30" s="24" customFormat="1" ht="13" x14ac:dyDescent="0.3">
      <c r="A188" s="87" t="s">
        <v>333</v>
      </c>
      <c r="D188">
        <f t="shared" si="18"/>
        <v>177</v>
      </c>
      <c r="E188" s="24" t="s">
        <v>766</v>
      </c>
      <c r="F188" s="24" t="s">
        <v>767</v>
      </c>
      <c r="G188" s="45">
        <v>32.9</v>
      </c>
      <c r="H188" s="26">
        <v>800</v>
      </c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43"/>
      <c r="T188" s="43"/>
      <c r="U188" s="43"/>
      <c r="V188" s="43"/>
      <c r="W188" s="43"/>
      <c r="X188" s="43"/>
      <c r="Y188" s="103"/>
      <c r="Z188" s="103"/>
      <c r="AA188" s="103"/>
      <c r="AB188" s="103"/>
      <c r="AC188" s="103"/>
      <c r="AD188" s="103"/>
    </row>
    <row r="189" spans="1:30" x14ac:dyDescent="0.25">
      <c r="A189" s="87" t="s">
        <v>333</v>
      </c>
      <c r="B189"/>
      <c r="C189"/>
      <c r="D189">
        <f t="shared" si="18"/>
        <v>178</v>
      </c>
      <c r="E189" s="1" t="s">
        <v>170</v>
      </c>
      <c r="F189" s="1" t="s">
        <v>171</v>
      </c>
      <c r="G189" s="7">
        <v>1.1000000000000001</v>
      </c>
      <c r="H189" s="6">
        <v>991</v>
      </c>
    </row>
    <row r="190" spans="1:30" x14ac:dyDescent="0.25">
      <c r="A190" s="87" t="s">
        <v>333</v>
      </c>
      <c r="B190"/>
      <c r="C190"/>
      <c r="D190">
        <f t="shared" si="18"/>
        <v>179</v>
      </c>
      <c r="E190" t="s">
        <v>719</v>
      </c>
      <c r="F190" t="s">
        <v>720</v>
      </c>
      <c r="G190" s="3">
        <v>4.28</v>
      </c>
      <c r="H190" s="6"/>
    </row>
    <row r="191" spans="1:30" x14ac:dyDescent="0.25">
      <c r="A191" s="87" t="s">
        <v>333</v>
      </c>
      <c r="B191"/>
      <c r="C191"/>
      <c r="D191">
        <f t="shared" si="18"/>
        <v>180</v>
      </c>
      <c r="E191" t="s">
        <v>717</v>
      </c>
      <c r="F191" t="s">
        <v>718</v>
      </c>
      <c r="H191" s="6"/>
    </row>
    <row r="192" spans="1:30" s="24" customFormat="1" ht="13" x14ac:dyDescent="0.3">
      <c r="D192">
        <f t="shared" si="18"/>
        <v>181</v>
      </c>
      <c r="E192" s="24" t="s">
        <v>1183</v>
      </c>
      <c r="F192" s="24" t="s">
        <v>1184</v>
      </c>
      <c r="G192" s="45">
        <v>105.36</v>
      </c>
      <c r="H192" s="26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43"/>
      <c r="T192" s="43"/>
      <c r="U192" s="43"/>
      <c r="V192" s="43"/>
      <c r="W192" s="43"/>
      <c r="X192" s="43"/>
      <c r="Y192" s="103"/>
      <c r="Z192" s="103"/>
      <c r="AA192" s="103"/>
      <c r="AB192" s="103"/>
      <c r="AC192" s="103"/>
      <c r="AD192" s="103"/>
    </row>
    <row r="193" spans="1:13" x14ac:dyDescent="0.25">
      <c r="A193" s="87" t="s">
        <v>333</v>
      </c>
      <c r="B193"/>
      <c r="C193"/>
      <c r="D193">
        <f t="shared" si="18"/>
        <v>182</v>
      </c>
      <c r="E193" t="s">
        <v>795</v>
      </c>
      <c r="F193" t="s">
        <v>796</v>
      </c>
      <c r="G193" s="3">
        <v>6.41</v>
      </c>
      <c r="H193" s="6"/>
    </row>
    <row r="194" spans="1:13" x14ac:dyDescent="0.25">
      <c r="A194" s="87" t="s">
        <v>333</v>
      </c>
      <c r="B194"/>
      <c r="C194"/>
      <c r="D194">
        <f t="shared" si="18"/>
        <v>183</v>
      </c>
      <c r="E194" t="s">
        <v>1860</v>
      </c>
      <c r="F194" t="s">
        <v>1861</v>
      </c>
      <c r="G194" s="7">
        <v>498.5</v>
      </c>
      <c r="H194" s="6"/>
    </row>
    <row r="195" spans="1:13" x14ac:dyDescent="0.25">
      <c r="A195" s="87" t="s">
        <v>333</v>
      </c>
      <c r="B195"/>
      <c r="C195"/>
      <c r="D195">
        <f t="shared" si="18"/>
        <v>184</v>
      </c>
      <c r="E195" t="s">
        <v>1852</v>
      </c>
      <c r="F195" t="s">
        <v>1853</v>
      </c>
      <c r="G195" s="14">
        <v>198</v>
      </c>
      <c r="H195" s="6"/>
    </row>
    <row r="196" spans="1:13" x14ac:dyDescent="0.25">
      <c r="A196" s="87" t="s">
        <v>333</v>
      </c>
      <c r="B196"/>
      <c r="C196"/>
      <c r="D196">
        <f t="shared" si="18"/>
        <v>185</v>
      </c>
      <c r="E196" t="s">
        <v>793</v>
      </c>
      <c r="F196" t="s">
        <v>794</v>
      </c>
      <c r="G196" s="3">
        <v>31.18</v>
      </c>
      <c r="H196" s="6"/>
    </row>
    <row r="197" spans="1:13" x14ac:dyDescent="0.25">
      <c r="A197" s="87" t="s">
        <v>333</v>
      </c>
      <c r="B197"/>
      <c r="C197"/>
      <c r="D197">
        <f t="shared" si="18"/>
        <v>186</v>
      </c>
      <c r="E197" t="s">
        <v>1891</v>
      </c>
      <c r="F197" t="s">
        <v>1892</v>
      </c>
      <c r="G197" s="3">
        <v>10.58</v>
      </c>
      <c r="H197" s="6"/>
    </row>
    <row r="198" spans="1:13" x14ac:dyDescent="0.25">
      <c r="A198" s="87" t="s">
        <v>333</v>
      </c>
      <c r="B198"/>
      <c r="C198"/>
      <c r="D198">
        <f t="shared" si="18"/>
        <v>187</v>
      </c>
      <c r="E198" t="s">
        <v>792</v>
      </c>
      <c r="F198" t="s">
        <v>791</v>
      </c>
      <c r="G198" s="3">
        <v>11.63</v>
      </c>
      <c r="H198" s="6"/>
    </row>
    <row r="199" spans="1:13" x14ac:dyDescent="0.25">
      <c r="A199" s="87" t="s">
        <v>333</v>
      </c>
      <c r="B199"/>
      <c r="C199"/>
      <c r="D199">
        <f t="shared" si="18"/>
        <v>188</v>
      </c>
      <c r="E199" t="s">
        <v>789</v>
      </c>
      <c r="F199" t="s">
        <v>790</v>
      </c>
      <c r="G199" s="3">
        <v>18.420000000000002</v>
      </c>
      <c r="H199" s="6"/>
    </row>
    <row r="200" spans="1:13" x14ac:dyDescent="0.25">
      <c r="A200" s="87" t="s">
        <v>333</v>
      </c>
      <c r="B200"/>
      <c r="C200"/>
      <c r="D200">
        <f t="shared" si="18"/>
        <v>189</v>
      </c>
      <c r="E200" s="5" t="s">
        <v>770</v>
      </c>
      <c r="F200" t="s">
        <v>771</v>
      </c>
      <c r="G200" s="7">
        <v>86.35</v>
      </c>
      <c r="H200" s="6">
        <f>+G200*L200</f>
        <v>5493.7141071999995</v>
      </c>
      <c r="I200" s="6">
        <f>+[119]Main!$K$5-[119]Main!$K$6</f>
        <v>206.554</v>
      </c>
      <c r="J200" s="6">
        <f>+H200-I200</f>
        <v>5287.1601071999994</v>
      </c>
      <c r="K200" s="3" t="s">
        <v>1842</v>
      </c>
      <c r="L200" s="6">
        <f>+[119]Main!$K$3</f>
        <v>63.621471999999997</v>
      </c>
      <c r="M200" s="9">
        <v>45810</v>
      </c>
    </row>
    <row r="201" spans="1:13" x14ac:dyDescent="0.25">
      <c r="A201" s="87" t="s">
        <v>333</v>
      </c>
      <c r="B201"/>
      <c r="C201"/>
      <c r="D201">
        <f t="shared" si="18"/>
        <v>190</v>
      </c>
      <c r="E201" s="1" t="s">
        <v>193</v>
      </c>
      <c r="F201" s="1" t="s">
        <v>194</v>
      </c>
      <c r="G201" s="7">
        <v>1.1299999999999999</v>
      </c>
      <c r="H201" s="6">
        <v>821</v>
      </c>
    </row>
    <row r="202" spans="1:13" x14ac:dyDescent="0.25">
      <c r="A202" s="87" t="s">
        <v>333</v>
      </c>
      <c r="B202"/>
      <c r="C202"/>
      <c r="D202">
        <f t="shared" si="18"/>
        <v>191</v>
      </c>
      <c r="E202" t="s">
        <v>303</v>
      </c>
      <c r="F202" t="s">
        <v>304</v>
      </c>
      <c r="G202" s="3">
        <v>4.09</v>
      </c>
      <c r="H202" s="6">
        <v>630</v>
      </c>
    </row>
    <row r="203" spans="1:13" x14ac:dyDescent="0.25">
      <c r="A203" s="87" t="s">
        <v>333</v>
      </c>
      <c r="B203"/>
      <c r="C203"/>
      <c r="D203">
        <f t="shared" si="18"/>
        <v>192</v>
      </c>
      <c r="E203" t="s">
        <v>705</v>
      </c>
      <c r="F203" t="s">
        <v>706</v>
      </c>
      <c r="G203" s="3">
        <v>21.72</v>
      </c>
      <c r="H203" s="6"/>
    </row>
    <row r="204" spans="1:13" x14ac:dyDescent="0.25">
      <c r="A204" s="87" t="s">
        <v>333</v>
      </c>
      <c r="B204"/>
      <c r="C204"/>
      <c r="D204">
        <f t="shared" si="18"/>
        <v>193</v>
      </c>
      <c r="E204" s="1" t="s">
        <v>199</v>
      </c>
      <c r="F204" s="1" t="s">
        <v>200</v>
      </c>
      <c r="G204" s="3">
        <v>11.44</v>
      </c>
      <c r="H204" s="6">
        <v>590</v>
      </c>
    </row>
    <row r="205" spans="1:13" x14ac:dyDescent="0.25">
      <c r="A205" s="87" t="s">
        <v>333</v>
      </c>
      <c r="B205"/>
      <c r="C205"/>
      <c r="D205">
        <f t="shared" si="18"/>
        <v>194</v>
      </c>
      <c r="E205" t="s">
        <v>290</v>
      </c>
      <c r="F205" t="s">
        <v>291</v>
      </c>
      <c r="G205" s="18">
        <v>67</v>
      </c>
      <c r="H205" s="6">
        <f>4406/HKD</f>
        <v>564.87179487179492</v>
      </c>
    </row>
    <row r="206" spans="1:13" x14ac:dyDescent="0.25">
      <c r="A206" s="87" t="s">
        <v>333</v>
      </c>
      <c r="B206"/>
      <c r="C206"/>
      <c r="D206">
        <f t="shared" si="18"/>
        <v>195</v>
      </c>
      <c r="E206" s="1" t="s">
        <v>1854</v>
      </c>
      <c r="F206" t="s">
        <v>1855</v>
      </c>
      <c r="G206" s="40">
        <v>112600</v>
      </c>
      <c r="H206" s="6"/>
      <c r="I206" s="6"/>
      <c r="J206" s="6"/>
      <c r="L206" s="6"/>
      <c r="M206" s="9"/>
    </row>
    <row r="207" spans="1:13" x14ac:dyDescent="0.25">
      <c r="A207" s="87" t="s">
        <v>333</v>
      </c>
      <c r="B207"/>
      <c r="C207"/>
      <c r="D207">
        <f t="shared" si="18"/>
        <v>196</v>
      </c>
      <c r="E207" t="s">
        <v>1856</v>
      </c>
      <c r="F207" t="s">
        <v>1857</v>
      </c>
      <c r="G207" s="18">
        <v>57.55</v>
      </c>
      <c r="H207" s="6"/>
      <c r="I207" s="6"/>
      <c r="J207" s="6"/>
      <c r="L207" s="6"/>
      <c r="M207" s="9"/>
    </row>
    <row r="208" spans="1:13" x14ac:dyDescent="0.25">
      <c r="A208" s="87" t="s">
        <v>333</v>
      </c>
      <c r="B208"/>
      <c r="C208"/>
      <c r="D208">
        <f t="shared" si="18"/>
        <v>197</v>
      </c>
      <c r="E208" t="s">
        <v>1858</v>
      </c>
      <c r="F208" t="s">
        <v>1859</v>
      </c>
      <c r="G208" s="14">
        <v>394</v>
      </c>
      <c r="H208" s="6"/>
      <c r="I208" s="6"/>
      <c r="J208" s="6"/>
      <c r="L208" s="6"/>
      <c r="M208" s="9"/>
    </row>
    <row r="209" spans="1:18" x14ac:dyDescent="0.25">
      <c r="A209" s="87" t="s">
        <v>333</v>
      </c>
      <c r="B209"/>
      <c r="C209"/>
      <c r="D209">
        <f t="shared" si="18"/>
        <v>198</v>
      </c>
      <c r="E209" t="s">
        <v>509</v>
      </c>
      <c r="F209" t="s">
        <v>510</v>
      </c>
      <c r="G209" s="7">
        <v>1.45</v>
      </c>
      <c r="H209" s="6">
        <v>439</v>
      </c>
    </row>
    <row r="210" spans="1:18" x14ac:dyDescent="0.25">
      <c r="A210" s="87" t="s">
        <v>333</v>
      </c>
      <c r="B210"/>
      <c r="C210"/>
      <c r="D210">
        <f t="shared" si="18"/>
        <v>199</v>
      </c>
      <c r="E210" s="1" t="s">
        <v>207</v>
      </c>
      <c r="F210" s="1" t="s">
        <v>208</v>
      </c>
      <c r="G210" s="3">
        <v>6.03</v>
      </c>
      <c r="H210" s="6">
        <v>548</v>
      </c>
    </row>
    <row r="211" spans="1:18" x14ac:dyDescent="0.25">
      <c r="A211"/>
      <c r="B211"/>
      <c r="C211"/>
      <c r="D211">
        <f t="shared" si="18"/>
        <v>200</v>
      </c>
      <c r="E211" s="5" t="s">
        <v>1979</v>
      </c>
      <c r="F211" t="s">
        <v>1980</v>
      </c>
      <c r="G211" s="7">
        <v>67.680000000000007</v>
      </c>
      <c r="H211" s="6">
        <f>+G211*L211</f>
        <v>2066.8374230400004</v>
      </c>
      <c r="I211" s="6">
        <f>+[120]Sheet1!$M$5-[120]Sheet1!$M$6</f>
        <v>145.149</v>
      </c>
      <c r="J211" s="6">
        <f>+H211-I211</f>
        <v>1921.6884230400005</v>
      </c>
      <c r="K211" s="3" t="s">
        <v>1276</v>
      </c>
      <c r="L211" s="6">
        <f>+[120]Sheet1!$M$3</f>
        <v>30.538378000000002</v>
      </c>
      <c r="M211" s="9">
        <v>45824</v>
      </c>
    </row>
    <row r="212" spans="1:18" x14ac:dyDescent="0.25">
      <c r="A212" s="87" t="s">
        <v>333</v>
      </c>
      <c r="B212"/>
      <c r="C212"/>
      <c r="D212">
        <f t="shared" si="18"/>
        <v>201</v>
      </c>
      <c r="E212" s="5" t="s">
        <v>703</v>
      </c>
      <c r="F212" t="s">
        <v>704</v>
      </c>
      <c r="G212" s="7">
        <v>43.44</v>
      </c>
      <c r="H212" s="6">
        <f>+G212*L212</f>
        <v>2828.7940339199999</v>
      </c>
      <c r="I212" s="6">
        <f>+[121]Main!$L$5-[121]Main!$L$6</f>
        <v>775.48500000000001</v>
      </c>
      <c r="J212" s="6">
        <f>+H212-I212</f>
        <v>2053.3090339199998</v>
      </c>
      <c r="K212" s="3" t="s">
        <v>1275</v>
      </c>
      <c r="L212" s="6">
        <f>+[121]Main!$L$3</f>
        <v>65.119568000000001</v>
      </c>
      <c r="M212" s="9">
        <v>45632</v>
      </c>
    </row>
    <row r="213" spans="1:18" x14ac:dyDescent="0.25">
      <c r="A213" s="87" t="s">
        <v>333</v>
      </c>
      <c r="B213"/>
      <c r="C213"/>
      <c r="D213">
        <f t="shared" si="18"/>
        <v>202</v>
      </c>
      <c r="E213" s="5" t="s">
        <v>297</v>
      </c>
      <c r="F213" t="s">
        <v>298</v>
      </c>
      <c r="G213" s="7">
        <v>6.61</v>
      </c>
      <c r="H213" s="6">
        <f>+G213*[122]Main!$L$3</f>
        <v>479.66368586999999</v>
      </c>
      <c r="I213" s="6">
        <f>+[122]Main!$L$5-[122]Main!$L$6</f>
        <v>153.25991400000001</v>
      </c>
      <c r="J213" s="6">
        <f>+H213-I213</f>
        <v>326.40377187000001</v>
      </c>
      <c r="K213" s="3" t="s">
        <v>16</v>
      </c>
      <c r="M213" s="9">
        <v>44771</v>
      </c>
      <c r="N213" s="9"/>
      <c r="O213" s="9"/>
      <c r="P213" s="9"/>
      <c r="Q213" s="9"/>
      <c r="R213" s="9"/>
    </row>
    <row r="214" spans="1:18" x14ac:dyDescent="0.25">
      <c r="A214" s="87" t="s">
        <v>333</v>
      </c>
      <c r="B214"/>
      <c r="C214"/>
      <c r="D214">
        <f t="shared" si="18"/>
        <v>203</v>
      </c>
      <c r="E214" s="1" t="s">
        <v>1883</v>
      </c>
      <c r="F214" t="s">
        <v>1884</v>
      </c>
      <c r="G214" s="17">
        <v>382.4</v>
      </c>
      <c r="H214" s="6"/>
      <c r="I214" s="6"/>
      <c r="J214" s="6"/>
      <c r="L214" s="6"/>
      <c r="M214" s="9"/>
    </row>
    <row r="215" spans="1:18" x14ac:dyDescent="0.25">
      <c r="A215" s="87" t="s">
        <v>333</v>
      </c>
      <c r="B215"/>
      <c r="C215"/>
      <c r="D215">
        <f t="shared" si="18"/>
        <v>204</v>
      </c>
      <c r="E215" t="s">
        <v>1899</v>
      </c>
      <c r="F215" t="s">
        <v>1991</v>
      </c>
      <c r="G215" s="17">
        <v>1442.15</v>
      </c>
      <c r="H215" s="6"/>
      <c r="I215" s="6"/>
      <c r="J215" s="6"/>
      <c r="L215" s="6"/>
      <c r="M215" s="9"/>
    </row>
    <row r="216" spans="1:18" x14ac:dyDescent="0.25">
      <c r="A216" s="87" t="s">
        <v>333</v>
      </c>
      <c r="B216"/>
      <c r="C216"/>
      <c r="D216">
        <f t="shared" si="18"/>
        <v>205</v>
      </c>
      <c r="E216" t="s">
        <v>1917</v>
      </c>
      <c r="F216" t="s">
        <v>1918</v>
      </c>
      <c r="G216" s="7">
        <v>12.29</v>
      </c>
      <c r="H216" s="6"/>
      <c r="I216" s="6"/>
      <c r="J216" s="6"/>
      <c r="L216" s="6"/>
      <c r="M216" s="9"/>
    </row>
    <row r="217" spans="1:18" x14ac:dyDescent="0.25">
      <c r="A217" s="87" t="s">
        <v>333</v>
      </c>
      <c r="B217"/>
      <c r="C217"/>
      <c r="D217">
        <f t="shared" si="18"/>
        <v>206</v>
      </c>
      <c r="E217" t="s">
        <v>1919</v>
      </c>
      <c r="F217" t="s">
        <v>1920</v>
      </c>
      <c r="G217" s="7">
        <v>7.38</v>
      </c>
      <c r="H217" s="6"/>
      <c r="I217" s="6"/>
      <c r="J217" s="6"/>
      <c r="L217" s="6"/>
      <c r="M217" s="9"/>
    </row>
    <row r="218" spans="1:18" x14ac:dyDescent="0.25">
      <c r="A218" s="87" t="s">
        <v>333</v>
      </c>
      <c r="B218"/>
      <c r="C218"/>
      <c r="D218">
        <f t="shared" si="18"/>
        <v>207</v>
      </c>
      <c r="E218" t="s">
        <v>1921</v>
      </c>
      <c r="F218" t="s">
        <v>1922</v>
      </c>
      <c r="G218" s="7">
        <v>6.63</v>
      </c>
      <c r="H218" s="6"/>
      <c r="I218" s="6"/>
      <c r="J218" s="6"/>
      <c r="L218" s="6"/>
      <c r="M218" s="9"/>
    </row>
    <row r="219" spans="1:18" x14ac:dyDescent="0.25">
      <c r="A219" s="87" t="s">
        <v>333</v>
      </c>
      <c r="B219"/>
      <c r="C219"/>
      <c r="D219">
        <f t="shared" si="18"/>
        <v>208</v>
      </c>
      <c r="E219" t="s">
        <v>1923</v>
      </c>
      <c r="F219" t="s">
        <v>1924</v>
      </c>
      <c r="G219" s="7">
        <v>25.8</v>
      </c>
      <c r="H219" s="6"/>
      <c r="I219" s="6"/>
      <c r="J219" s="6"/>
      <c r="L219" s="6"/>
      <c r="M219" s="9"/>
    </row>
    <row r="220" spans="1:18" x14ac:dyDescent="0.25">
      <c r="A220" s="87" t="s">
        <v>333</v>
      </c>
      <c r="B220"/>
      <c r="C220"/>
      <c r="D220">
        <f t="shared" si="18"/>
        <v>209</v>
      </c>
      <c r="E220" t="s">
        <v>1942</v>
      </c>
      <c r="F220" t="s">
        <v>1943</v>
      </c>
      <c r="G220" s="7">
        <v>5.94</v>
      </c>
      <c r="H220" s="6"/>
      <c r="I220" s="6"/>
      <c r="J220" s="6"/>
      <c r="L220" s="6"/>
      <c r="M220" s="9"/>
    </row>
    <row r="221" spans="1:18" x14ac:dyDescent="0.25">
      <c r="A221" s="87" t="s">
        <v>333</v>
      </c>
      <c r="B221"/>
      <c r="C221"/>
      <c r="D221">
        <f t="shared" si="18"/>
        <v>210</v>
      </c>
      <c r="E221" t="s">
        <v>1944</v>
      </c>
      <c r="F221" t="s">
        <v>1945</v>
      </c>
      <c r="G221" s="7">
        <v>2.52</v>
      </c>
      <c r="H221" s="6"/>
      <c r="I221" s="6"/>
      <c r="J221" s="6"/>
      <c r="L221" s="6"/>
      <c r="M221" s="9"/>
    </row>
    <row r="222" spans="1:18" x14ac:dyDescent="0.25">
      <c r="A222" s="87" t="s">
        <v>333</v>
      </c>
      <c r="B222"/>
      <c r="C222"/>
      <c r="D222">
        <f t="shared" si="18"/>
        <v>211</v>
      </c>
      <c r="E222" t="s">
        <v>1946</v>
      </c>
      <c r="F222" t="s">
        <v>1947</v>
      </c>
      <c r="G222" s="7">
        <v>4.0599999999999996</v>
      </c>
      <c r="H222" s="6"/>
      <c r="I222" s="6"/>
      <c r="J222" s="6"/>
      <c r="L222" s="6"/>
      <c r="M222" s="9"/>
    </row>
    <row r="223" spans="1:18" x14ac:dyDescent="0.25">
      <c r="A223" s="87" t="s">
        <v>333</v>
      </c>
      <c r="B223"/>
      <c r="C223"/>
      <c r="D223">
        <f t="shared" si="18"/>
        <v>212</v>
      </c>
      <c r="E223" t="s">
        <v>1948</v>
      </c>
      <c r="F223" t="s">
        <v>1949</v>
      </c>
      <c r="G223" s="7">
        <v>4.42</v>
      </c>
      <c r="H223" s="6"/>
      <c r="I223" s="6"/>
      <c r="J223" s="6"/>
      <c r="L223" s="6"/>
      <c r="M223" s="9"/>
    </row>
    <row r="224" spans="1:18" x14ac:dyDescent="0.25">
      <c r="A224" s="87" t="s">
        <v>333</v>
      </c>
      <c r="B224"/>
      <c r="C224"/>
      <c r="D224">
        <f t="shared" si="18"/>
        <v>213</v>
      </c>
      <c r="E224" t="s">
        <v>1950</v>
      </c>
      <c r="F224" t="s">
        <v>1951</v>
      </c>
      <c r="G224" s="7">
        <v>4.7699999999999996</v>
      </c>
      <c r="H224" s="6"/>
      <c r="I224" s="6"/>
      <c r="J224" s="6"/>
      <c r="L224" s="6"/>
      <c r="M224" s="9"/>
    </row>
    <row r="225" spans="1:31" x14ac:dyDescent="0.25">
      <c r="A225" s="87" t="s">
        <v>333</v>
      </c>
      <c r="D225">
        <f t="shared" si="18"/>
        <v>214</v>
      </c>
      <c r="E225" t="s">
        <v>1966</v>
      </c>
      <c r="F225" t="s">
        <v>1967</v>
      </c>
      <c r="G225" s="3">
        <v>3.07</v>
      </c>
      <c r="H225" s="6"/>
    </row>
    <row r="226" spans="1:31" x14ac:dyDescent="0.25">
      <c r="A226" s="87" t="s">
        <v>333</v>
      </c>
      <c r="D226">
        <f t="shared" si="18"/>
        <v>215</v>
      </c>
      <c r="E226" t="s">
        <v>1965</v>
      </c>
      <c r="F226" t="s">
        <v>1964</v>
      </c>
      <c r="G226" s="3">
        <v>7.18</v>
      </c>
      <c r="H226" s="6"/>
    </row>
    <row r="227" spans="1:31" x14ac:dyDescent="0.25">
      <c r="A227" s="87" t="s">
        <v>333</v>
      </c>
      <c r="B227"/>
      <c r="C227"/>
      <c r="D227">
        <f t="shared" si="18"/>
        <v>216</v>
      </c>
      <c r="E227" s="5" t="s">
        <v>754</v>
      </c>
      <c r="F227" t="s">
        <v>755</v>
      </c>
      <c r="G227" s="7">
        <v>6.82</v>
      </c>
      <c r="H227" s="6">
        <f>+G227*L227</f>
        <v>691.23428000000001</v>
      </c>
      <c r="I227" s="6">
        <f>+[123]Main!$K$5-[123]Main!$K$6</f>
        <v>531</v>
      </c>
      <c r="J227" s="6">
        <f>+H227-I227</f>
        <v>160.23428000000001</v>
      </c>
      <c r="K227" s="3" t="s">
        <v>1276</v>
      </c>
      <c r="L227" s="6">
        <f>+[123]Main!$K$3</f>
        <v>101.354</v>
      </c>
      <c r="M227" s="9">
        <v>45792</v>
      </c>
    </row>
    <row r="228" spans="1:31" x14ac:dyDescent="0.25">
      <c r="A228" s="87" t="s">
        <v>333</v>
      </c>
      <c r="B228"/>
      <c r="C228"/>
      <c r="D228">
        <f t="shared" si="18"/>
        <v>217</v>
      </c>
      <c r="E228" s="5" t="s">
        <v>1194</v>
      </c>
      <c r="F228" t="s">
        <v>1195</v>
      </c>
      <c r="G228" s="3">
        <v>4.2300000000000004</v>
      </c>
      <c r="H228" s="6">
        <f t="shared" ref="H228:H231" si="19">+G228*L228</f>
        <v>264.59191863000007</v>
      </c>
      <c r="I228" s="6">
        <f>+[124]Main!$K$5-[124]Main!$K$6</f>
        <v>62.650000000000006</v>
      </c>
      <c r="J228" s="6">
        <f t="shared" ref="J228:J231" si="20">+H228-I228</f>
        <v>201.94191863000006</v>
      </c>
      <c r="K228" s="3" t="s">
        <v>1069</v>
      </c>
      <c r="L228" s="6">
        <f>+[124]Main!$K$3</f>
        <v>62.551281000000003</v>
      </c>
      <c r="M228" s="9">
        <v>45569</v>
      </c>
      <c r="AE228" s="1">
        <v>2014</v>
      </c>
    </row>
    <row r="229" spans="1:31" x14ac:dyDescent="0.25">
      <c r="A229" s="87" t="s">
        <v>333</v>
      </c>
      <c r="B229">
        <v>6</v>
      </c>
      <c r="C229">
        <v>1</v>
      </c>
      <c r="D229">
        <f t="shared" si="18"/>
        <v>218</v>
      </c>
      <c r="E229" s="5" t="s">
        <v>784</v>
      </c>
      <c r="F229" t="s">
        <v>785</v>
      </c>
      <c r="G229" s="3">
        <v>10.33</v>
      </c>
      <c r="H229" s="6">
        <f t="shared" si="19"/>
        <v>1168.5436178100001</v>
      </c>
      <c r="I229" s="6">
        <f>+[125]Main!$K$5-[125]Main!$K$6</f>
        <v>642.26800000000003</v>
      </c>
      <c r="J229" s="6">
        <f t="shared" si="20"/>
        <v>526.27561781000009</v>
      </c>
      <c r="K229" s="3" t="s">
        <v>1276</v>
      </c>
      <c r="L229" s="6">
        <f>+[125]Main!$K$3</f>
        <v>113.121357</v>
      </c>
      <c r="M229" s="9">
        <v>45751</v>
      </c>
    </row>
    <row r="230" spans="1:31" x14ac:dyDescent="0.25">
      <c r="A230" s="87" t="s">
        <v>333</v>
      </c>
      <c r="B230"/>
      <c r="C230"/>
      <c r="D230">
        <f t="shared" si="18"/>
        <v>219</v>
      </c>
      <c r="E230" s="5" t="s">
        <v>1192</v>
      </c>
      <c r="F230" t="s">
        <v>1193</v>
      </c>
      <c r="G230" s="7">
        <v>2.14</v>
      </c>
      <c r="H230" s="6">
        <f t="shared" si="19"/>
        <v>484.12633426000002</v>
      </c>
      <c r="I230" s="6">
        <f>+[126]Main!$K$5-[126]Main!$K$6</f>
        <v>157.43700000000001</v>
      </c>
      <c r="J230" s="6">
        <f t="shared" si="20"/>
        <v>326.68933426000001</v>
      </c>
      <c r="K230" s="3" t="s">
        <v>1069</v>
      </c>
      <c r="L230" s="6">
        <f>+[126]Main!$K$3</f>
        <v>226.227259</v>
      </c>
      <c r="M230" s="9">
        <v>45569</v>
      </c>
    </row>
    <row r="231" spans="1:31" x14ac:dyDescent="0.25">
      <c r="A231" s="87" t="s">
        <v>333</v>
      </c>
      <c r="B231"/>
      <c r="C231"/>
      <c r="D231">
        <f t="shared" si="18"/>
        <v>220</v>
      </c>
      <c r="E231" s="5" t="s">
        <v>1179</v>
      </c>
      <c r="F231" t="s">
        <v>1180</v>
      </c>
      <c r="G231" s="7">
        <v>1.66</v>
      </c>
      <c r="H231" s="6">
        <f t="shared" si="19"/>
        <v>116.83408514</v>
      </c>
      <c r="I231" s="6">
        <f>+[127]Main!$L$5-[127]Main!$L$6</f>
        <v>10.994</v>
      </c>
      <c r="J231" s="6">
        <f t="shared" si="20"/>
        <v>105.84008514</v>
      </c>
      <c r="K231" s="3" t="s">
        <v>1069</v>
      </c>
      <c r="L231" s="6">
        <f>+[127]Main!$L$3</f>
        <v>70.381979000000001</v>
      </c>
      <c r="M231" s="9">
        <v>45562</v>
      </c>
    </row>
    <row r="232" spans="1:31" x14ac:dyDescent="0.25">
      <c r="A232" s="87" t="s">
        <v>333</v>
      </c>
      <c r="B232"/>
      <c r="C232"/>
      <c r="D232">
        <f t="shared" si="18"/>
        <v>221</v>
      </c>
      <c r="E232" s="5" t="s">
        <v>726</v>
      </c>
      <c r="F232" t="s">
        <v>727</v>
      </c>
      <c r="G232" s="7">
        <v>14.6</v>
      </c>
      <c r="H232" s="6">
        <f>+G232*L232</f>
        <v>591.40817140000001</v>
      </c>
      <c r="I232" s="6">
        <f>+[128]Main!$L$5-[128]Main!$L$6</f>
        <v>732.13299999999992</v>
      </c>
      <c r="J232" s="6">
        <f>+H232-I232</f>
        <v>-140.72482859999991</v>
      </c>
      <c r="K232" s="3" t="s">
        <v>1842</v>
      </c>
      <c r="L232" s="6">
        <f>+[128]Main!$L$3</f>
        <v>40.507409000000003</v>
      </c>
      <c r="M232" s="9">
        <v>45792</v>
      </c>
    </row>
    <row r="233" spans="1:31" s="24" customFormat="1" ht="13" x14ac:dyDescent="0.3">
      <c r="A233" s="87" t="s">
        <v>333</v>
      </c>
      <c r="D233">
        <f t="shared" si="18"/>
        <v>222</v>
      </c>
      <c r="E233" s="24" t="s">
        <v>301</v>
      </c>
      <c r="F233" s="24" t="s">
        <v>302</v>
      </c>
      <c r="G233" s="25">
        <v>3.63</v>
      </c>
      <c r="H233" s="26">
        <v>516</v>
      </c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43"/>
      <c r="T233" s="43"/>
      <c r="U233" s="43"/>
      <c r="V233" s="43"/>
      <c r="W233" s="43"/>
      <c r="X233" s="43"/>
      <c r="Y233" s="103"/>
      <c r="Z233" s="103"/>
      <c r="AA233" s="103"/>
      <c r="AB233" s="103"/>
      <c r="AC233" s="103"/>
      <c r="AD233" s="103"/>
    </row>
    <row r="234" spans="1:31" x14ac:dyDescent="0.25">
      <c r="A234" s="87" t="s">
        <v>333</v>
      </c>
      <c r="B234"/>
      <c r="C234"/>
      <c r="D234">
        <f t="shared" si="18"/>
        <v>223</v>
      </c>
      <c r="E234" s="1" t="s">
        <v>217</v>
      </c>
      <c r="F234" s="1" t="s">
        <v>218</v>
      </c>
      <c r="G234" s="3">
        <v>11.79</v>
      </c>
      <c r="H234" s="3">
        <v>547</v>
      </c>
    </row>
    <row r="235" spans="1:31" x14ac:dyDescent="0.25">
      <c r="A235" s="87" t="s">
        <v>333</v>
      </c>
      <c r="B235"/>
      <c r="C235"/>
      <c r="D235">
        <f t="shared" si="18"/>
        <v>224</v>
      </c>
      <c r="E235" s="1" t="s">
        <v>1895</v>
      </c>
      <c r="F235" t="s">
        <v>1896</v>
      </c>
      <c r="G235" s="3">
        <v>13.37</v>
      </c>
    </row>
    <row r="236" spans="1:31" x14ac:dyDescent="0.25">
      <c r="A236" s="87" t="s">
        <v>333</v>
      </c>
      <c r="B236"/>
      <c r="C236"/>
      <c r="D236">
        <f t="shared" si="18"/>
        <v>225</v>
      </c>
      <c r="E236" t="s">
        <v>760</v>
      </c>
      <c r="F236" t="s">
        <v>761</v>
      </c>
      <c r="G236" s="16">
        <v>3165</v>
      </c>
    </row>
    <row r="237" spans="1:31" x14ac:dyDescent="0.25">
      <c r="A237" s="87" t="s">
        <v>333</v>
      </c>
      <c r="B237"/>
      <c r="C237"/>
      <c r="D237">
        <f t="shared" si="18"/>
        <v>226</v>
      </c>
      <c r="E237" t="s">
        <v>758</v>
      </c>
      <c r="F237" t="s">
        <v>759</v>
      </c>
      <c r="G237" s="7">
        <v>51.92</v>
      </c>
    </row>
    <row r="238" spans="1:31" s="33" customFormat="1" ht="13" x14ac:dyDescent="0.3">
      <c r="A238" s="107" t="s">
        <v>333</v>
      </c>
      <c r="D238" s="33">
        <f t="shared" si="18"/>
        <v>227</v>
      </c>
      <c r="E238" s="33" t="s">
        <v>756</v>
      </c>
      <c r="F238" s="33" t="s">
        <v>757</v>
      </c>
      <c r="G238" s="34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60"/>
      <c r="T238" s="60"/>
      <c r="U238" s="60"/>
      <c r="V238" s="60"/>
      <c r="W238" s="60"/>
      <c r="X238" s="60"/>
      <c r="Y238" s="108"/>
      <c r="Z238" s="108"/>
      <c r="AA238" s="108"/>
      <c r="AB238" s="108"/>
      <c r="AC238" s="108"/>
      <c r="AD238" s="108"/>
    </row>
    <row r="239" spans="1:31" x14ac:dyDescent="0.25">
      <c r="A239" s="87" t="s">
        <v>333</v>
      </c>
      <c r="B239"/>
      <c r="C239"/>
      <c r="D239">
        <f t="shared" si="18"/>
        <v>228</v>
      </c>
      <c r="E239" t="s">
        <v>1864</v>
      </c>
      <c r="F239" t="s">
        <v>1865</v>
      </c>
      <c r="G239" s="40">
        <v>47850</v>
      </c>
    </row>
    <row r="240" spans="1:31" x14ac:dyDescent="0.25">
      <c r="A240" s="87" t="s">
        <v>333</v>
      </c>
      <c r="B240"/>
      <c r="C240"/>
      <c r="D240">
        <f t="shared" si="18"/>
        <v>229</v>
      </c>
      <c r="E240" t="s">
        <v>1170</v>
      </c>
      <c r="F240" t="s">
        <v>1171</v>
      </c>
      <c r="G240" s="7">
        <v>2.79</v>
      </c>
    </row>
    <row r="241" spans="1:13" x14ac:dyDescent="0.25">
      <c r="A241" s="87" t="s">
        <v>333</v>
      </c>
      <c r="B241"/>
      <c r="C241"/>
      <c r="D241">
        <f t="shared" si="18"/>
        <v>230</v>
      </c>
      <c r="E241" t="s">
        <v>1870</v>
      </c>
      <c r="F241" t="s">
        <v>1871</v>
      </c>
      <c r="G241" s="7"/>
    </row>
    <row r="242" spans="1:13" x14ac:dyDescent="0.25">
      <c r="A242" s="87" t="s">
        <v>333</v>
      </c>
      <c r="B242"/>
      <c r="C242"/>
      <c r="D242">
        <f t="shared" si="18"/>
        <v>231</v>
      </c>
      <c r="E242" t="s">
        <v>1036</v>
      </c>
      <c r="F242" t="s">
        <v>1872</v>
      </c>
      <c r="G242" s="7">
        <v>34.65</v>
      </c>
    </row>
    <row r="243" spans="1:13" x14ac:dyDescent="0.25">
      <c r="A243" s="87" t="s">
        <v>333</v>
      </c>
      <c r="B243"/>
      <c r="C243"/>
      <c r="D243">
        <f t="shared" si="18"/>
        <v>232</v>
      </c>
      <c r="E243" t="s">
        <v>752</v>
      </c>
      <c r="F243" t="s">
        <v>753</v>
      </c>
      <c r="G243" s="7">
        <v>14.14</v>
      </c>
      <c r="H243" s="3">
        <v>270</v>
      </c>
    </row>
    <row r="244" spans="1:13" x14ac:dyDescent="0.25">
      <c r="A244" s="87" t="s">
        <v>333</v>
      </c>
      <c r="B244"/>
      <c r="C244"/>
      <c r="D244">
        <f t="shared" si="18"/>
        <v>233</v>
      </c>
      <c r="E244" s="1" t="s">
        <v>221</v>
      </c>
      <c r="F244" s="1" t="s">
        <v>222</v>
      </c>
      <c r="G244" s="7">
        <v>6.68</v>
      </c>
      <c r="H244" s="6">
        <v>508</v>
      </c>
    </row>
    <row r="245" spans="1:13" x14ac:dyDescent="0.25">
      <c r="A245" s="87" t="s">
        <v>333</v>
      </c>
      <c r="B245"/>
      <c r="C245"/>
      <c r="D245">
        <f t="shared" si="18"/>
        <v>234</v>
      </c>
      <c r="E245" s="1" t="s">
        <v>225</v>
      </c>
      <c r="F245" s="1" t="s">
        <v>226</v>
      </c>
      <c r="G245" s="3">
        <v>11.19</v>
      </c>
      <c r="H245" s="6">
        <v>1240</v>
      </c>
    </row>
    <row r="246" spans="1:13" x14ac:dyDescent="0.25">
      <c r="A246" s="87" t="s">
        <v>333</v>
      </c>
      <c r="B246"/>
      <c r="C246"/>
      <c r="D246">
        <f t="shared" si="18"/>
        <v>235</v>
      </c>
      <c r="E246" t="s">
        <v>713</v>
      </c>
      <c r="F246" t="s">
        <v>714</v>
      </c>
      <c r="G246" s="3">
        <v>35.03</v>
      </c>
      <c r="H246" s="6"/>
    </row>
    <row r="247" spans="1:13" x14ac:dyDescent="0.25">
      <c r="A247" s="87" t="s">
        <v>333</v>
      </c>
      <c r="B247"/>
      <c r="C247"/>
      <c r="D247">
        <f t="shared" si="18"/>
        <v>236</v>
      </c>
      <c r="E247" t="s">
        <v>709</v>
      </c>
      <c r="F247" t="s">
        <v>710</v>
      </c>
      <c r="G247" s="3">
        <v>9.35</v>
      </c>
    </row>
    <row r="248" spans="1:13" x14ac:dyDescent="0.25">
      <c r="A248" s="87" t="s">
        <v>333</v>
      </c>
      <c r="B248"/>
      <c r="C248"/>
      <c r="D248">
        <f t="shared" si="18"/>
        <v>237</v>
      </c>
      <c r="E248" s="1" t="s">
        <v>227</v>
      </c>
      <c r="F248" s="1" t="s">
        <v>228</v>
      </c>
      <c r="G248" s="7">
        <v>1.68</v>
      </c>
      <c r="H248" s="3">
        <v>107</v>
      </c>
    </row>
    <row r="249" spans="1:13" x14ac:dyDescent="0.25">
      <c r="A249" s="87" t="s">
        <v>333</v>
      </c>
      <c r="B249"/>
      <c r="C249"/>
      <c r="D249">
        <f t="shared" ref="D249:D313" si="21">+D248+1</f>
        <v>238</v>
      </c>
      <c r="E249" s="1" t="s">
        <v>229</v>
      </c>
      <c r="F249" s="1" t="s">
        <v>230</v>
      </c>
      <c r="G249" s="3">
        <v>5.12</v>
      </c>
      <c r="H249" s="3">
        <v>457</v>
      </c>
    </row>
    <row r="250" spans="1:13" x14ac:dyDescent="0.25">
      <c r="A250" s="87" t="s">
        <v>333</v>
      </c>
      <c r="D250">
        <f t="shared" si="21"/>
        <v>239</v>
      </c>
      <c r="E250" s="5" t="s">
        <v>1425</v>
      </c>
      <c r="F250" t="s">
        <v>1426</v>
      </c>
      <c r="G250" s="7">
        <v>1.67</v>
      </c>
    </row>
    <row r="251" spans="1:13" x14ac:dyDescent="0.25">
      <c r="A251" s="87" t="s">
        <v>333</v>
      </c>
      <c r="B251"/>
      <c r="C251"/>
      <c r="D251">
        <f t="shared" si="21"/>
        <v>240</v>
      </c>
      <c r="E251" s="5" t="s">
        <v>819</v>
      </c>
      <c r="F251" t="s">
        <v>820</v>
      </c>
      <c r="G251" s="7">
        <v>89</v>
      </c>
      <c r="H251" s="6">
        <f>+G251*L251</f>
        <v>1930.300708</v>
      </c>
      <c r="I251" s="6">
        <f>+[129]Main!$L$5-[129]Main!$L$6</f>
        <v>-403.76499999999999</v>
      </c>
      <c r="J251" s="6">
        <f t="shared" ref="J251:J256" si="22">+H251-I251</f>
        <v>2334.0657080000001</v>
      </c>
      <c r="K251" s="3" t="s">
        <v>1995</v>
      </c>
      <c r="L251" s="6">
        <f>+[129]Main!$L$3</f>
        <v>21.688772</v>
      </c>
      <c r="M251" s="9">
        <v>45887</v>
      </c>
    </row>
    <row r="252" spans="1:13" x14ac:dyDescent="0.25">
      <c r="A252" s="87" t="s">
        <v>333</v>
      </c>
      <c r="B252"/>
      <c r="C252"/>
      <c r="D252">
        <f t="shared" si="21"/>
        <v>241</v>
      </c>
      <c r="E252" s="5" t="s">
        <v>1822</v>
      </c>
      <c r="F252" t="s">
        <v>1823</v>
      </c>
      <c r="G252" s="7">
        <v>37.75</v>
      </c>
      <c r="H252" s="6">
        <f>+G252*L252</f>
        <v>2249.7644397499998</v>
      </c>
      <c r="I252" s="6">
        <f>+[130]Main!$L$5-[130]Main!$L$6</f>
        <v>621.18900000000008</v>
      </c>
      <c r="J252" s="6">
        <f t="shared" si="22"/>
        <v>1628.5754397499998</v>
      </c>
      <c r="K252" s="3" t="s">
        <v>1276</v>
      </c>
      <c r="L252" s="6">
        <f>+[130]Main!$L$3</f>
        <v>59.596409000000001</v>
      </c>
      <c r="M252" s="9">
        <v>45733</v>
      </c>
    </row>
    <row r="253" spans="1:13" x14ac:dyDescent="0.25">
      <c r="A253" s="87" t="s">
        <v>333</v>
      </c>
      <c r="B253"/>
      <c r="C253"/>
      <c r="D253">
        <f t="shared" si="21"/>
        <v>242</v>
      </c>
      <c r="E253" s="5" t="s">
        <v>869</v>
      </c>
      <c r="F253" t="s">
        <v>870</v>
      </c>
      <c r="G253" s="7">
        <v>5.56</v>
      </c>
      <c r="H253" s="6">
        <f>+G253*L253</f>
        <v>855.90715059999991</v>
      </c>
      <c r="I253" s="6">
        <f>+[131]Main!$L$5-[131]Main!$L$6</f>
        <v>-160.48700000000002</v>
      </c>
      <c r="J253" s="6">
        <f t="shared" si="22"/>
        <v>1016.3941505999999</v>
      </c>
      <c r="K253" s="3" t="s">
        <v>1276</v>
      </c>
      <c r="L253" s="6">
        <f>+[131]Main!$L$3</f>
        <v>153.940135</v>
      </c>
      <c r="M253" s="9">
        <v>45743</v>
      </c>
    </row>
    <row r="254" spans="1:13" x14ac:dyDescent="0.25">
      <c r="A254" s="87" t="s">
        <v>333</v>
      </c>
      <c r="D254">
        <f t="shared" si="21"/>
        <v>243</v>
      </c>
      <c r="E254" s="5" t="s">
        <v>422</v>
      </c>
      <c r="F254" t="s">
        <v>423</v>
      </c>
      <c r="G254" s="3">
        <v>17.02</v>
      </c>
      <c r="H254" s="6">
        <f>+G254*L254</f>
        <v>1348.2009539399999</v>
      </c>
      <c r="I254" s="6">
        <f>+[132]Main!$N$5-[132]Main!$N$6</f>
        <v>732.71699999999998</v>
      </c>
      <c r="J254" s="6">
        <f t="shared" si="22"/>
        <v>615.48395393999988</v>
      </c>
      <c r="K254" s="3" t="s">
        <v>1275</v>
      </c>
      <c r="L254" s="6">
        <f>+[132]Main!$N$3</f>
        <v>79.212746999999993</v>
      </c>
      <c r="M254" s="9">
        <v>45636</v>
      </c>
    </row>
    <row r="255" spans="1:13" x14ac:dyDescent="0.25">
      <c r="A255" s="87" t="s">
        <v>333</v>
      </c>
      <c r="B255" s="1">
        <v>7</v>
      </c>
      <c r="C255" s="1">
        <v>4</v>
      </c>
      <c r="D255">
        <f t="shared" si="21"/>
        <v>244</v>
      </c>
      <c r="E255" s="5" t="s">
        <v>799</v>
      </c>
      <c r="F255" t="s">
        <v>1807</v>
      </c>
      <c r="G255" s="3">
        <v>12.13</v>
      </c>
      <c r="H255" s="6">
        <f>+G255*L255/10</f>
        <v>952.82484299999999</v>
      </c>
      <c r="I255" s="6">
        <f>+[133]Main!$M$5-[133]Main!$M$6</f>
        <v>87</v>
      </c>
      <c r="J255" s="6">
        <f t="shared" si="22"/>
        <v>865.82484299999999</v>
      </c>
      <c r="K255" s="3" t="s">
        <v>1275</v>
      </c>
      <c r="L255" s="6">
        <f>+[133]Main!$M$3</f>
        <v>785.51099999999997</v>
      </c>
      <c r="M255" s="9">
        <v>45749</v>
      </c>
    </row>
    <row r="256" spans="1:13" x14ac:dyDescent="0.25">
      <c r="A256" s="87" t="s">
        <v>333</v>
      </c>
      <c r="B256"/>
      <c r="C256"/>
      <c r="D256">
        <f t="shared" si="21"/>
        <v>245</v>
      </c>
      <c r="E256" s="5" t="s">
        <v>231</v>
      </c>
      <c r="F256" s="1" t="s">
        <v>232</v>
      </c>
      <c r="G256" s="3">
        <v>21.99</v>
      </c>
      <c r="H256" s="6">
        <v>725.62786605999997</v>
      </c>
      <c r="I256" s="6">
        <v>197.79600000000002</v>
      </c>
      <c r="J256" s="8">
        <f t="shared" si="22"/>
        <v>527.83186605999992</v>
      </c>
      <c r="K256" s="3" t="s">
        <v>16</v>
      </c>
    </row>
    <row r="257" spans="1:31" x14ac:dyDescent="0.25">
      <c r="A257" s="87" t="s">
        <v>333</v>
      </c>
      <c r="B257"/>
      <c r="C257"/>
      <c r="D257">
        <f t="shared" si="21"/>
        <v>246</v>
      </c>
      <c r="E257" s="5" t="s">
        <v>350</v>
      </c>
      <c r="F257" s="1" t="s">
        <v>351</v>
      </c>
      <c r="G257" s="7">
        <v>0.28000000000000003</v>
      </c>
      <c r="H257" s="6">
        <f>+G257*L257</f>
        <v>227.00171872000001</v>
      </c>
      <c r="I257" s="6">
        <f>+[134]Main!$K$5-[134]Main!$K$6</f>
        <v>-37.984000000000002</v>
      </c>
      <c r="J257" s="8">
        <f t="shared" ref="J257" si="23">+H257-I257</f>
        <v>264.98571872000002</v>
      </c>
      <c r="K257" s="3" t="s">
        <v>300</v>
      </c>
      <c r="L257" s="6">
        <f>+[134]Main!$K$3</f>
        <v>810.72042399999998</v>
      </c>
      <c r="M257" s="9">
        <v>44816</v>
      </c>
      <c r="AE257" s="1">
        <v>2002</v>
      </c>
    </row>
    <row r="258" spans="1:31" x14ac:dyDescent="0.25">
      <c r="A258" s="100" t="s">
        <v>333</v>
      </c>
      <c r="D258">
        <f t="shared" si="21"/>
        <v>247</v>
      </c>
      <c r="E258" s="5" t="s">
        <v>1304</v>
      </c>
      <c r="F258" t="s">
        <v>1185</v>
      </c>
      <c r="G258" s="7">
        <v>2.39</v>
      </c>
      <c r="H258" s="6">
        <f>+G258*L258</f>
        <v>305.54221270000005</v>
      </c>
      <c r="I258" s="6">
        <f>+[135]Main!$J$5-[135]Main!$J$6</f>
        <v>115.78</v>
      </c>
      <c r="J258" s="8">
        <f t="shared" ref="J258" si="24">+H258-I258</f>
        <v>189.76221270000005</v>
      </c>
      <c r="K258" s="3" t="s">
        <v>1069</v>
      </c>
      <c r="L258" s="6">
        <f>+[135]Main!$J$3</f>
        <v>127.84193</v>
      </c>
    </row>
    <row r="259" spans="1:31" x14ac:dyDescent="0.25">
      <c r="A259" s="87" t="s">
        <v>333</v>
      </c>
      <c r="D259">
        <f t="shared" si="21"/>
        <v>248</v>
      </c>
      <c r="E259" s="5" t="s">
        <v>992</v>
      </c>
      <c r="F259" t="s">
        <v>1983</v>
      </c>
      <c r="G259" s="3">
        <v>5.01</v>
      </c>
      <c r="H259" s="6">
        <f>+G259*L259</f>
        <v>445.91222435999998</v>
      </c>
      <c r="I259" s="6">
        <f>+[136]Main!$K$5-[136]Main!$K$6</f>
        <v>76.34899999999999</v>
      </c>
      <c r="J259" s="6">
        <f>+H259-I259</f>
        <v>369.56322435999999</v>
      </c>
      <c r="K259" s="3" t="s">
        <v>1842</v>
      </c>
      <c r="L259" s="6">
        <f>+[136]Main!$K$3</f>
        <v>89.004435999999998</v>
      </c>
      <c r="M259" s="9">
        <v>45857</v>
      </c>
    </row>
    <row r="260" spans="1:31" x14ac:dyDescent="0.25">
      <c r="A260" s="87" t="s">
        <v>333</v>
      </c>
      <c r="D260">
        <f t="shared" si="21"/>
        <v>249</v>
      </c>
      <c r="E260" s="5" t="s">
        <v>560</v>
      </c>
      <c r="F260" t="s">
        <v>561</v>
      </c>
      <c r="G260" s="3">
        <v>20.239999999999998</v>
      </c>
      <c r="H260" s="6">
        <f>+G260*L260</f>
        <v>854.11613935999992</v>
      </c>
      <c r="I260" s="6">
        <f>+[137]Main!$J$5-[137]Main!$J$6</f>
        <v>127.87499999999999</v>
      </c>
      <c r="J260" s="6">
        <f>+H260-I260</f>
        <v>726.24113935999992</v>
      </c>
      <c r="K260" s="3" t="s">
        <v>1275</v>
      </c>
      <c r="L260" s="6">
        <f>+[137]Main!$J$3</f>
        <v>42.199413999999997</v>
      </c>
      <c r="M260" s="9">
        <v>45631</v>
      </c>
    </row>
    <row r="261" spans="1:31" x14ac:dyDescent="0.25">
      <c r="A261" s="87" t="s">
        <v>333</v>
      </c>
      <c r="B261"/>
      <c r="C261"/>
      <c r="D261">
        <f t="shared" si="21"/>
        <v>250</v>
      </c>
      <c r="E261" s="5" t="s">
        <v>237</v>
      </c>
      <c r="F261" s="1" t="s">
        <v>238</v>
      </c>
      <c r="G261" s="7">
        <v>7.84</v>
      </c>
      <c r="H261" s="6">
        <f>+G261*L261</f>
        <v>619.61355344000003</v>
      </c>
      <c r="I261" s="6">
        <f>+[138]Main!$J$5-[138]Main!$J$6</f>
        <v>191.5</v>
      </c>
      <c r="J261" s="8">
        <f>+H261-I261</f>
        <v>428.11355344000003</v>
      </c>
      <c r="K261" s="3" t="s">
        <v>1275</v>
      </c>
      <c r="L261" s="6">
        <f>[138]Main!$J$3</f>
        <v>79.032341000000002</v>
      </c>
      <c r="M261" s="9">
        <v>45659</v>
      </c>
    </row>
    <row r="262" spans="1:31" x14ac:dyDescent="0.25">
      <c r="A262" s="87" t="s">
        <v>333</v>
      </c>
      <c r="B262"/>
      <c r="C262"/>
      <c r="D262">
        <f t="shared" si="21"/>
        <v>251</v>
      </c>
      <c r="E262" s="5" t="s">
        <v>235</v>
      </c>
      <c r="F262" s="1" t="s">
        <v>236</v>
      </c>
      <c r="G262" s="7">
        <v>19.600000000000001</v>
      </c>
      <c r="H262" s="6">
        <f>G262*[139]Main!$J$3</f>
        <v>1261.1517296000002</v>
      </c>
      <c r="I262" s="8">
        <f>+[139]Main!$J$5-[139]Main!$J$6</f>
        <v>92.317999999999998</v>
      </c>
      <c r="J262" s="8">
        <f>+H262-I262</f>
        <v>1168.8337296000002</v>
      </c>
      <c r="K262" s="3" t="s">
        <v>16</v>
      </c>
    </row>
    <row r="263" spans="1:31" x14ac:dyDescent="0.25">
      <c r="A263" s="100" t="s">
        <v>333</v>
      </c>
      <c r="D263">
        <f t="shared" si="21"/>
        <v>252</v>
      </c>
      <c r="E263" s="1" t="s">
        <v>331</v>
      </c>
      <c r="F263" t="s">
        <v>332</v>
      </c>
      <c r="G263" s="7">
        <v>3</v>
      </c>
      <c r="H263" s="3">
        <v>380</v>
      </c>
    </row>
    <row r="264" spans="1:31" ht="13" x14ac:dyDescent="0.3">
      <c r="A264" s="100" t="s">
        <v>333</v>
      </c>
      <c r="D264">
        <f t="shared" si="21"/>
        <v>253</v>
      </c>
      <c r="E264" s="24" t="s">
        <v>1350</v>
      </c>
      <c r="F264" t="s">
        <v>1351</v>
      </c>
      <c r="G264" s="3">
        <v>33.409999999999997</v>
      </c>
    </row>
    <row r="265" spans="1:31" x14ac:dyDescent="0.25">
      <c r="A265" s="100" t="s">
        <v>333</v>
      </c>
      <c r="D265">
        <f t="shared" si="21"/>
        <v>254</v>
      </c>
      <c r="E265" t="s">
        <v>428</v>
      </c>
      <c r="F265" t="s">
        <v>429</v>
      </c>
      <c r="G265" s="7">
        <v>5.8</v>
      </c>
      <c r="H265" s="3">
        <v>593</v>
      </c>
    </row>
    <row r="266" spans="1:31" x14ac:dyDescent="0.25">
      <c r="A266" s="100" t="s">
        <v>333</v>
      </c>
      <c r="D266">
        <f t="shared" si="21"/>
        <v>255</v>
      </c>
      <c r="E266" t="s">
        <v>740</v>
      </c>
      <c r="F266" t="s">
        <v>741</v>
      </c>
      <c r="G266" s="7">
        <v>24.91</v>
      </c>
      <c r="H266" s="3">
        <v>1800</v>
      </c>
    </row>
    <row r="267" spans="1:31" x14ac:dyDescent="0.25">
      <c r="A267" s="100" t="s">
        <v>333</v>
      </c>
      <c r="B267"/>
      <c r="C267"/>
      <c r="D267">
        <f t="shared" si="21"/>
        <v>256</v>
      </c>
      <c r="E267" t="s">
        <v>749</v>
      </c>
      <c r="F267" t="s">
        <v>750</v>
      </c>
      <c r="G267" s="3">
        <v>3.96</v>
      </c>
      <c r="H267" s="6">
        <v>1800</v>
      </c>
    </row>
    <row r="268" spans="1:31" x14ac:dyDescent="0.25">
      <c r="A268" s="100" t="s">
        <v>333</v>
      </c>
      <c r="D268">
        <f t="shared" si="21"/>
        <v>257</v>
      </c>
      <c r="E268" t="s">
        <v>742</v>
      </c>
      <c r="F268" t="s">
        <v>743</v>
      </c>
      <c r="G268" s="20">
        <v>55.9</v>
      </c>
    </row>
    <row r="269" spans="1:31" x14ac:dyDescent="0.25">
      <c r="A269" s="100" t="s">
        <v>333</v>
      </c>
      <c r="D269">
        <f t="shared" si="21"/>
        <v>258</v>
      </c>
      <c r="E269" t="s">
        <v>732</v>
      </c>
      <c r="F269" t="s">
        <v>733</v>
      </c>
      <c r="G269" s="3">
        <v>22.03</v>
      </c>
    </row>
    <row r="270" spans="1:31" x14ac:dyDescent="0.25">
      <c r="A270" s="100" t="s">
        <v>333</v>
      </c>
      <c r="D270">
        <f t="shared" si="21"/>
        <v>259</v>
      </c>
      <c r="E270" t="s">
        <v>1848</v>
      </c>
      <c r="F270" t="s">
        <v>1849</v>
      </c>
      <c r="G270" s="17">
        <v>2628.9</v>
      </c>
    </row>
    <row r="271" spans="1:31" x14ac:dyDescent="0.25">
      <c r="A271" s="100" t="s">
        <v>333</v>
      </c>
      <c r="D271">
        <f t="shared" si="21"/>
        <v>260</v>
      </c>
      <c r="E271" t="s">
        <v>1850</v>
      </c>
      <c r="F271" t="s">
        <v>1851</v>
      </c>
      <c r="G271" s="18">
        <v>404.2</v>
      </c>
    </row>
    <row r="272" spans="1:31" x14ac:dyDescent="0.25">
      <c r="A272" s="100" t="s">
        <v>333</v>
      </c>
      <c r="D272">
        <f t="shared" si="21"/>
        <v>261</v>
      </c>
      <c r="E272" t="s">
        <v>728</v>
      </c>
      <c r="F272" t="s">
        <v>729</v>
      </c>
      <c r="G272" s="3">
        <v>9.44</v>
      </c>
    </row>
    <row r="273" spans="1:13" x14ac:dyDescent="0.25">
      <c r="A273" s="100" t="s">
        <v>333</v>
      </c>
      <c r="D273">
        <f t="shared" si="21"/>
        <v>262</v>
      </c>
      <c r="E273" t="s">
        <v>1879</v>
      </c>
      <c r="F273" t="s">
        <v>1880</v>
      </c>
      <c r="G273" s="3">
        <v>11.73</v>
      </c>
    </row>
    <row r="274" spans="1:13" x14ac:dyDescent="0.25">
      <c r="A274" s="100" t="s">
        <v>333</v>
      </c>
      <c r="D274">
        <f t="shared" si="21"/>
        <v>263</v>
      </c>
      <c r="E274" t="s">
        <v>525</v>
      </c>
      <c r="F274" t="s">
        <v>524</v>
      </c>
      <c r="G274" s="7">
        <v>18.79</v>
      </c>
    </row>
    <row r="275" spans="1:13" x14ac:dyDescent="0.25">
      <c r="A275" s="100" t="s">
        <v>333</v>
      </c>
      <c r="D275">
        <f t="shared" si="21"/>
        <v>264</v>
      </c>
      <c r="E275" t="s">
        <v>1881</v>
      </c>
      <c r="F275" t="s">
        <v>1882</v>
      </c>
      <c r="G275" s="7">
        <v>8.5399999999999991</v>
      </c>
    </row>
    <row r="276" spans="1:13" x14ac:dyDescent="0.25">
      <c r="A276" s="100" t="s">
        <v>333</v>
      </c>
      <c r="D276">
        <f t="shared" si="21"/>
        <v>265</v>
      </c>
      <c r="E276" t="s">
        <v>1889</v>
      </c>
      <c r="F276" t="s">
        <v>1890</v>
      </c>
      <c r="G276" s="7">
        <v>17.62</v>
      </c>
    </row>
    <row r="277" spans="1:13" x14ac:dyDescent="0.25">
      <c r="A277" s="100" t="s">
        <v>333</v>
      </c>
      <c r="D277">
        <f t="shared" si="21"/>
        <v>266</v>
      </c>
      <c r="E277" t="s">
        <v>786</v>
      </c>
      <c r="F277" t="s">
        <v>787</v>
      </c>
      <c r="G277" s="18">
        <v>73.349999999999994</v>
      </c>
    </row>
    <row r="278" spans="1:13" x14ac:dyDescent="0.25">
      <c r="A278" s="87" t="s">
        <v>333</v>
      </c>
      <c r="D278">
        <f t="shared" si="21"/>
        <v>267</v>
      </c>
      <c r="E278" t="s">
        <v>1887</v>
      </c>
      <c r="F278" t="s">
        <v>1888</v>
      </c>
      <c r="G278" s="3">
        <v>11.38</v>
      </c>
    </row>
    <row r="279" spans="1:13" x14ac:dyDescent="0.25">
      <c r="A279" s="87" t="s">
        <v>333</v>
      </c>
      <c r="D279">
        <f t="shared" si="21"/>
        <v>268</v>
      </c>
      <c r="E279" t="s">
        <v>536</v>
      </c>
      <c r="F279" t="s">
        <v>537</v>
      </c>
      <c r="G279" s="3">
        <v>51.01</v>
      </c>
    </row>
    <row r="280" spans="1:13" x14ac:dyDescent="0.25">
      <c r="A280" s="87" t="s">
        <v>333</v>
      </c>
      <c r="D280">
        <f t="shared" si="21"/>
        <v>269</v>
      </c>
      <c r="E280" t="s">
        <v>552</v>
      </c>
      <c r="F280" t="s">
        <v>553</v>
      </c>
      <c r="G280" s="7">
        <v>5.49</v>
      </c>
    </row>
    <row r="281" spans="1:13" x14ac:dyDescent="0.25">
      <c r="A281" s="87" t="s">
        <v>333</v>
      </c>
      <c r="B281"/>
      <c r="C281"/>
      <c r="D281">
        <f t="shared" si="21"/>
        <v>270</v>
      </c>
      <c r="E281" t="s">
        <v>1427</v>
      </c>
      <c r="F281" t="s">
        <v>1845</v>
      </c>
      <c r="G281" s="7">
        <v>21.16</v>
      </c>
    </row>
    <row r="282" spans="1:13" x14ac:dyDescent="0.25">
      <c r="A282" s="87" t="s">
        <v>333</v>
      </c>
      <c r="D282">
        <f t="shared" si="21"/>
        <v>271</v>
      </c>
      <c r="E282" t="s">
        <v>554</v>
      </c>
      <c r="F282" t="s">
        <v>555</v>
      </c>
      <c r="G282" s="3">
        <v>2.38</v>
      </c>
    </row>
    <row r="283" spans="1:13" x14ac:dyDescent="0.25">
      <c r="A283" s="87" t="s">
        <v>333</v>
      </c>
      <c r="D283">
        <f t="shared" si="21"/>
        <v>272</v>
      </c>
      <c r="E283" t="s">
        <v>558</v>
      </c>
      <c r="F283" t="s">
        <v>559</v>
      </c>
      <c r="G283" s="3">
        <v>2.71</v>
      </c>
    </row>
    <row r="284" spans="1:13" x14ac:dyDescent="0.25">
      <c r="A284" s="87" t="s">
        <v>333</v>
      </c>
      <c r="B284" s="1">
        <v>-9</v>
      </c>
      <c r="C284" s="1">
        <v>7</v>
      </c>
      <c r="D284">
        <f t="shared" si="21"/>
        <v>273</v>
      </c>
      <c r="E284" s="5" t="s">
        <v>569</v>
      </c>
      <c r="F284" t="s">
        <v>568</v>
      </c>
      <c r="G284" s="3">
        <v>2.58</v>
      </c>
      <c r="H284" s="6">
        <f>+G284*L284</f>
        <v>59.882772660000008</v>
      </c>
      <c r="I284" s="6">
        <f>+[140]Main!$M$5-[140]Main!$M$6</f>
        <v>19.337</v>
      </c>
      <c r="J284" s="6">
        <f>+H284-I284</f>
        <v>40.545772660000011</v>
      </c>
      <c r="K284" s="3" t="s">
        <v>1275</v>
      </c>
      <c r="L284" s="6">
        <f>+[140]Main!$M$3</f>
        <v>23.210377000000001</v>
      </c>
      <c r="M284" s="9">
        <v>45684</v>
      </c>
    </row>
    <row r="285" spans="1:13" x14ac:dyDescent="0.25">
      <c r="D285">
        <f t="shared" si="21"/>
        <v>274</v>
      </c>
      <c r="E285" s="5" t="s">
        <v>1977</v>
      </c>
      <c r="F285" t="s">
        <v>1978</v>
      </c>
      <c r="G285" s="3">
        <v>9.15</v>
      </c>
      <c r="H285" s="6">
        <f>+G285*L285</f>
        <v>294.58740675000001</v>
      </c>
      <c r="I285" s="6">
        <f>+[141]Main!$K$5-[141]Main!$K$6</f>
        <v>144.56900000000002</v>
      </c>
      <c r="J285" s="6">
        <f>+H285-I285</f>
        <v>150.01840675</v>
      </c>
      <c r="K285" s="3" t="s">
        <v>1842</v>
      </c>
      <c r="L285" s="6">
        <f>+[141]Main!$K$3</f>
        <v>32.195345000000003</v>
      </c>
      <c r="M285" s="9">
        <v>45824</v>
      </c>
    </row>
    <row r="286" spans="1:13" x14ac:dyDescent="0.25">
      <c r="A286" s="87" t="s">
        <v>333</v>
      </c>
      <c r="C286"/>
      <c r="D286">
        <f t="shared" si="21"/>
        <v>275</v>
      </c>
      <c r="E286" s="1" t="s">
        <v>186</v>
      </c>
      <c r="F286" s="1" t="s">
        <v>187</v>
      </c>
      <c r="G286" s="7">
        <v>0.78</v>
      </c>
      <c r="H286" s="6">
        <v>1880</v>
      </c>
    </row>
    <row r="287" spans="1:13" x14ac:dyDescent="0.25">
      <c r="A287" s="87" t="s">
        <v>333</v>
      </c>
      <c r="D287">
        <f t="shared" si="21"/>
        <v>276</v>
      </c>
      <c r="E287" t="s">
        <v>800</v>
      </c>
      <c r="F287" t="s">
        <v>801</v>
      </c>
      <c r="G287" s="3">
        <v>6.56</v>
      </c>
    </row>
    <row r="288" spans="1:13" x14ac:dyDescent="0.25">
      <c r="A288" s="87" t="s">
        <v>333</v>
      </c>
      <c r="D288">
        <f t="shared" si="21"/>
        <v>277</v>
      </c>
      <c r="E288" t="s">
        <v>1956</v>
      </c>
      <c r="F288" t="s">
        <v>1957</v>
      </c>
      <c r="G288" s="3">
        <v>3.19</v>
      </c>
    </row>
    <row r="289" spans="1:30" x14ac:dyDescent="0.25">
      <c r="A289" s="87" t="s">
        <v>333</v>
      </c>
      <c r="D289">
        <f t="shared" si="21"/>
        <v>278</v>
      </c>
      <c r="E289" t="s">
        <v>1904</v>
      </c>
      <c r="F289" t="s">
        <v>1905</v>
      </c>
      <c r="G289" s="3">
        <v>9.7799999999999994</v>
      </c>
    </row>
    <row r="290" spans="1:30" x14ac:dyDescent="0.25">
      <c r="A290" s="87" t="s">
        <v>333</v>
      </c>
      <c r="D290">
        <f t="shared" si="21"/>
        <v>279</v>
      </c>
      <c r="E290" t="s">
        <v>977</v>
      </c>
      <c r="F290" t="s">
        <v>978</v>
      </c>
      <c r="G290" s="3">
        <v>2.76</v>
      </c>
    </row>
    <row r="291" spans="1:30" x14ac:dyDescent="0.25">
      <c r="A291" s="87" t="s">
        <v>333</v>
      </c>
      <c r="D291">
        <f t="shared" si="21"/>
        <v>280</v>
      </c>
      <c r="E291" t="s">
        <v>975</v>
      </c>
      <c r="F291" t="s">
        <v>976</v>
      </c>
      <c r="G291" s="3">
        <v>0.98</v>
      </c>
    </row>
    <row r="292" spans="1:30" x14ac:dyDescent="0.25">
      <c r="A292" s="87" t="s">
        <v>333</v>
      </c>
      <c r="D292">
        <f t="shared" si="21"/>
        <v>281</v>
      </c>
      <c r="E292" t="s">
        <v>1938</v>
      </c>
      <c r="F292" t="s">
        <v>1939</v>
      </c>
      <c r="G292" s="3">
        <v>6.77</v>
      </c>
    </row>
    <row r="293" spans="1:30" x14ac:dyDescent="0.25">
      <c r="A293" s="87" t="s">
        <v>333</v>
      </c>
      <c r="D293">
        <f t="shared" si="21"/>
        <v>282</v>
      </c>
      <c r="E293" t="s">
        <v>1940</v>
      </c>
      <c r="F293" t="s">
        <v>1941</v>
      </c>
      <c r="G293" s="3">
        <v>6.99</v>
      </c>
    </row>
    <row r="294" spans="1:30" x14ac:dyDescent="0.25">
      <c r="A294" s="87" t="s">
        <v>333</v>
      </c>
      <c r="B294"/>
      <c r="C294"/>
      <c r="D294">
        <f t="shared" si="21"/>
        <v>283</v>
      </c>
      <c r="E294" t="s">
        <v>985</v>
      </c>
      <c r="F294" t="s">
        <v>986</v>
      </c>
      <c r="G294" s="3">
        <v>0.88</v>
      </c>
    </row>
    <row r="295" spans="1:30" x14ac:dyDescent="0.25">
      <c r="A295" s="87" t="s">
        <v>333</v>
      </c>
      <c r="B295"/>
      <c r="C295"/>
      <c r="D295">
        <f t="shared" si="21"/>
        <v>284</v>
      </c>
      <c r="E295" t="s">
        <v>1970</v>
      </c>
      <c r="F295" t="s">
        <v>1971</v>
      </c>
      <c r="G295" s="3">
        <v>3.15</v>
      </c>
    </row>
    <row r="296" spans="1:30" x14ac:dyDescent="0.25">
      <c r="A296" s="87" t="s">
        <v>333</v>
      </c>
      <c r="B296"/>
      <c r="C296"/>
      <c r="D296">
        <f t="shared" si="21"/>
        <v>285</v>
      </c>
      <c r="E296" t="s">
        <v>1972</v>
      </c>
      <c r="F296" t="s">
        <v>1973</v>
      </c>
      <c r="G296" s="3">
        <v>5.48</v>
      </c>
    </row>
    <row r="297" spans="1:30" x14ac:dyDescent="0.25">
      <c r="A297" t="s">
        <v>333</v>
      </c>
      <c r="B297"/>
      <c r="C297"/>
      <c r="D297">
        <f t="shared" si="21"/>
        <v>286</v>
      </c>
      <c r="E297" t="s">
        <v>987</v>
      </c>
      <c r="F297" t="s">
        <v>988</v>
      </c>
      <c r="G297" s="3">
        <v>0.57999999999999996</v>
      </c>
    </row>
    <row r="298" spans="1:30" s="33" customFormat="1" ht="13" x14ac:dyDescent="0.3">
      <c r="A298" s="33" t="s">
        <v>333</v>
      </c>
      <c r="D298" s="33">
        <f t="shared" si="21"/>
        <v>287</v>
      </c>
      <c r="E298" s="33" t="s">
        <v>973</v>
      </c>
      <c r="F298" s="33" t="s">
        <v>974</v>
      </c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60"/>
      <c r="T298" s="60"/>
      <c r="U298" s="60"/>
      <c r="V298" s="60"/>
      <c r="W298" s="60"/>
      <c r="X298" s="60"/>
      <c r="Y298" s="108"/>
      <c r="Z298" s="108"/>
      <c r="AA298" s="108"/>
      <c r="AB298" s="108"/>
      <c r="AC298" s="108"/>
      <c r="AD298" s="108"/>
    </row>
    <row r="299" spans="1:30" x14ac:dyDescent="0.25">
      <c r="A299" s="1" t="s">
        <v>333</v>
      </c>
      <c r="D299">
        <f t="shared" si="21"/>
        <v>288</v>
      </c>
      <c r="E299" t="s">
        <v>572</v>
      </c>
      <c r="F299" t="s">
        <v>573</v>
      </c>
      <c r="G299" s="7">
        <v>1.35</v>
      </c>
    </row>
    <row r="300" spans="1:30" x14ac:dyDescent="0.25">
      <c r="A300" s="87" t="s">
        <v>333</v>
      </c>
      <c r="D300">
        <f t="shared" si="21"/>
        <v>289</v>
      </c>
      <c r="E300" t="s">
        <v>576</v>
      </c>
      <c r="F300" t="s">
        <v>577</v>
      </c>
      <c r="G300" s="3">
        <v>3.17</v>
      </c>
    </row>
    <row r="301" spans="1:30" x14ac:dyDescent="0.25">
      <c r="A301" s="87" t="s">
        <v>333</v>
      </c>
      <c r="D301">
        <f t="shared" si="21"/>
        <v>290</v>
      </c>
      <c r="E301" t="s">
        <v>1974</v>
      </c>
      <c r="F301" t="s">
        <v>1975</v>
      </c>
      <c r="G301" s="3">
        <v>8.0500000000000007</v>
      </c>
    </row>
    <row r="302" spans="1:30" x14ac:dyDescent="0.25">
      <c r="A302" s="100" t="s">
        <v>333</v>
      </c>
      <c r="D302">
        <f t="shared" si="21"/>
        <v>291</v>
      </c>
      <c r="E302" t="s">
        <v>580</v>
      </c>
      <c r="F302" t="s">
        <v>581</v>
      </c>
      <c r="G302" s="3">
        <v>3.69</v>
      </c>
    </row>
    <row r="303" spans="1:30" x14ac:dyDescent="0.25">
      <c r="A303" s="100" t="s">
        <v>333</v>
      </c>
      <c r="B303"/>
      <c r="C303"/>
      <c r="D303">
        <f t="shared" si="21"/>
        <v>292</v>
      </c>
      <c r="E303" s="5" t="s">
        <v>883</v>
      </c>
      <c r="F303" t="s">
        <v>884</v>
      </c>
      <c r="G303" s="7">
        <v>8.52</v>
      </c>
      <c r="H303" s="6">
        <f>+G303*L303</f>
        <v>379.71368568000003</v>
      </c>
      <c r="I303" s="6">
        <f>+[142]Main!$M$5-[142]Main!$M$6</f>
        <v>99.997</v>
      </c>
      <c r="J303" s="6">
        <f>+H303-I303</f>
        <v>279.71668568000001</v>
      </c>
      <c r="K303" s="3" t="s">
        <v>1069</v>
      </c>
      <c r="L303" s="6">
        <f>+[142]Main!$M$3</f>
        <v>44.567334000000002</v>
      </c>
      <c r="M303" s="9">
        <v>45568</v>
      </c>
    </row>
    <row r="304" spans="1:30" x14ac:dyDescent="0.25">
      <c r="A304" s="100" t="s">
        <v>333</v>
      </c>
      <c r="B304"/>
      <c r="C304"/>
      <c r="D304">
        <f t="shared" si="21"/>
        <v>293</v>
      </c>
      <c r="E304" s="5" t="s">
        <v>867</v>
      </c>
      <c r="F304" t="s">
        <v>868</v>
      </c>
      <c r="G304" s="7">
        <v>13.04</v>
      </c>
      <c r="H304" s="6">
        <f>+G304*L304</f>
        <v>563.52975487999993</v>
      </c>
      <c r="I304" s="6">
        <f>+[143]Main!$K$5-[143]Main!$K$6</f>
        <v>174.27199999999999</v>
      </c>
      <c r="J304" s="6">
        <f>+H304-I304</f>
        <v>389.25775487999994</v>
      </c>
      <c r="K304" s="3" t="s">
        <v>1069</v>
      </c>
      <c r="L304" s="6">
        <f>+[143]Main!$K$3</f>
        <v>43.215471999999998</v>
      </c>
      <c r="M304" s="9">
        <v>45567</v>
      </c>
    </row>
    <row r="305" spans="1:31" x14ac:dyDescent="0.25">
      <c r="A305" s="100" t="s">
        <v>333</v>
      </c>
      <c r="D305">
        <f t="shared" si="21"/>
        <v>294</v>
      </c>
      <c r="E305" s="5" t="s">
        <v>584</v>
      </c>
      <c r="F305" t="s">
        <v>585</v>
      </c>
      <c r="G305" s="7">
        <v>60.31</v>
      </c>
      <c r="H305" s="6">
        <f>G305*L305</f>
        <v>1194.09922067</v>
      </c>
      <c r="I305" s="6">
        <f>[144]Main!$M$5-[144]Main!$M$6</f>
        <v>236.422</v>
      </c>
      <c r="J305" s="6">
        <f>H305-I305</f>
        <v>957.67722067</v>
      </c>
      <c r="L305" s="6">
        <f>[144]Main!$M$3</f>
        <v>19.799357000000001</v>
      </c>
      <c r="M305" s="9">
        <v>45063</v>
      </c>
      <c r="AE305" s="1">
        <v>2017</v>
      </c>
    </row>
    <row r="306" spans="1:31" x14ac:dyDescent="0.25">
      <c r="A306" s="100" t="s">
        <v>333</v>
      </c>
      <c r="B306"/>
      <c r="C306"/>
      <c r="D306">
        <f t="shared" si="21"/>
        <v>295</v>
      </c>
      <c r="E306" s="5" t="s">
        <v>937</v>
      </c>
      <c r="F306" t="s">
        <v>938</v>
      </c>
      <c r="G306" s="3">
        <v>10.35</v>
      </c>
      <c r="H306" s="6">
        <f>+G306*L306</f>
        <v>553.91347350000001</v>
      </c>
      <c r="I306" s="6">
        <f>+[145]Main!$K$5-[145]Main!$K$6</f>
        <v>280.24800000000005</v>
      </c>
      <c r="J306" s="6">
        <f>+H306-I306</f>
        <v>273.66547349999996</v>
      </c>
      <c r="K306" s="3" t="s">
        <v>1069</v>
      </c>
      <c r="L306" s="6">
        <f>+[145]Main!$K$3</f>
        <v>53.518210000000003</v>
      </c>
      <c r="M306" s="9">
        <v>45557</v>
      </c>
    </row>
    <row r="307" spans="1:31" x14ac:dyDescent="0.25">
      <c r="A307" s="100" t="s">
        <v>333</v>
      </c>
      <c r="D307">
        <f t="shared" si="21"/>
        <v>296</v>
      </c>
      <c r="E307" s="5" t="s">
        <v>574</v>
      </c>
      <c r="F307" t="s">
        <v>575</v>
      </c>
      <c r="G307" s="3">
        <v>7.43</v>
      </c>
      <c r="H307" s="6">
        <f>+G307*L307</f>
        <v>539.35794331</v>
      </c>
      <c r="I307" s="6">
        <f>+[146]Main!$J$5-[146]Main!$J$6</f>
        <v>69.49499999999999</v>
      </c>
      <c r="J307" s="6">
        <f>+H307-I307</f>
        <v>469.86294330999999</v>
      </c>
      <c r="K307" s="3" t="s">
        <v>1069</v>
      </c>
      <c r="L307" s="6">
        <f>+[146]Main!$J$3</f>
        <v>72.591916999999995</v>
      </c>
      <c r="M307" s="9">
        <v>45548</v>
      </c>
    </row>
    <row r="308" spans="1:31" x14ac:dyDescent="0.25">
      <c r="A308"/>
      <c r="B308"/>
      <c r="C308"/>
      <c r="D308">
        <f t="shared" si="21"/>
        <v>297</v>
      </c>
      <c r="E308" s="5" t="s">
        <v>1166</v>
      </c>
      <c r="F308" t="s">
        <v>1167</v>
      </c>
      <c r="G308" s="7">
        <v>0.42</v>
      </c>
      <c r="H308" s="6">
        <f>+G308*L308</f>
        <v>31.393140239999997</v>
      </c>
      <c r="I308" s="6">
        <f>+[147]Main!$K$5-[147]Main!$K$6</f>
        <v>29.36</v>
      </c>
      <c r="J308" s="6">
        <f>+H308-I308</f>
        <v>2.033140239999998</v>
      </c>
      <c r="K308" s="3" t="s">
        <v>1069</v>
      </c>
      <c r="L308" s="6">
        <f>+[147]Main!$K$3</f>
        <v>74.745571999999996</v>
      </c>
      <c r="M308" s="9">
        <v>45554</v>
      </c>
    </row>
    <row r="309" spans="1:31" x14ac:dyDescent="0.25">
      <c r="A309"/>
      <c r="B309"/>
      <c r="C309"/>
      <c r="D309">
        <f t="shared" si="21"/>
        <v>298</v>
      </c>
      <c r="E309" s="5" t="s">
        <v>1173</v>
      </c>
      <c r="F309" t="s">
        <v>1174</v>
      </c>
      <c r="G309" s="3">
        <v>0.53</v>
      </c>
      <c r="H309" s="6">
        <f>+G309*L309</f>
        <v>46.809238010000001</v>
      </c>
      <c r="I309" s="6">
        <f>+[148]Main!$L$5-[148]Main!$L$6</f>
        <v>14.502000000000001</v>
      </c>
      <c r="J309" s="6">
        <f>+H309-I309</f>
        <v>32.307238009999999</v>
      </c>
      <c r="K309" s="3" t="s">
        <v>1069</v>
      </c>
      <c r="L309" s="6">
        <f>+[148]Main!$L$3</f>
        <v>88.319316999999998</v>
      </c>
      <c r="M309" s="9">
        <v>45558</v>
      </c>
    </row>
    <row r="310" spans="1:31" x14ac:dyDescent="0.25">
      <c r="D310">
        <f t="shared" si="21"/>
        <v>299</v>
      </c>
      <c r="E310" s="5" t="s">
        <v>586</v>
      </c>
      <c r="F310" t="s">
        <v>587</v>
      </c>
      <c r="G310" s="3">
        <v>0.33</v>
      </c>
      <c r="H310" s="6">
        <f>G310*L310</f>
        <v>11.798145480000001</v>
      </c>
      <c r="I310" s="6">
        <f>[149]Main!$K$5-[149]Main!$K$6</f>
        <v>54.983000000000004</v>
      </c>
      <c r="J310" s="6">
        <f>H310-I310</f>
        <v>-43.184854520000002</v>
      </c>
      <c r="L310" s="6">
        <f>[149]Main!$K$3</f>
        <v>35.751956</v>
      </c>
      <c r="M310" s="9">
        <v>45063</v>
      </c>
    </row>
    <row r="311" spans="1:31" x14ac:dyDescent="0.25">
      <c r="A311" s="87" t="s">
        <v>333</v>
      </c>
      <c r="B311"/>
      <c r="C311"/>
      <c r="D311">
        <f t="shared" si="21"/>
        <v>300</v>
      </c>
      <c r="E311" s="5" t="s">
        <v>979</v>
      </c>
      <c r="F311" t="s">
        <v>980</v>
      </c>
      <c r="G311" s="7">
        <v>22.62</v>
      </c>
      <c r="H311" s="6">
        <f>+G311*L311</f>
        <v>280.64416546399997</v>
      </c>
      <c r="I311" s="6">
        <f>[150]Main!$I$5-[150]Main!$I$6</f>
        <v>220.65100000000001</v>
      </c>
      <c r="J311" s="6">
        <f>+H311-I311</f>
        <v>59.993165463999958</v>
      </c>
      <c r="K311" s="3" t="s">
        <v>1842</v>
      </c>
      <c r="L311" s="6">
        <f>+[150]Main!$I$3</f>
        <v>12.406903866666665</v>
      </c>
      <c r="M311" s="9">
        <v>45810</v>
      </c>
    </row>
    <row r="312" spans="1:31" x14ac:dyDescent="0.25">
      <c r="A312" s="100" t="s">
        <v>333</v>
      </c>
      <c r="B312"/>
      <c r="C312"/>
      <c r="D312">
        <f t="shared" si="21"/>
        <v>301</v>
      </c>
      <c r="E312" s="5" t="s">
        <v>933</v>
      </c>
      <c r="F312" t="s">
        <v>934</v>
      </c>
      <c r="G312" s="7">
        <v>2.06</v>
      </c>
      <c r="H312" s="6">
        <f>+G312*L312</f>
        <v>145.35103323999999</v>
      </c>
      <c r="I312" s="6">
        <f>+[151]Main!$K$5-[151]Main!$K$6</f>
        <v>426.65000000000003</v>
      </c>
      <c r="J312" s="6">
        <f>+H312-I312</f>
        <v>-281.29896676000004</v>
      </c>
      <c r="K312" s="3" t="s">
        <v>1069</v>
      </c>
      <c r="L312" s="6">
        <f>+[151]Main!$K$3</f>
        <v>70.558753999999993</v>
      </c>
      <c r="M312" s="9">
        <v>45564</v>
      </c>
      <c r="AE312" s="1">
        <v>2015</v>
      </c>
    </row>
    <row r="313" spans="1:31" x14ac:dyDescent="0.25">
      <c r="A313" s="1" t="s">
        <v>333</v>
      </c>
      <c r="D313">
        <f t="shared" si="21"/>
        <v>302</v>
      </c>
      <c r="E313" s="1" t="s">
        <v>588</v>
      </c>
      <c r="F313" s="1" t="s">
        <v>589</v>
      </c>
      <c r="G313" s="109">
        <v>30.45</v>
      </c>
    </row>
    <row r="314" spans="1:31" s="33" customFormat="1" ht="13" x14ac:dyDescent="0.3">
      <c r="D314" s="33">
        <f t="shared" ref="D314:D379" si="25">+D313+1</f>
        <v>303</v>
      </c>
      <c r="E314" s="33" t="s">
        <v>590</v>
      </c>
      <c r="F314" s="33" t="s">
        <v>591</v>
      </c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60"/>
      <c r="T314" s="60"/>
      <c r="U314" s="60"/>
      <c r="V314" s="60"/>
      <c r="W314" s="60"/>
      <c r="X314" s="60"/>
      <c r="Y314" s="108"/>
      <c r="Z314" s="108"/>
      <c r="AA314" s="108"/>
      <c r="AB314" s="108"/>
      <c r="AC314" s="108"/>
      <c r="AD314" s="108"/>
    </row>
    <row r="315" spans="1:31" s="33" customFormat="1" ht="13" x14ac:dyDescent="0.3">
      <c r="A315" s="33" t="s">
        <v>333</v>
      </c>
      <c r="D315" s="33">
        <f t="shared" si="25"/>
        <v>304</v>
      </c>
      <c r="E315" s="33" t="s">
        <v>592</v>
      </c>
      <c r="F315" s="33" t="s">
        <v>593</v>
      </c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60"/>
      <c r="T315" s="60"/>
      <c r="U315" s="60"/>
      <c r="V315" s="60"/>
      <c r="W315" s="60"/>
      <c r="X315" s="60"/>
      <c r="Y315" s="108"/>
      <c r="Z315" s="108"/>
      <c r="AA315" s="108"/>
      <c r="AB315" s="108"/>
      <c r="AC315" s="108"/>
      <c r="AD315" s="108"/>
    </row>
    <row r="316" spans="1:31" s="33" customFormat="1" ht="13" x14ac:dyDescent="0.3">
      <c r="A316" s="107" t="s">
        <v>333</v>
      </c>
      <c r="D316" s="33">
        <f t="shared" si="25"/>
        <v>305</v>
      </c>
      <c r="E316" s="33" t="s">
        <v>448</v>
      </c>
      <c r="F316" s="33" t="s">
        <v>661</v>
      </c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60"/>
      <c r="T316" s="60"/>
      <c r="U316" s="60"/>
      <c r="V316" s="60"/>
      <c r="W316" s="60"/>
      <c r="X316" s="60"/>
      <c r="Y316" s="108"/>
      <c r="Z316" s="108"/>
      <c r="AA316" s="108"/>
      <c r="AB316" s="108"/>
      <c r="AC316" s="108"/>
      <c r="AD316" s="108"/>
    </row>
    <row r="317" spans="1:31" x14ac:dyDescent="0.25">
      <c r="D317">
        <f t="shared" si="25"/>
        <v>306</v>
      </c>
      <c r="E317" t="s">
        <v>1168</v>
      </c>
      <c r="F317" t="s">
        <v>1169</v>
      </c>
      <c r="G317" s="3">
        <v>1.34</v>
      </c>
    </row>
    <row r="318" spans="1:31" x14ac:dyDescent="0.25">
      <c r="A318" s="1" t="s">
        <v>333</v>
      </c>
      <c r="D318">
        <f t="shared" si="25"/>
        <v>307</v>
      </c>
      <c r="E318" t="s">
        <v>774</v>
      </c>
      <c r="F318" t="s">
        <v>775</v>
      </c>
      <c r="G318" s="14">
        <v>3.22</v>
      </c>
    </row>
    <row r="319" spans="1:31" x14ac:dyDescent="0.25">
      <c r="A319"/>
      <c r="B319"/>
      <c r="C319"/>
      <c r="D319">
        <f t="shared" si="25"/>
        <v>308</v>
      </c>
      <c r="E319" t="s">
        <v>1267</v>
      </c>
      <c r="F319" t="s">
        <v>1268</v>
      </c>
      <c r="G319" s="7">
        <v>0.61</v>
      </c>
      <c r="H319" s="6"/>
    </row>
    <row r="320" spans="1:31" x14ac:dyDescent="0.25">
      <c r="A320" s="100" t="s">
        <v>333</v>
      </c>
      <c r="D320">
        <f t="shared" si="25"/>
        <v>309</v>
      </c>
      <c r="E320" t="s">
        <v>664</v>
      </c>
      <c r="F320" t="s">
        <v>665</v>
      </c>
      <c r="G320" s="3">
        <v>13.15</v>
      </c>
    </row>
    <row r="321" spans="1:30" s="33" customFormat="1" ht="13" x14ac:dyDescent="0.3">
      <c r="A321" s="107" t="s">
        <v>333</v>
      </c>
      <c r="D321" s="33">
        <f t="shared" si="25"/>
        <v>310</v>
      </c>
      <c r="E321" s="33" t="s">
        <v>666</v>
      </c>
      <c r="F321" s="33" t="s">
        <v>667</v>
      </c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60"/>
      <c r="T321" s="60"/>
      <c r="U321" s="60"/>
      <c r="V321" s="60"/>
      <c r="W321" s="60"/>
      <c r="X321" s="60"/>
      <c r="Y321" s="108"/>
      <c r="Z321" s="108"/>
      <c r="AA321" s="108"/>
      <c r="AB321" s="108"/>
      <c r="AC321" s="108"/>
      <c r="AD321" s="108"/>
    </row>
    <row r="322" spans="1:30" x14ac:dyDescent="0.25">
      <c r="A322" s="100"/>
      <c r="B322"/>
      <c r="C322"/>
      <c r="D322">
        <f t="shared" si="25"/>
        <v>311</v>
      </c>
      <c r="E322" s="5" t="s">
        <v>1981</v>
      </c>
      <c r="F322" t="s">
        <v>1982</v>
      </c>
      <c r="G322" s="3">
        <v>7.73</v>
      </c>
      <c r="H322" s="6">
        <f>+G322*L322</f>
        <v>49.877036539999999</v>
      </c>
      <c r="I322" s="6">
        <f>+[152]Main!$J$5-[152]Main!$J$6</f>
        <v>26.719000000000001</v>
      </c>
      <c r="J322" s="6">
        <f>+H322-I322</f>
        <v>23.158036539999998</v>
      </c>
      <c r="K322" s="3" t="s">
        <v>1842</v>
      </c>
      <c r="L322" s="6">
        <f>[152]Main!$J$3</f>
        <v>6.4523979999999996</v>
      </c>
      <c r="M322" s="9">
        <v>45847</v>
      </c>
    </row>
    <row r="323" spans="1:30" x14ac:dyDescent="0.25">
      <c r="A323" s="1" t="s">
        <v>333</v>
      </c>
      <c r="D323">
        <f t="shared" si="25"/>
        <v>312</v>
      </c>
      <c r="E323" t="s">
        <v>809</v>
      </c>
      <c r="F323" t="s">
        <v>810</v>
      </c>
      <c r="G323" s="16">
        <v>3340</v>
      </c>
    </row>
    <row r="324" spans="1:30" x14ac:dyDescent="0.25">
      <c r="A324" s="87" t="s">
        <v>333</v>
      </c>
      <c r="D324">
        <f t="shared" si="25"/>
        <v>313</v>
      </c>
      <c r="E324" t="s">
        <v>1908</v>
      </c>
      <c r="F324" t="s">
        <v>1909</v>
      </c>
      <c r="G324" s="110">
        <v>6.25</v>
      </c>
    </row>
    <row r="325" spans="1:30" x14ac:dyDescent="0.25">
      <c r="A325" s="87" t="s">
        <v>333</v>
      </c>
      <c r="B325"/>
      <c r="C325"/>
      <c r="D325">
        <f t="shared" si="25"/>
        <v>314</v>
      </c>
      <c r="E325" t="s">
        <v>815</v>
      </c>
      <c r="F325" t="s">
        <v>816</v>
      </c>
      <c r="G325" s="3">
        <v>11.18</v>
      </c>
    </row>
    <row r="326" spans="1:30" x14ac:dyDescent="0.25">
      <c r="A326" s="87" t="s">
        <v>333</v>
      </c>
      <c r="B326"/>
      <c r="C326"/>
      <c r="D326">
        <f t="shared" si="25"/>
        <v>315</v>
      </c>
      <c r="E326" t="s">
        <v>1959</v>
      </c>
      <c r="F326" t="s">
        <v>1958</v>
      </c>
      <c r="G326" s="3">
        <v>2.62</v>
      </c>
    </row>
    <row r="327" spans="1:30" x14ac:dyDescent="0.25">
      <c r="A327" s="87" t="s">
        <v>333</v>
      </c>
      <c r="B327"/>
      <c r="C327"/>
      <c r="D327">
        <f>+D251+1</f>
        <v>241</v>
      </c>
      <c r="E327" t="s">
        <v>1960</v>
      </c>
      <c r="F327" t="s">
        <v>1961</v>
      </c>
      <c r="G327" s="7">
        <v>3.85</v>
      </c>
    </row>
    <row r="328" spans="1:30" x14ac:dyDescent="0.25">
      <c r="A328" s="87" t="s">
        <v>333</v>
      </c>
      <c r="B328"/>
      <c r="C328"/>
      <c r="D328">
        <f t="shared" si="25"/>
        <v>242</v>
      </c>
      <c r="E328" t="s">
        <v>1910</v>
      </c>
      <c r="F328" t="s">
        <v>1911</v>
      </c>
      <c r="G328" s="7">
        <v>14.6</v>
      </c>
    </row>
    <row r="329" spans="1:30" x14ac:dyDescent="0.25">
      <c r="A329" s="87" t="s">
        <v>333</v>
      </c>
      <c r="B329"/>
      <c r="C329"/>
      <c r="D329">
        <f t="shared" si="25"/>
        <v>243</v>
      </c>
      <c r="E329" t="s">
        <v>1912</v>
      </c>
      <c r="F329" t="s">
        <v>1913</v>
      </c>
      <c r="G329" s="7">
        <v>10.1</v>
      </c>
    </row>
    <row r="330" spans="1:30" x14ac:dyDescent="0.25">
      <c r="A330" s="87" t="s">
        <v>333</v>
      </c>
      <c r="B330"/>
      <c r="C330"/>
      <c r="D330">
        <f t="shared" si="25"/>
        <v>244</v>
      </c>
      <c r="E330" t="s">
        <v>817</v>
      </c>
      <c r="F330" t="s">
        <v>818</v>
      </c>
      <c r="G330" s="3">
        <v>5.83</v>
      </c>
    </row>
    <row r="331" spans="1:30" x14ac:dyDescent="0.25">
      <c r="A331" s="87" t="s">
        <v>333</v>
      </c>
      <c r="B331"/>
      <c r="C331"/>
      <c r="D331">
        <f t="shared" si="25"/>
        <v>245</v>
      </c>
      <c r="E331" t="s">
        <v>813</v>
      </c>
      <c r="F331" t="s">
        <v>814</v>
      </c>
      <c r="G331" s="14">
        <v>61.2</v>
      </c>
    </row>
    <row r="332" spans="1:30" x14ac:dyDescent="0.25">
      <c r="A332" s="87"/>
      <c r="B332"/>
      <c r="C332"/>
      <c r="D332">
        <f>D331</f>
        <v>245</v>
      </c>
      <c r="E332" t="s">
        <v>813</v>
      </c>
      <c r="F332" t="s">
        <v>1992</v>
      </c>
      <c r="G332" s="3">
        <v>69.33</v>
      </c>
    </row>
    <row r="333" spans="1:30" x14ac:dyDescent="0.25">
      <c r="A333" s="87" t="s">
        <v>333</v>
      </c>
      <c r="B333"/>
      <c r="C333"/>
      <c r="D333">
        <f t="shared" si="25"/>
        <v>246</v>
      </c>
      <c r="E333" t="s">
        <v>811</v>
      </c>
      <c r="F333" t="s">
        <v>812</v>
      </c>
      <c r="G333" s="3">
        <v>12.06</v>
      </c>
    </row>
    <row r="334" spans="1:30" x14ac:dyDescent="0.25">
      <c r="A334" s="87" t="s">
        <v>333</v>
      </c>
      <c r="B334"/>
      <c r="C334"/>
      <c r="D334">
        <f t="shared" si="25"/>
        <v>247</v>
      </c>
      <c r="E334" t="s">
        <v>1925</v>
      </c>
      <c r="F334" t="s">
        <v>1926</v>
      </c>
      <c r="G334" s="3">
        <v>37.26</v>
      </c>
    </row>
    <row r="335" spans="1:30" x14ac:dyDescent="0.25">
      <c r="A335" s="87" t="s">
        <v>333</v>
      </c>
      <c r="D335">
        <f t="shared" si="25"/>
        <v>248</v>
      </c>
      <c r="E335" t="s">
        <v>807</v>
      </c>
      <c r="F335" t="s">
        <v>808</v>
      </c>
      <c r="G335" s="3">
        <v>7.38</v>
      </c>
    </row>
    <row r="336" spans="1:30" s="33" customFormat="1" ht="13" x14ac:dyDescent="0.3">
      <c r="A336" s="33" t="s">
        <v>333</v>
      </c>
      <c r="D336" s="33">
        <f t="shared" si="25"/>
        <v>249</v>
      </c>
      <c r="E336" s="33" t="s">
        <v>672</v>
      </c>
      <c r="F336" s="33" t="s">
        <v>673</v>
      </c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60"/>
      <c r="T336" s="60"/>
      <c r="U336" s="60"/>
      <c r="V336" s="60"/>
      <c r="W336" s="60"/>
      <c r="X336" s="60"/>
      <c r="Y336" s="108"/>
      <c r="Z336" s="108"/>
      <c r="AA336" s="108"/>
      <c r="AB336" s="108"/>
      <c r="AC336" s="108"/>
      <c r="AD336" s="108"/>
    </row>
    <row r="337" spans="1:30" x14ac:dyDescent="0.25">
      <c r="A337" s="100" t="s">
        <v>333</v>
      </c>
      <c r="D337">
        <f t="shared" si="25"/>
        <v>250</v>
      </c>
      <c r="E337" t="s">
        <v>1885</v>
      </c>
      <c r="F337" t="s">
        <v>1886</v>
      </c>
      <c r="G337" s="3">
        <v>31.31</v>
      </c>
    </row>
    <row r="338" spans="1:30" x14ac:dyDescent="0.25">
      <c r="A338" s="100" t="s">
        <v>333</v>
      </c>
      <c r="D338">
        <f t="shared" si="25"/>
        <v>251</v>
      </c>
      <c r="E338" t="s">
        <v>736</v>
      </c>
      <c r="F338" t="s">
        <v>737</v>
      </c>
      <c r="G338" s="3">
        <v>11.26</v>
      </c>
    </row>
    <row r="339" spans="1:30" x14ac:dyDescent="0.25">
      <c r="A339" s="1" t="s">
        <v>333</v>
      </c>
      <c r="D339">
        <f t="shared" si="25"/>
        <v>252</v>
      </c>
      <c r="E339" s="5" t="s">
        <v>734</v>
      </c>
      <c r="F339" t="s">
        <v>735</v>
      </c>
      <c r="G339" s="3">
        <v>1.61</v>
      </c>
    </row>
    <row r="340" spans="1:30" x14ac:dyDescent="0.25">
      <c r="A340" s="100" t="s">
        <v>333</v>
      </c>
      <c r="D340">
        <f t="shared" si="25"/>
        <v>253</v>
      </c>
      <c r="E340" t="s">
        <v>674</v>
      </c>
      <c r="F340" t="s">
        <v>675</v>
      </c>
      <c r="G340" s="7">
        <v>53.6</v>
      </c>
    </row>
    <row r="341" spans="1:30" x14ac:dyDescent="0.25">
      <c r="A341" s="100" t="s">
        <v>333</v>
      </c>
      <c r="B341"/>
      <c r="C341"/>
      <c r="D341">
        <f t="shared" si="25"/>
        <v>254</v>
      </c>
      <c r="E341" t="s">
        <v>721</v>
      </c>
      <c r="F341" t="s">
        <v>722</v>
      </c>
      <c r="G341" s="3">
        <v>134.46</v>
      </c>
    </row>
    <row r="342" spans="1:30" x14ac:dyDescent="0.25">
      <c r="A342" s="1" t="s">
        <v>333</v>
      </c>
      <c r="D342">
        <f t="shared" si="25"/>
        <v>255</v>
      </c>
      <c r="E342" t="s">
        <v>676</v>
      </c>
      <c r="F342" t="s">
        <v>677</v>
      </c>
      <c r="G342" s="3">
        <v>1.66</v>
      </c>
    </row>
    <row r="343" spans="1:30" s="24" customFormat="1" ht="13" x14ac:dyDescent="0.3">
      <c r="A343" s="101" t="s">
        <v>333</v>
      </c>
      <c r="D343" s="24">
        <f t="shared" si="25"/>
        <v>256</v>
      </c>
      <c r="E343" s="24" t="s">
        <v>695</v>
      </c>
      <c r="F343" s="24" t="s">
        <v>696</v>
      </c>
      <c r="G343" s="25">
        <v>78.31</v>
      </c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43"/>
      <c r="T343" s="43"/>
      <c r="U343" s="43"/>
      <c r="V343" s="43"/>
      <c r="W343" s="43"/>
      <c r="X343" s="43"/>
      <c r="Y343" s="103"/>
      <c r="Z343" s="103"/>
      <c r="AA343" s="103"/>
      <c r="AB343" s="103"/>
      <c r="AC343" s="103"/>
      <c r="AD343" s="103"/>
    </row>
    <row r="344" spans="1:30" x14ac:dyDescent="0.25">
      <c r="A344" s="100" t="s">
        <v>333</v>
      </c>
      <c r="B344"/>
      <c r="C344"/>
      <c r="D344">
        <f t="shared" si="25"/>
        <v>257</v>
      </c>
      <c r="E344" t="s">
        <v>699</v>
      </c>
      <c r="F344" t="s">
        <v>700</v>
      </c>
      <c r="G344" s="20">
        <v>3.26</v>
      </c>
    </row>
    <row r="345" spans="1:30" x14ac:dyDescent="0.25">
      <c r="A345" t="s">
        <v>333</v>
      </c>
      <c r="B345"/>
      <c r="C345"/>
      <c r="D345">
        <f t="shared" si="25"/>
        <v>258</v>
      </c>
      <c r="E345" t="s">
        <v>701</v>
      </c>
      <c r="F345" t="s">
        <v>702</v>
      </c>
      <c r="G345" s="3">
        <v>6.85</v>
      </c>
    </row>
    <row r="346" spans="1:30" x14ac:dyDescent="0.25">
      <c r="A346" s="100" t="s">
        <v>333</v>
      </c>
      <c r="B346"/>
      <c r="C346"/>
      <c r="D346">
        <f t="shared" si="25"/>
        <v>259</v>
      </c>
      <c r="E346" t="s">
        <v>1873</v>
      </c>
      <c r="F346" t="s">
        <v>1874</v>
      </c>
      <c r="G346" s="3">
        <v>26.75</v>
      </c>
    </row>
    <row r="347" spans="1:30" x14ac:dyDescent="0.25">
      <c r="A347" s="100" t="s">
        <v>333</v>
      </c>
      <c r="B347"/>
      <c r="C347"/>
      <c r="D347">
        <f t="shared" si="25"/>
        <v>260</v>
      </c>
      <c r="E347" t="s">
        <v>821</v>
      </c>
      <c r="F347" t="s">
        <v>822</v>
      </c>
      <c r="G347" s="3">
        <v>2.61</v>
      </c>
    </row>
    <row r="348" spans="1:30" x14ac:dyDescent="0.25">
      <c r="A348" t="s">
        <v>333</v>
      </c>
      <c r="B348"/>
      <c r="C348"/>
      <c r="D348">
        <f t="shared" si="25"/>
        <v>261</v>
      </c>
      <c r="E348" t="s">
        <v>825</v>
      </c>
      <c r="F348" t="s">
        <v>826</v>
      </c>
      <c r="G348" s="3">
        <v>2.94</v>
      </c>
    </row>
    <row r="349" spans="1:30" x14ac:dyDescent="0.25">
      <c r="A349" s="100" t="s">
        <v>333</v>
      </c>
      <c r="B349"/>
      <c r="C349"/>
      <c r="D349">
        <f t="shared" si="25"/>
        <v>262</v>
      </c>
      <c r="E349" s="5" t="s">
        <v>827</v>
      </c>
      <c r="F349" t="s">
        <v>828</v>
      </c>
      <c r="G349" s="3">
        <v>11.01</v>
      </c>
      <c r="H349" s="6">
        <f>G349*L349</f>
        <v>936.55683098999998</v>
      </c>
      <c r="I349" s="6">
        <f>[153]Main!$I$5-[153]Main!$I$6</f>
        <v>120.77500000000001</v>
      </c>
      <c r="J349" s="6">
        <f>H349-I349</f>
        <v>815.78183099</v>
      </c>
      <c r="K349" s="9" t="s">
        <v>1614</v>
      </c>
      <c r="L349" s="6">
        <f>[153]Main!$I$3</f>
        <v>85.064199000000002</v>
      </c>
      <c r="M349" s="9">
        <v>45622</v>
      </c>
    </row>
    <row r="350" spans="1:30" x14ac:dyDescent="0.25">
      <c r="D350">
        <f>+D516+1</f>
        <v>429</v>
      </c>
      <c r="E350" s="5" t="s">
        <v>519</v>
      </c>
      <c r="F350" t="s">
        <v>1296</v>
      </c>
      <c r="G350" s="7">
        <v>9.67</v>
      </c>
      <c r="H350" s="6">
        <f>+G350*L350</f>
        <v>841.72522735999996</v>
      </c>
      <c r="I350" s="6">
        <f>+[154]Main!$K$5-[154]Main!$K$6</f>
        <v>267.89999999999998</v>
      </c>
      <c r="J350" s="6">
        <f>+H350-I350</f>
        <v>573.82522735999999</v>
      </c>
      <c r="K350" s="3" t="s">
        <v>1995</v>
      </c>
      <c r="L350" s="6">
        <f>+[154]Main!$K$3</f>
        <v>87.045007999999996</v>
      </c>
      <c r="M350" s="9">
        <v>45881</v>
      </c>
    </row>
    <row r="351" spans="1:30" s="33" customFormat="1" ht="13" x14ac:dyDescent="0.3">
      <c r="D351" s="33">
        <f>+D349+1</f>
        <v>263</v>
      </c>
      <c r="E351" s="107" t="s">
        <v>829</v>
      </c>
      <c r="F351" s="107" t="s">
        <v>830</v>
      </c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60"/>
      <c r="T351" s="60"/>
      <c r="U351" s="60"/>
      <c r="V351" s="60"/>
      <c r="W351" s="60"/>
      <c r="X351" s="60"/>
      <c r="Y351" s="108"/>
      <c r="Z351" s="108"/>
      <c r="AA351" s="108"/>
      <c r="AB351" s="108"/>
      <c r="AC351" s="108"/>
      <c r="AD351" s="108"/>
    </row>
    <row r="352" spans="1:30" x14ac:dyDescent="0.25">
      <c r="A352" s="100" t="s">
        <v>333</v>
      </c>
      <c r="B352"/>
      <c r="C352"/>
      <c r="D352">
        <f t="shared" si="25"/>
        <v>264</v>
      </c>
      <c r="E352" s="5" t="s">
        <v>831</v>
      </c>
      <c r="F352" t="s">
        <v>832</v>
      </c>
      <c r="G352" s="3">
        <v>1.06</v>
      </c>
      <c r="H352" s="3">
        <v>184</v>
      </c>
    </row>
    <row r="353" spans="1:30" x14ac:dyDescent="0.25">
      <c r="A353" t="s">
        <v>333</v>
      </c>
      <c r="B353"/>
      <c r="C353"/>
      <c r="D353">
        <f t="shared" si="25"/>
        <v>265</v>
      </c>
      <c r="E353" t="s">
        <v>833</v>
      </c>
      <c r="F353" t="s">
        <v>834</v>
      </c>
      <c r="G353" s="3">
        <v>10.67</v>
      </c>
      <c r="H353" s="3">
        <v>114</v>
      </c>
    </row>
    <row r="354" spans="1:30" x14ac:dyDescent="0.25">
      <c r="A354" s="100" t="s">
        <v>333</v>
      </c>
      <c r="B354"/>
      <c r="C354"/>
      <c r="D354">
        <f t="shared" si="25"/>
        <v>266</v>
      </c>
      <c r="E354" t="s">
        <v>1936</v>
      </c>
      <c r="F354" t="s">
        <v>1937</v>
      </c>
      <c r="G354" s="7">
        <v>1</v>
      </c>
    </row>
    <row r="355" spans="1:30" x14ac:dyDescent="0.25">
      <c r="A355" s="100" t="s">
        <v>333</v>
      </c>
      <c r="B355"/>
      <c r="C355"/>
      <c r="D355">
        <f t="shared" si="25"/>
        <v>267</v>
      </c>
      <c r="E355" t="s">
        <v>835</v>
      </c>
      <c r="F355" t="s">
        <v>836</v>
      </c>
      <c r="G355" s="3">
        <v>8.18</v>
      </c>
      <c r="H355" s="3">
        <v>363</v>
      </c>
    </row>
    <row r="356" spans="1:30" s="33" customFormat="1" ht="13" x14ac:dyDescent="0.3">
      <c r="D356" s="33">
        <f t="shared" si="25"/>
        <v>268</v>
      </c>
      <c r="E356" s="107" t="s">
        <v>837</v>
      </c>
      <c r="F356" s="107" t="s">
        <v>838</v>
      </c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60"/>
      <c r="T356" s="60"/>
      <c r="U356" s="60"/>
      <c r="V356" s="60"/>
      <c r="W356" s="60"/>
      <c r="X356" s="60"/>
      <c r="Y356" s="108"/>
      <c r="Z356" s="108"/>
      <c r="AA356" s="108"/>
      <c r="AB356" s="108"/>
      <c r="AC356" s="108"/>
      <c r="AD356" s="108"/>
    </row>
    <row r="357" spans="1:30" s="33" customFormat="1" ht="13" x14ac:dyDescent="0.3">
      <c r="D357" s="33">
        <f t="shared" si="25"/>
        <v>269</v>
      </c>
      <c r="E357" s="107" t="s">
        <v>839</v>
      </c>
      <c r="F357" s="107" t="s">
        <v>840</v>
      </c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60"/>
      <c r="T357" s="60"/>
      <c r="U357" s="60"/>
      <c r="V357" s="60"/>
      <c r="W357" s="60"/>
      <c r="X357" s="60"/>
      <c r="Y357" s="108"/>
      <c r="Z357" s="108"/>
      <c r="AA357" s="108"/>
      <c r="AB357" s="108"/>
      <c r="AC357" s="108"/>
      <c r="AD357" s="108"/>
    </row>
    <row r="358" spans="1:30" x14ac:dyDescent="0.25">
      <c r="A358"/>
      <c r="B358"/>
      <c r="C358"/>
      <c r="D358">
        <f t="shared" si="25"/>
        <v>270</v>
      </c>
      <c r="E358" t="s">
        <v>1297</v>
      </c>
      <c r="F358" t="s">
        <v>1298</v>
      </c>
      <c r="G358" s="7">
        <v>0.69</v>
      </c>
      <c r="H358" s="3">
        <v>164</v>
      </c>
    </row>
    <row r="359" spans="1:30" x14ac:dyDescent="0.25">
      <c r="A359" s="100" t="s">
        <v>333</v>
      </c>
      <c r="B359"/>
      <c r="C359"/>
      <c r="D359">
        <f t="shared" si="25"/>
        <v>271</v>
      </c>
      <c r="E359" t="s">
        <v>1968</v>
      </c>
      <c r="F359" t="s">
        <v>1969</v>
      </c>
      <c r="G359" s="7">
        <v>1.46</v>
      </c>
    </row>
    <row r="360" spans="1:30" x14ac:dyDescent="0.25">
      <c r="A360" s="100" t="s">
        <v>333</v>
      </c>
      <c r="B360"/>
      <c r="C360"/>
      <c r="D360">
        <f t="shared" si="25"/>
        <v>272</v>
      </c>
      <c r="E360" t="s">
        <v>841</v>
      </c>
      <c r="F360" t="s">
        <v>842</v>
      </c>
      <c r="G360" s="7">
        <v>1.6</v>
      </c>
      <c r="H360" s="3">
        <v>120</v>
      </c>
    </row>
    <row r="361" spans="1:30" x14ac:dyDescent="0.25">
      <c r="A361" s="100" t="s">
        <v>333</v>
      </c>
      <c r="B361"/>
      <c r="C361"/>
      <c r="D361">
        <f t="shared" si="25"/>
        <v>273</v>
      </c>
      <c r="E361" t="s">
        <v>843</v>
      </c>
      <c r="F361" t="s">
        <v>844</v>
      </c>
      <c r="G361" s="3">
        <v>1.56</v>
      </c>
      <c r="H361" s="3">
        <v>107</v>
      </c>
    </row>
    <row r="362" spans="1:30" x14ac:dyDescent="0.25">
      <c r="A362" t="s">
        <v>333</v>
      </c>
      <c r="B362"/>
      <c r="C362"/>
      <c r="D362">
        <f t="shared" si="25"/>
        <v>274</v>
      </c>
      <c r="E362" s="5" t="s">
        <v>849</v>
      </c>
      <c r="F362" t="s">
        <v>850</v>
      </c>
      <c r="G362" s="3">
        <v>0.25</v>
      </c>
    </row>
    <row r="363" spans="1:30" x14ac:dyDescent="0.25">
      <c r="A363" s="87" t="s">
        <v>333</v>
      </c>
      <c r="B363"/>
      <c r="C363"/>
      <c r="D363">
        <f t="shared" si="25"/>
        <v>275</v>
      </c>
      <c r="E363" s="5" t="s">
        <v>851</v>
      </c>
      <c r="F363" t="s">
        <v>852</v>
      </c>
      <c r="G363" s="3">
        <v>17.79</v>
      </c>
    </row>
    <row r="364" spans="1:30" x14ac:dyDescent="0.25">
      <c r="A364"/>
      <c r="B364"/>
      <c r="C364"/>
      <c r="D364">
        <f t="shared" si="25"/>
        <v>276</v>
      </c>
      <c r="E364" t="s">
        <v>853</v>
      </c>
      <c r="F364" t="s">
        <v>854</v>
      </c>
      <c r="G364" s="7">
        <v>20.5</v>
      </c>
    </row>
    <row r="365" spans="1:30" x14ac:dyDescent="0.25">
      <c r="A365" s="87" t="s">
        <v>333</v>
      </c>
      <c r="B365"/>
      <c r="C365"/>
      <c r="D365">
        <f t="shared" si="25"/>
        <v>277</v>
      </c>
      <c r="E365" s="5" t="s">
        <v>855</v>
      </c>
      <c r="F365" t="s">
        <v>856</v>
      </c>
      <c r="G365" s="3">
        <v>24.24</v>
      </c>
      <c r="H365" s="6">
        <f>+G365*L365</f>
        <v>737.54277167999999</v>
      </c>
      <c r="I365" s="6">
        <f>+[155]Main!$K$5-[155]Main!$K$6</f>
        <v>458.03099999999995</v>
      </c>
      <c r="J365" s="6">
        <f>+H365-I365</f>
        <v>279.51177168000004</v>
      </c>
      <c r="K365" s="3" t="s">
        <v>1275</v>
      </c>
      <c r="L365" s="6">
        <f>+[155]Main!$K$3</f>
        <v>30.426682</v>
      </c>
      <c r="M365" s="9">
        <v>45631</v>
      </c>
    </row>
    <row r="366" spans="1:30" x14ac:dyDescent="0.25">
      <c r="A366" t="s">
        <v>333</v>
      </c>
      <c r="B366"/>
      <c r="C366"/>
      <c r="D366">
        <f t="shared" si="25"/>
        <v>278</v>
      </c>
      <c r="E366" s="5" t="s">
        <v>857</v>
      </c>
      <c r="F366" t="s">
        <v>858</v>
      </c>
      <c r="G366" s="3">
        <v>0.92</v>
      </c>
      <c r="H366" s="6">
        <f>+G366*L366</f>
        <v>105.99633444000001</v>
      </c>
      <c r="I366" s="6">
        <f>+[156]Main!$J$5-[156]Main!$J$6</f>
        <v>316.5809999999999</v>
      </c>
      <c r="J366" s="6">
        <f>+H366-I366</f>
        <v>-210.58466555999991</v>
      </c>
      <c r="K366" s="3" t="s">
        <v>1275</v>
      </c>
      <c r="L366" s="6">
        <f>+[156]Main!$J$3</f>
        <v>115.213407</v>
      </c>
      <c r="M366" s="9">
        <v>45631</v>
      </c>
    </row>
    <row r="367" spans="1:30" x14ac:dyDescent="0.25">
      <c r="A367" t="s">
        <v>333</v>
      </c>
      <c r="B367"/>
      <c r="C367"/>
      <c r="D367">
        <f t="shared" si="25"/>
        <v>279</v>
      </c>
      <c r="E367" t="s">
        <v>859</v>
      </c>
      <c r="F367" t="s">
        <v>860</v>
      </c>
      <c r="G367" s="3">
        <v>8.4600000000000009</v>
      </c>
    </row>
    <row r="368" spans="1:30" s="33" customFormat="1" ht="13" x14ac:dyDescent="0.3">
      <c r="A368" s="33" t="s">
        <v>333</v>
      </c>
      <c r="D368" s="33">
        <f t="shared" si="25"/>
        <v>280</v>
      </c>
      <c r="E368" s="33" t="s">
        <v>861</v>
      </c>
      <c r="F368" s="33" t="s">
        <v>862</v>
      </c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60"/>
      <c r="T368" s="60"/>
      <c r="U368" s="60"/>
      <c r="V368" s="60"/>
      <c r="W368" s="60"/>
      <c r="X368" s="60"/>
      <c r="Y368" s="108"/>
      <c r="Z368" s="108"/>
      <c r="AA368" s="108"/>
      <c r="AB368" s="108"/>
      <c r="AC368" s="108"/>
      <c r="AD368" s="108"/>
    </row>
    <row r="369" spans="1:13" x14ac:dyDescent="0.25">
      <c r="A369" s="87" t="s">
        <v>333</v>
      </c>
      <c r="B369"/>
      <c r="C369"/>
      <c r="D369">
        <f t="shared" si="25"/>
        <v>281</v>
      </c>
      <c r="E369" t="s">
        <v>1934</v>
      </c>
      <c r="F369" t="s">
        <v>1935</v>
      </c>
      <c r="G369" s="3">
        <v>12.09</v>
      </c>
    </row>
    <row r="370" spans="1:13" x14ac:dyDescent="0.25">
      <c r="A370" s="87" t="s">
        <v>333</v>
      </c>
      <c r="B370"/>
      <c r="C370"/>
      <c r="D370">
        <f t="shared" si="25"/>
        <v>282</v>
      </c>
      <c r="E370" t="s">
        <v>863</v>
      </c>
      <c r="F370" t="s">
        <v>864</v>
      </c>
      <c r="G370" s="3">
        <v>15.18</v>
      </c>
    </row>
    <row r="371" spans="1:13" x14ac:dyDescent="0.25">
      <c r="A371" s="87" t="s">
        <v>333</v>
      </c>
      <c r="B371"/>
      <c r="C371"/>
      <c r="D371">
        <f t="shared" si="25"/>
        <v>283</v>
      </c>
      <c r="E371" t="s">
        <v>865</v>
      </c>
      <c r="F371" t="s">
        <v>866</v>
      </c>
      <c r="G371" s="3">
        <v>2.37</v>
      </c>
    </row>
    <row r="372" spans="1:13" x14ac:dyDescent="0.25">
      <c r="A372" s="87" t="s">
        <v>333</v>
      </c>
      <c r="B372"/>
      <c r="C372"/>
      <c r="D372">
        <f t="shared" si="25"/>
        <v>284</v>
      </c>
      <c r="E372" t="s">
        <v>871</v>
      </c>
      <c r="F372" t="s">
        <v>872</v>
      </c>
      <c r="G372" s="7">
        <v>1.79</v>
      </c>
    </row>
    <row r="373" spans="1:13" x14ac:dyDescent="0.25">
      <c r="A373" s="87" t="s">
        <v>333</v>
      </c>
      <c r="B373"/>
      <c r="C373"/>
      <c r="D373">
        <f>+D375+1</f>
        <v>287</v>
      </c>
      <c r="E373" s="5" t="s">
        <v>875</v>
      </c>
      <c r="F373" t="s">
        <v>876</v>
      </c>
      <c r="G373" s="7">
        <v>1.91</v>
      </c>
      <c r="H373" s="6">
        <f>+G373*L373</f>
        <v>569.12827719999996</v>
      </c>
      <c r="I373" s="6">
        <f>+[157]Main!$J$5-[157]Main!$J$6</f>
        <v>59.753</v>
      </c>
      <c r="J373" s="6">
        <f>+H373-I373</f>
        <v>509.37527719999997</v>
      </c>
      <c r="K373" s="3" t="s">
        <v>1995</v>
      </c>
      <c r="L373" s="6">
        <f>+[157]Main!$J$3</f>
        <v>297.97291999999999</v>
      </c>
      <c r="M373" s="9">
        <v>45882</v>
      </c>
    </row>
    <row r="374" spans="1:13" x14ac:dyDescent="0.25">
      <c r="A374" s="87" t="s">
        <v>333</v>
      </c>
      <c r="B374"/>
      <c r="C374"/>
      <c r="D374">
        <f>+D372+1</f>
        <v>285</v>
      </c>
      <c r="E374" s="5" t="s">
        <v>909</v>
      </c>
      <c r="F374" t="s">
        <v>910</v>
      </c>
      <c r="G374" s="7">
        <v>3.36</v>
      </c>
      <c r="H374" s="6">
        <f>+G374*L374</f>
        <v>636.69206159999999</v>
      </c>
      <c r="I374" s="6">
        <f>+[158]Main!$L$5-[158]Main!$L$6</f>
        <v>130.75800000000001</v>
      </c>
      <c r="J374" s="6">
        <f>+H374-I374</f>
        <v>505.93406159999995</v>
      </c>
      <c r="K374" s="3" t="s">
        <v>1275</v>
      </c>
      <c r="L374" s="6">
        <f>+[158]Main!$L$3</f>
        <v>189.49168499999999</v>
      </c>
      <c r="M374" s="9">
        <v>45712</v>
      </c>
    </row>
    <row r="375" spans="1:13" x14ac:dyDescent="0.25">
      <c r="A375" s="87" t="s">
        <v>333</v>
      </c>
      <c r="B375"/>
      <c r="C375"/>
      <c r="D375">
        <f t="shared" si="25"/>
        <v>286</v>
      </c>
      <c r="E375" s="5" t="s">
        <v>1818</v>
      </c>
      <c r="F375" t="s">
        <v>1819</v>
      </c>
      <c r="G375" s="7">
        <v>7.6</v>
      </c>
      <c r="H375" s="6">
        <f>+G375*L375</f>
        <v>347.3794244</v>
      </c>
      <c r="I375" s="6">
        <f>+[159]Main!$K$5-[159]Main!$K$6</f>
        <v>144.77739600000001</v>
      </c>
      <c r="J375" s="6">
        <f>+H375-I375</f>
        <v>202.60202839999999</v>
      </c>
      <c r="K375" s="3" t="s">
        <v>1842</v>
      </c>
      <c r="L375" s="6">
        <f>+[159]Main!$K$3</f>
        <v>45.707819000000001</v>
      </c>
      <c r="M375" s="9">
        <v>45845</v>
      </c>
    </row>
    <row r="376" spans="1:13" x14ac:dyDescent="0.25">
      <c r="A376" s="87" t="s">
        <v>333</v>
      </c>
      <c r="B376"/>
      <c r="C376"/>
      <c r="D376">
        <f>+D373+1</f>
        <v>288</v>
      </c>
      <c r="E376" t="s">
        <v>899</v>
      </c>
      <c r="F376" t="s">
        <v>900</v>
      </c>
      <c r="G376" s="3">
        <v>3.74</v>
      </c>
      <c r="H376" s="3">
        <v>404</v>
      </c>
    </row>
    <row r="377" spans="1:13" x14ac:dyDescent="0.25">
      <c r="A377" s="87" t="s">
        <v>333</v>
      </c>
      <c r="B377"/>
      <c r="C377"/>
      <c r="D377">
        <f t="shared" si="25"/>
        <v>289</v>
      </c>
      <c r="E377" t="s">
        <v>1828</v>
      </c>
      <c r="F377" t="s">
        <v>1829</v>
      </c>
      <c r="G377" s="7">
        <v>22.09</v>
      </c>
      <c r="H377" s="3">
        <v>365</v>
      </c>
    </row>
    <row r="378" spans="1:13" x14ac:dyDescent="0.25">
      <c r="A378" s="87" t="s">
        <v>333</v>
      </c>
      <c r="B378"/>
      <c r="C378"/>
      <c r="D378">
        <f t="shared" si="25"/>
        <v>290</v>
      </c>
      <c r="E378" t="s">
        <v>895</v>
      </c>
      <c r="F378" t="s">
        <v>896</v>
      </c>
      <c r="G378" s="7">
        <v>22.81</v>
      </c>
      <c r="H378" s="3">
        <v>300</v>
      </c>
    </row>
    <row r="379" spans="1:13" x14ac:dyDescent="0.25">
      <c r="A379" s="87" t="s">
        <v>333</v>
      </c>
      <c r="B379"/>
      <c r="C379"/>
      <c r="D379">
        <f t="shared" si="25"/>
        <v>291</v>
      </c>
      <c r="E379" t="s">
        <v>887</v>
      </c>
      <c r="F379" t="s">
        <v>888</v>
      </c>
      <c r="G379" s="7">
        <v>8.5</v>
      </c>
      <c r="H379" s="3">
        <v>327</v>
      </c>
    </row>
    <row r="380" spans="1:13" x14ac:dyDescent="0.25">
      <c r="A380" s="87" t="s">
        <v>333</v>
      </c>
      <c r="B380"/>
      <c r="C380"/>
      <c r="D380">
        <f t="shared" ref="D380:D443" si="26">+D379+1</f>
        <v>292</v>
      </c>
      <c r="E380" t="s">
        <v>905</v>
      </c>
      <c r="F380" t="s">
        <v>906</v>
      </c>
      <c r="G380" s="7">
        <v>27</v>
      </c>
      <c r="H380" s="3">
        <v>245</v>
      </c>
    </row>
    <row r="381" spans="1:13" x14ac:dyDescent="0.25">
      <c r="A381" s="87" t="s">
        <v>333</v>
      </c>
      <c r="B381"/>
      <c r="C381"/>
      <c r="D381">
        <f t="shared" si="26"/>
        <v>293</v>
      </c>
      <c r="E381" s="5" t="s">
        <v>1830</v>
      </c>
      <c r="F381" t="s">
        <v>1831</v>
      </c>
      <c r="G381" s="7">
        <v>4.59</v>
      </c>
      <c r="H381" s="6">
        <f>+G381*L381</f>
        <v>425.36967587999999</v>
      </c>
      <c r="I381" s="6">
        <f>+[160]Sheet1!$K$5-[160]Sheet1!$K$6</f>
        <v>134.916</v>
      </c>
      <c r="J381" s="6">
        <f>+H381-I381</f>
        <v>290.45367587999999</v>
      </c>
      <c r="K381" s="3" t="s">
        <v>1276</v>
      </c>
      <c r="L381" s="6">
        <f>[160]Sheet1!$K$3</f>
        <v>92.673131999999995</v>
      </c>
      <c r="M381" s="9">
        <v>45762</v>
      </c>
    </row>
    <row r="382" spans="1:13" x14ac:dyDescent="0.25">
      <c r="A382" s="87" t="s">
        <v>333</v>
      </c>
      <c r="B382"/>
      <c r="C382"/>
      <c r="D382">
        <f t="shared" si="26"/>
        <v>294</v>
      </c>
      <c r="E382" t="s">
        <v>881</v>
      </c>
      <c r="F382" t="s">
        <v>882</v>
      </c>
      <c r="G382" s="7">
        <v>6.51</v>
      </c>
      <c r="H382" s="3">
        <v>145</v>
      </c>
    </row>
    <row r="383" spans="1:13" x14ac:dyDescent="0.25">
      <c r="A383" s="87" t="s">
        <v>333</v>
      </c>
      <c r="B383"/>
      <c r="C383"/>
      <c r="D383">
        <f t="shared" si="26"/>
        <v>295</v>
      </c>
      <c r="E383" s="5" t="s">
        <v>893</v>
      </c>
      <c r="F383" t="s">
        <v>894</v>
      </c>
      <c r="G383" s="7">
        <v>3.78</v>
      </c>
      <c r="H383" s="6">
        <f>+G383*L383</f>
        <v>402.91168175999996</v>
      </c>
      <c r="I383" s="6">
        <f>+[161]Main!$J$5-[161]Main!$J$6</f>
        <v>204.524</v>
      </c>
      <c r="J383" s="6">
        <f>+H383-I383</f>
        <v>198.38768175999996</v>
      </c>
      <c r="K383" s="3" t="s">
        <v>1995</v>
      </c>
      <c r="L383" s="6">
        <f>+[161]Main!$J$3</f>
        <v>106.59039199999999</v>
      </c>
      <c r="M383" s="9">
        <v>45898</v>
      </c>
    </row>
    <row r="384" spans="1:13" x14ac:dyDescent="0.25">
      <c r="A384" s="87" t="s">
        <v>333</v>
      </c>
      <c r="B384"/>
      <c r="C384"/>
      <c r="D384">
        <f t="shared" si="26"/>
        <v>296</v>
      </c>
      <c r="E384" t="s">
        <v>911</v>
      </c>
      <c r="F384" t="s">
        <v>912</v>
      </c>
      <c r="G384" s="3">
        <v>4.88</v>
      </c>
    </row>
    <row r="385" spans="1:7" x14ac:dyDescent="0.25">
      <c r="A385" s="87" t="s">
        <v>333</v>
      </c>
      <c r="B385"/>
      <c r="C385"/>
      <c r="D385">
        <f t="shared" si="26"/>
        <v>297</v>
      </c>
      <c r="E385" t="s">
        <v>913</v>
      </c>
      <c r="F385" t="s">
        <v>914</v>
      </c>
      <c r="G385" s="3">
        <v>5.13</v>
      </c>
    </row>
    <row r="386" spans="1:7" x14ac:dyDescent="0.25">
      <c r="A386" s="87" t="s">
        <v>333</v>
      </c>
      <c r="B386"/>
      <c r="C386"/>
      <c r="D386">
        <f t="shared" si="26"/>
        <v>298</v>
      </c>
      <c r="E386" t="s">
        <v>1927</v>
      </c>
      <c r="F386" t="s">
        <v>1928</v>
      </c>
      <c r="G386" s="3">
        <v>4.22</v>
      </c>
    </row>
    <row r="387" spans="1:7" x14ac:dyDescent="0.25">
      <c r="A387" s="87" t="s">
        <v>333</v>
      </c>
      <c r="B387"/>
      <c r="C387"/>
      <c r="D387">
        <f t="shared" si="26"/>
        <v>299</v>
      </c>
      <c r="E387" t="s">
        <v>917</v>
      </c>
      <c r="F387" t="s">
        <v>918</v>
      </c>
      <c r="G387" s="3">
        <v>7.34</v>
      </c>
    </row>
    <row r="388" spans="1:7" x14ac:dyDescent="0.25">
      <c r="A388" s="87" t="s">
        <v>333</v>
      </c>
      <c r="B388"/>
      <c r="C388"/>
      <c r="D388">
        <f t="shared" si="26"/>
        <v>300</v>
      </c>
      <c r="E388" t="s">
        <v>927</v>
      </c>
      <c r="F388" t="s">
        <v>928</v>
      </c>
      <c r="G388" s="7">
        <v>2.6</v>
      </c>
    </row>
    <row r="389" spans="1:7" x14ac:dyDescent="0.25">
      <c r="A389" s="87" t="s">
        <v>333</v>
      </c>
      <c r="B389"/>
      <c r="C389"/>
      <c r="D389">
        <f t="shared" si="26"/>
        <v>301</v>
      </c>
      <c r="E389" t="s">
        <v>929</v>
      </c>
      <c r="F389" t="s">
        <v>932</v>
      </c>
      <c r="G389" s="3">
        <v>9.81</v>
      </c>
    </row>
    <row r="390" spans="1:7" x14ac:dyDescent="0.25">
      <c r="A390" s="87" t="s">
        <v>333</v>
      </c>
      <c r="B390"/>
      <c r="C390"/>
      <c r="D390">
        <f t="shared" si="26"/>
        <v>302</v>
      </c>
      <c r="E390" t="s">
        <v>1952</v>
      </c>
      <c r="F390" t="s">
        <v>1955</v>
      </c>
      <c r="G390" s="3">
        <v>4.46</v>
      </c>
    </row>
    <row r="391" spans="1:7" x14ac:dyDescent="0.25">
      <c r="A391" s="87" t="s">
        <v>333</v>
      </c>
      <c r="B391"/>
      <c r="C391"/>
      <c r="D391">
        <f t="shared" si="26"/>
        <v>303</v>
      </c>
      <c r="E391" t="s">
        <v>1953</v>
      </c>
      <c r="F391" t="s">
        <v>1954</v>
      </c>
      <c r="G391" s="3">
        <v>2.54</v>
      </c>
    </row>
    <row r="392" spans="1:7" x14ac:dyDescent="0.25">
      <c r="A392" s="87" t="s">
        <v>333</v>
      </c>
      <c r="B392"/>
      <c r="C392"/>
      <c r="D392">
        <f t="shared" si="26"/>
        <v>304</v>
      </c>
      <c r="E392" t="s">
        <v>930</v>
      </c>
      <c r="F392" t="s">
        <v>931</v>
      </c>
      <c r="G392" s="3">
        <v>0.54</v>
      </c>
    </row>
    <row r="393" spans="1:7" x14ac:dyDescent="0.25">
      <c r="A393" s="87" t="s">
        <v>333</v>
      </c>
      <c r="B393"/>
      <c r="C393"/>
      <c r="D393">
        <f t="shared" si="26"/>
        <v>305</v>
      </c>
      <c r="E393" t="s">
        <v>947</v>
      </c>
      <c r="F393" t="s">
        <v>948</v>
      </c>
      <c r="G393" s="3">
        <v>12.06</v>
      </c>
    </row>
    <row r="394" spans="1:7" x14ac:dyDescent="0.25">
      <c r="A394" s="87" t="s">
        <v>333</v>
      </c>
      <c r="B394"/>
      <c r="C394"/>
      <c r="D394">
        <f t="shared" si="26"/>
        <v>306</v>
      </c>
      <c r="E394" t="s">
        <v>1902</v>
      </c>
      <c r="F394" t="s">
        <v>1903</v>
      </c>
      <c r="G394" s="3">
        <v>9.06</v>
      </c>
    </row>
    <row r="395" spans="1:7" x14ac:dyDescent="0.25">
      <c r="A395" s="87" t="s">
        <v>333</v>
      </c>
      <c r="B395"/>
      <c r="C395"/>
      <c r="D395">
        <f t="shared" si="26"/>
        <v>307</v>
      </c>
      <c r="E395" t="s">
        <v>953</v>
      </c>
      <c r="F395" t="s">
        <v>954</v>
      </c>
      <c r="G395" s="7">
        <v>1.5</v>
      </c>
    </row>
    <row r="396" spans="1:7" x14ac:dyDescent="0.25">
      <c r="A396" s="87" t="s">
        <v>333</v>
      </c>
      <c r="B396"/>
      <c r="C396"/>
      <c r="D396">
        <f t="shared" si="26"/>
        <v>308</v>
      </c>
      <c r="E396" t="s">
        <v>1877</v>
      </c>
      <c r="F396" t="s">
        <v>1878</v>
      </c>
      <c r="G396" s="7">
        <v>21.07</v>
      </c>
    </row>
    <row r="397" spans="1:7" x14ac:dyDescent="0.25">
      <c r="A397" s="87" t="s">
        <v>333</v>
      </c>
      <c r="B397"/>
      <c r="C397"/>
      <c r="D397">
        <f t="shared" si="26"/>
        <v>309</v>
      </c>
      <c r="E397" t="s">
        <v>1875</v>
      </c>
      <c r="F397" t="s">
        <v>1876</v>
      </c>
      <c r="G397" s="3">
        <v>16.350000000000001</v>
      </c>
    </row>
    <row r="398" spans="1:7" x14ac:dyDescent="0.25">
      <c r="A398" s="87" t="s">
        <v>333</v>
      </c>
      <c r="B398"/>
      <c r="C398"/>
      <c r="D398">
        <f t="shared" si="26"/>
        <v>310</v>
      </c>
      <c r="E398" t="s">
        <v>963</v>
      </c>
      <c r="F398" t="s">
        <v>964</v>
      </c>
      <c r="G398" s="7">
        <v>6.7</v>
      </c>
    </row>
    <row r="399" spans="1:7" x14ac:dyDescent="0.25">
      <c r="A399" s="87" t="s">
        <v>333</v>
      </c>
      <c r="B399"/>
      <c r="C399"/>
      <c r="D399">
        <f t="shared" si="26"/>
        <v>311</v>
      </c>
      <c r="E399" t="s">
        <v>965</v>
      </c>
      <c r="F399" t="s">
        <v>966</v>
      </c>
      <c r="G399" s="3">
        <v>2.25</v>
      </c>
    </row>
    <row r="400" spans="1:7" x14ac:dyDescent="0.25">
      <c r="A400" s="87" t="s">
        <v>333</v>
      </c>
      <c r="B400"/>
      <c r="C400"/>
      <c r="D400">
        <f t="shared" si="26"/>
        <v>312</v>
      </c>
      <c r="E400" t="s">
        <v>967</v>
      </c>
      <c r="F400" t="s">
        <v>968</v>
      </c>
      <c r="G400" s="3">
        <v>2.06</v>
      </c>
    </row>
    <row r="401" spans="1:13" x14ac:dyDescent="0.25">
      <c r="A401" s="87" t="s">
        <v>333</v>
      </c>
      <c r="B401"/>
      <c r="C401"/>
      <c r="D401">
        <f t="shared" si="26"/>
        <v>313</v>
      </c>
      <c r="E401" t="s">
        <v>969</v>
      </c>
      <c r="F401" t="s">
        <v>970</v>
      </c>
      <c r="G401" s="3">
        <v>11.21</v>
      </c>
    </row>
    <row r="402" spans="1:13" x14ac:dyDescent="0.25">
      <c r="A402" s="87" t="s">
        <v>333</v>
      </c>
      <c r="B402"/>
      <c r="C402"/>
      <c r="D402">
        <f t="shared" si="26"/>
        <v>314</v>
      </c>
      <c r="E402" t="s">
        <v>1906</v>
      </c>
      <c r="F402" t="s">
        <v>1907</v>
      </c>
      <c r="G402" s="3">
        <v>14.16</v>
      </c>
    </row>
    <row r="403" spans="1:13" x14ac:dyDescent="0.25">
      <c r="A403" s="87" t="s">
        <v>333</v>
      </c>
      <c r="B403"/>
      <c r="C403"/>
      <c r="D403">
        <f t="shared" si="26"/>
        <v>315</v>
      </c>
      <c r="E403" t="s">
        <v>1914</v>
      </c>
      <c r="F403" t="s">
        <v>1915</v>
      </c>
      <c r="G403" s="3">
        <v>21.45</v>
      </c>
    </row>
    <row r="404" spans="1:13" x14ac:dyDescent="0.25">
      <c r="A404" s="87" t="s">
        <v>333</v>
      </c>
      <c r="B404"/>
      <c r="C404"/>
      <c r="D404">
        <f t="shared" si="26"/>
        <v>316</v>
      </c>
      <c r="E404" t="s">
        <v>1830</v>
      </c>
      <c r="F404" t="s">
        <v>1916</v>
      </c>
      <c r="G404" s="7">
        <v>2.9</v>
      </c>
    </row>
    <row r="405" spans="1:13" x14ac:dyDescent="0.25">
      <c r="A405" s="87" t="s">
        <v>333</v>
      </c>
      <c r="D405">
        <f t="shared" si="26"/>
        <v>317</v>
      </c>
      <c r="E405" s="5" t="s">
        <v>1788</v>
      </c>
      <c r="F405" s="1" t="s">
        <v>1789</v>
      </c>
      <c r="G405" s="7">
        <v>21.73</v>
      </c>
      <c r="H405" s="6">
        <f>+G405*L405</f>
        <v>320.57593197</v>
      </c>
      <c r="I405" s="6">
        <f>+[162]Main!$M$5-[162]Main!$M$6</f>
        <v>159.095</v>
      </c>
      <c r="J405" s="6">
        <f>+H405-I405</f>
        <v>161.48093197</v>
      </c>
      <c r="K405" s="3" t="s">
        <v>1275</v>
      </c>
      <c r="L405" s="6">
        <f>+[162]Main!$M$3</f>
        <v>14.752689</v>
      </c>
      <c r="M405" s="9">
        <v>45687</v>
      </c>
    </row>
    <row r="406" spans="1:13" x14ac:dyDescent="0.25">
      <c r="A406" s="87" t="s">
        <v>333</v>
      </c>
      <c r="B406" s="1">
        <v>6</v>
      </c>
      <c r="C406" s="1">
        <v>2</v>
      </c>
      <c r="D406">
        <f t="shared" si="26"/>
        <v>318</v>
      </c>
      <c r="E406" s="5" t="s">
        <v>1634</v>
      </c>
      <c r="F406" t="s">
        <v>1633</v>
      </c>
      <c r="G406" s="3">
        <v>36.130000000000003</v>
      </c>
      <c r="H406" s="6">
        <f>+G406*L406</f>
        <v>221.26326330999999</v>
      </c>
      <c r="I406" s="6">
        <f>+[163]Main!$L$5-[163]Main!$L$6</f>
        <v>40.720092000000001</v>
      </c>
      <c r="J406" s="6">
        <f>+H406-I406</f>
        <v>180.54317130999999</v>
      </c>
      <c r="K406" s="3" t="s">
        <v>1069</v>
      </c>
      <c r="L406" s="6">
        <f>+[163]Main!$L$3</f>
        <v>6.1240869999999994</v>
      </c>
      <c r="M406" s="9">
        <v>45630</v>
      </c>
    </row>
    <row r="407" spans="1:13" x14ac:dyDescent="0.25">
      <c r="A407" s="87" t="s">
        <v>333</v>
      </c>
      <c r="D407">
        <f t="shared" si="26"/>
        <v>319</v>
      </c>
      <c r="E407" s="5" t="s">
        <v>1622</v>
      </c>
      <c r="F407" t="s">
        <v>1621</v>
      </c>
      <c r="G407" s="7">
        <v>5.88</v>
      </c>
      <c r="H407" s="6">
        <f>+G407*L407</f>
        <v>574.07028000000003</v>
      </c>
      <c r="I407" s="6">
        <f>+[164]Main!$M$5-[164]Main!$M$6</f>
        <v>195.3</v>
      </c>
      <c r="J407" s="6">
        <f>+H407-I407</f>
        <v>378.77028000000001</v>
      </c>
      <c r="K407" s="3" t="s">
        <v>1275</v>
      </c>
      <c r="L407" s="6">
        <f>+[164]Main!$M$3</f>
        <v>97.631</v>
      </c>
      <c r="M407" s="9">
        <v>45629</v>
      </c>
    </row>
    <row r="408" spans="1:13" x14ac:dyDescent="0.25">
      <c r="A408" s="87" t="s">
        <v>333</v>
      </c>
      <c r="D408">
        <f t="shared" si="26"/>
        <v>320</v>
      </c>
      <c r="E408" s="5" t="s">
        <v>1639</v>
      </c>
      <c r="F408" t="s">
        <v>1640</v>
      </c>
      <c r="G408" s="7">
        <v>6.31</v>
      </c>
      <c r="H408" s="6">
        <f>+G408*L408</f>
        <v>204.92063847</v>
      </c>
      <c r="I408" s="6">
        <f>+[165]Main!$M$5-[165]Main!$M$6</f>
        <v>1.9079999999999977</v>
      </c>
      <c r="J408" s="6">
        <f>+H408-I408</f>
        <v>203.01263847000001</v>
      </c>
      <c r="K408" s="3" t="s">
        <v>1275</v>
      </c>
      <c r="L408" s="6">
        <f>+[165]Main!$M$3</f>
        <v>32.475537000000003</v>
      </c>
      <c r="M408" s="9">
        <v>45630</v>
      </c>
    </row>
    <row r="409" spans="1:13" x14ac:dyDescent="0.25">
      <c r="A409" s="87" t="s">
        <v>333</v>
      </c>
      <c r="D409">
        <f t="shared" si="26"/>
        <v>321</v>
      </c>
      <c r="E409" s="5" t="s">
        <v>1610</v>
      </c>
      <c r="F409" t="s">
        <v>1611</v>
      </c>
      <c r="G409" s="3">
        <v>0.83</v>
      </c>
      <c r="H409" s="6">
        <f t="shared" ref="H409:H411" si="27">+G409*L409</f>
        <v>107.21110332000001</v>
      </c>
      <c r="I409" s="6">
        <f>+[166]Main!$L$5-[166]Main!$L$6</f>
        <v>65.116</v>
      </c>
      <c r="J409" s="6">
        <f t="shared" ref="J409:J411" si="28">+H409-I409</f>
        <v>42.095103320000007</v>
      </c>
      <c r="K409" s="3" t="s">
        <v>1842</v>
      </c>
      <c r="L409" s="6">
        <f>+[166]Main!$L$3</f>
        <v>129.17000400000001</v>
      </c>
      <c r="M409" s="9">
        <v>45810</v>
      </c>
    </row>
    <row r="410" spans="1:13" x14ac:dyDescent="0.25">
      <c r="A410" s="87" t="s">
        <v>333</v>
      </c>
      <c r="D410">
        <f t="shared" si="26"/>
        <v>322</v>
      </c>
      <c r="E410" s="5" t="s">
        <v>1094</v>
      </c>
      <c r="F410" t="s">
        <v>1095</v>
      </c>
      <c r="G410" s="7">
        <v>6.49</v>
      </c>
      <c r="H410" s="6">
        <f t="shared" si="27"/>
        <v>281.11043653000002</v>
      </c>
      <c r="I410" s="6">
        <f>+[167]Main!$J$5-[167]Main!$J$6</f>
        <v>104.35299999999999</v>
      </c>
      <c r="J410" s="6">
        <f t="shared" si="28"/>
        <v>176.75743653000001</v>
      </c>
      <c r="K410" s="3" t="s">
        <v>1069</v>
      </c>
      <c r="L410" s="6">
        <f>+[167]Main!$J$3</f>
        <v>43.314397</v>
      </c>
      <c r="M410" s="9">
        <v>45525</v>
      </c>
    </row>
    <row r="411" spans="1:13" x14ac:dyDescent="0.25">
      <c r="A411" s="100" t="s">
        <v>333</v>
      </c>
      <c r="D411">
        <f t="shared" si="26"/>
        <v>323</v>
      </c>
      <c r="E411" s="5" t="s">
        <v>1432</v>
      </c>
      <c r="F411" s="1" t="s">
        <v>1433</v>
      </c>
      <c r="G411" s="3">
        <v>44.74</v>
      </c>
      <c r="H411" s="6">
        <f t="shared" si="27"/>
        <v>984.46607366000012</v>
      </c>
      <c r="I411" s="6">
        <f>+[168]Main!$P$5-[168]Main!$P$6</f>
        <v>-4.3319999999999999</v>
      </c>
      <c r="J411" s="6">
        <f t="shared" si="28"/>
        <v>988.79807366000011</v>
      </c>
      <c r="K411" s="3" t="s">
        <v>1069</v>
      </c>
      <c r="L411" s="6">
        <f>+[168]Main!$P$3</f>
        <v>22.004159000000001</v>
      </c>
      <c r="M411" s="9">
        <v>45587</v>
      </c>
    </row>
    <row r="412" spans="1:13" x14ac:dyDescent="0.25">
      <c r="A412" s="100" t="s">
        <v>333</v>
      </c>
      <c r="D412">
        <f t="shared" si="26"/>
        <v>324</v>
      </c>
      <c r="E412" s="5" t="s">
        <v>1629</v>
      </c>
      <c r="F412" s="1" t="s">
        <v>1630</v>
      </c>
      <c r="G412" s="7">
        <v>3.5</v>
      </c>
      <c r="H412" s="6">
        <f>+G412*L412</f>
        <v>190.866389</v>
      </c>
      <c r="I412" s="6">
        <f>+[169]Main!$L$5-[169]Main!$L$6</f>
        <v>371.02100000000002</v>
      </c>
      <c r="J412" s="6">
        <f>+H412-I412</f>
        <v>-180.15461100000002</v>
      </c>
      <c r="K412" s="3" t="s">
        <v>1069</v>
      </c>
      <c r="L412" s="6">
        <f>+[169]Main!$L$3</f>
        <v>54.533253999999999</v>
      </c>
      <c r="M412" s="9">
        <v>45629</v>
      </c>
    </row>
    <row r="413" spans="1:13" x14ac:dyDescent="0.25">
      <c r="A413" s="100" t="s">
        <v>333</v>
      </c>
      <c r="D413">
        <f t="shared" si="26"/>
        <v>325</v>
      </c>
      <c r="E413" t="s">
        <v>1962</v>
      </c>
      <c r="F413" t="s">
        <v>1963</v>
      </c>
      <c r="G413" s="3">
        <v>8.68</v>
      </c>
    </row>
    <row r="414" spans="1:13" x14ac:dyDescent="0.25">
      <c r="A414" s="100" t="s">
        <v>333</v>
      </c>
      <c r="D414">
        <f t="shared" si="26"/>
        <v>326</v>
      </c>
      <c r="E414" s="5" t="s">
        <v>1437</v>
      </c>
      <c r="F414" s="1" t="s">
        <v>1438</v>
      </c>
      <c r="G414" s="7">
        <v>40.82</v>
      </c>
    </row>
    <row r="415" spans="1:13" x14ac:dyDescent="0.25">
      <c r="A415" s="100" t="s">
        <v>333</v>
      </c>
      <c r="D415">
        <f t="shared" si="26"/>
        <v>327</v>
      </c>
      <c r="E415" s="1" t="s">
        <v>1637</v>
      </c>
      <c r="F415" t="s">
        <v>1638</v>
      </c>
      <c r="G415" s="3">
        <v>13.02</v>
      </c>
    </row>
    <row r="416" spans="1:13" x14ac:dyDescent="0.25">
      <c r="A416" s="100" t="s">
        <v>333</v>
      </c>
      <c r="D416">
        <f t="shared" si="26"/>
        <v>328</v>
      </c>
      <c r="E416" t="s">
        <v>1893</v>
      </c>
      <c r="F416" t="s">
        <v>1894</v>
      </c>
      <c r="G416" s="7">
        <v>0.5</v>
      </c>
    </row>
    <row r="417" spans="1:30" x14ac:dyDescent="0.25">
      <c r="A417" s="100" t="s">
        <v>333</v>
      </c>
      <c r="D417">
        <f t="shared" si="26"/>
        <v>329</v>
      </c>
      <c r="E417" t="s">
        <v>1929</v>
      </c>
      <c r="F417" t="s">
        <v>1930</v>
      </c>
      <c r="G417" s="3">
        <v>3.53</v>
      </c>
    </row>
    <row r="418" spans="1:30" x14ac:dyDescent="0.25">
      <c r="A418" s="100" t="s">
        <v>333</v>
      </c>
      <c r="D418">
        <f t="shared" si="26"/>
        <v>330</v>
      </c>
      <c r="E418" t="s">
        <v>1931</v>
      </c>
      <c r="F418" t="s">
        <v>1932</v>
      </c>
      <c r="G418" s="3">
        <v>6.86</v>
      </c>
    </row>
    <row r="419" spans="1:30" s="33" customFormat="1" ht="13" x14ac:dyDescent="0.3">
      <c r="A419" s="107" t="s">
        <v>333</v>
      </c>
      <c r="D419" s="33">
        <f t="shared" si="26"/>
        <v>331</v>
      </c>
      <c r="E419" s="33" t="s">
        <v>1643</v>
      </c>
      <c r="F419" s="33" t="s">
        <v>1644</v>
      </c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60"/>
      <c r="T419" s="60"/>
      <c r="U419" s="60"/>
      <c r="V419" s="60"/>
      <c r="W419" s="60"/>
      <c r="X419" s="60"/>
      <c r="Y419" s="108"/>
      <c r="Z419" s="108"/>
      <c r="AA419" s="108"/>
      <c r="AB419" s="108"/>
      <c r="AC419" s="108"/>
      <c r="AD419" s="108"/>
    </row>
    <row r="420" spans="1:30" x14ac:dyDescent="0.25">
      <c r="A420" s="100" t="s">
        <v>333</v>
      </c>
      <c r="D420">
        <f t="shared" si="26"/>
        <v>332</v>
      </c>
      <c r="E420" s="1" t="s">
        <v>1645</v>
      </c>
      <c r="F420" t="s">
        <v>1646</v>
      </c>
      <c r="G420" s="3">
        <v>3.94</v>
      </c>
    </row>
    <row r="421" spans="1:30" x14ac:dyDescent="0.25">
      <c r="A421" s="100" t="s">
        <v>333</v>
      </c>
      <c r="B421" s="1">
        <v>7</v>
      </c>
      <c r="C421" s="1">
        <v>2</v>
      </c>
      <c r="D421">
        <f t="shared" si="26"/>
        <v>333</v>
      </c>
      <c r="E421" s="5" t="s">
        <v>1790</v>
      </c>
      <c r="F421" s="1" t="s">
        <v>1791</v>
      </c>
      <c r="G421" s="7">
        <v>13.38</v>
      </c>
      <c r="H421" s="6">
        <f>+G421*L421</f>
        <v>696.13658010000006</v>
      </c>
      <c r="I421" s="6">
        <f>+[170]Main!$L$5-[170]Main!$L$6</f>
        <v>193.8</v>
      </c>
      <c r="J421" s="6">
        <f>+H421-I421</f>
        <v>502.33658010000005</v>
      </c>
      <c r="K421" s="3" t="s">
        <v>1275</v>
      </c>
      <c r="L421" s="6">
        <f>+[170]Main!$L$3</f>
        <v>52.028145000000002</v>
      </c>
      <c r="M421" s="9">
        <v>45691</v>
      </c>
    </row>
    <row r="422" spans="1:30" x14ac:dyDescent="0.25">
      <c r="A422" s="100" t="s">
        <v>333</v>
      </c>
      <c r="D422">
        <f t="shared" si="26"/>
        <v>334</v>
      </c>
      <c r="E422" s="1" t="s">
        <v>1653</v>
      </c>
      <c r="F422" s="1" t="s">
        <v>1654</v>
      </c>
      <c r="G422" s="3">
        <v>7.51</v>
      </c>
      <c r="H422" s="3">
        <v>648</v>
      </c>
    </row>
    <row r="423" spans="1:30" x14ac:dyDescent="0.25">
      <c r="A423" s="100" t="s">
        <v>333</v>
      </c>
      <c r="D423">
        <f t="shared" si="26"/>
        <v>335</v>
      </c>
      <c r="E423" t="s">
        <v>1900</v>
      </c>
      <c r="F423" t="s">
        <v>1901</v>
      </c>
      <c r="G423" s="3">
        <v>16.11</v>
      </c>
      <c r="H423" s="3">
        <v>971</v>
      </c>
    </row>
    <row r="424" spans="1:30" x14ac:dyDescent="0.25">
      <c r="A424" s="100" t="s">
        <v>333</v>
      </c>
      <c r="D424">
        <f t="shared" si="26"/>
        <v>336</v>
      </c>
      <c r="E424" t="s">
        <v>1655</v>
      </c>
      <c r="F424" t="s">
        <v>1656</v>
      </c>
      <c r="G424" s="3">
        <v>19.11</v>
      </c>
      <c r="H424" s="3">
        <v>644</v>
      </c>
    </row>
    <row r="425" spans="1:30" x14ac:dyDescent="0.25">
      <c r="A425" s="100" t="s">
        <v>333</v>
      </c>
      <c r="D425">
        <f t="shared" si="26"/>
        <v>337</v>
      </c>
      <c r="E425" t="s">
        <v>1933</v>
      </c>
      <c r="F425" t="s">
        <v>1142</v>
      </c>
      <c r="G425" s="3">
        <v>6.43</v>
      </c>
      <c r="H425" s="3">
        <v>125</v>
      </c>
    </row>
    <row r="426" spans="1:30" x14ac:dyDescent="0.25">
      <c r="A426" s="100" t="s">
        <v>333</v>
      </c>
      <c r="D426">
        <f t="shared" si="26"/>
        <v>338</v>
      </c>
      <c r="E426" s="1" t="s">
        <v>1110</v>
      </c>
      <c r="F426" s="1" t="s">
        <v>1691</v>
      </c>
      <c r="G426" s="3">
        <v>4.45</v>
      </c>
      <c r="H426" s="3">
        <v>242</v>
      </c>
    </row>
    <row r="427" spans="1:30" x14ac:dyDescent="0.25">
      <c r="A427" s="100" t="s">
        <v>333</v>
      </c>
      <c r="D427">
        <f t="shared" si="26"/>
        <v>339</v>
      </c>
      <c r="E427" s="5" t="s">
        <v>1834</v>
      </c>
      <c r="F427" s="1" t="s">
        <v>1835</v>
      </c>
      <c r="G427" s="7">
        <v>3.25</v>
      </c>
      <c r="H427" s="6">
        <f>+G427*L427</f>
        <v>420.99239325000002</v>
      </c>
      <c r="I427" s="6">
        <f>[171]Main!$I$5-[171]Main!$I$6</f>
        <v>358.29200000000003</v>
      </c>
      <c r="J427" s="6">
        <f>+H427-I427</f>
        <v>62.700393249999991</v>
      </c>
      <c r="K427" s="3" t="s">
        <v>1276</v>
      </c>
      <c r="L427" s="6">
        <f>+[171]Main!$I$3</f>
        <v>129.53612100000001</v>
      </c>
      <c r="M427" s="9">
        <v>45846</v>
      </c>
    </row>
    <row r="428" spans="1:30" x14ac:dyDescent="0.25">
      <c r="A428" s="100" t="s">
        <v>333</v>
      </c>
      <c r="D428">
        <f t="shared" si="26"/>
        <v>340</v>
      </c>
      <c r="E428" t="s">
        <v>1776</v>
      </c>
      <c r="F428" t="s">
        <v>1777</v>
      </c>
      <c r="G428" s="3">
        <v>64.010000000000005</v>
      </c>
      <c r="H428" s="3">
        <v>701</v>
      </c>
    </row>
    <row r="429" spans="1:30" x14ac:dyDescent="0.25">
      <c r="B429" s="1">
        <v>-1</v>
      </c>
      <c r="C429" s="1">
        <v>3</v>
      </c>
      <c r="D429">
        <f t="shared" si="26"/>
        <v>341</v>
      </c>
      <c r="E429" s="5" t="s">
        <v>1820</v>
      </c>
      <c r="F429" s="1" t="s">
        <v>1821</v>
      </c>
      <c r="G429" s="7">
        <v>1.89</v>
      </c>
      <c r="H429" s="6">
        <f>+G429*L429</f>
        <v>92.147802389999995</v>
      </c>
      <c r="I429" s="6">
        <f>+[172]Main!$K$5-[172]Main!$K$6</f>
        <v>41.556999999999995</v>
      </c>
      <c r="J429" s="6">
        <f>+H429-I429</f>
        <v>50.59080239</v>
      </c>
      <c r="K429" s="3" t="s">
        <v>1276</v>
      </c>
      <c r="L429" s="6">
        <f>+[172]Main!$K$3</f>
        <v>48.755451000000001</v>
      </c>
      <c r="M429" s="9">
        <v>45733</v>
      </c>
    </row>
    <row r="430" spans="1:30" x14ac:dyDescent="0.25">
      <c r="B430" s="1">
        <v>7</v>
      </c>
      <c r="C430" s="1">
        <v>3</v>
      </c>
      <c r="D430">
        <f t="shared" si="26"/>
        <v>342</v>
      </c>
      <c r="E430" s="5" t="s">
        <v>1793</v>
      </c>
      <c r="F430" t="s">
        <v>1792</v>
      </c>
      <c r="G430" s="7">
        <v>0.74</v>
      </c>
      <c r="H430" s="6">
        <f>+G430*L430</f>
        <v>88.771469299999993</v>
      </c>
      <c r="I430" s="6">
        <f>+[173]Main!$M$5-[173]Main!$M$6</f>
        <v>69.349000000000004</v>
      </c>
      <c r="J430" s="6">
        <f>+H430-I430</f>
        <v>19.422469299999989</v>
      </c>
      <c r="K430" s="3" t="s">
        <v>1275</v>
      </c>
      <c r="L430" s="6">
        <f>+[173]Main!$M$3</f>
        <v>119.961445</v>
      </c>
      <c r="M430" s="9">
        <v>45750</v>
      </c>
    </row>
    <row r="431" spans="1:30" x14ac:dyDescent="0.25">
      <c r="D431">
        <f t="shared" si="26"/>
        <v>343</v>
      </c>
      <c r="E431" s="1" t="s">
        <v>1794</v>
      </c>
      <c r="F431" t="s">
        <v>1795</v>
      </c>
      <c r="G431" s="7">
        <v>16</v>
      </c>
    </row>
    <row r="432" spans="1:30" x14ac:dyDescent="0.25">
      <c r="D432">
        <f t="shared" si="26"/>
        <v>344</v>
      </c>
      <c r="E432" t="s">
        <v>1808</v>
      </c>
      <c r="F432" s="1" t="s">
        <v>1809</v>
      </c>
      <c r="G432" s="7">
        <v>0.66</v>
      </c>
    </row>
    <row r="433" spans="1:30" x14ac:dyDescent="0.25">
      <c r="D433">
        <f t="shared" si="26"/>
        <v>345</v>
      </c>
      <c r="E433" s="1" t="s">
        <v>1810</v>
      </c>
      <c r="F433" t="s">
        <v>1813</v>
      </c>
      <c r="G433" s="3">
        <v>19.45</v>
      </c>
    </row>
    <row r="434" spans="1:30" s="33" customFormat="1" ht="13" x14ac:dyDescent="0.3">
      <c r="B434" s="33">
        <v>3</v>
      </c>
      <c r="C434" s="33">
        <v>4</v>
      </c>
      <c r="D434" s="33">
        <f t="shared" si="26"/>
        <v>346</v>
      </c>
      <c r="E434" s="57" t="s">
        <v>1832</v>
      </c>
      <c r="F434" s="33" t="s">
        <v>1833</v>
      </c>
      <c r="G434" s="58">
        <v>0.31</v>
      </c>
      <c r="H434" s="35">
        <f>+G434*L434</f>
        <v>18.356896450000001</v>
      </c>
      <c r="I434" s="35">
        <f>+[174]Sheet1!$J$5-[174]Sheet1!$J$6</f>
        <v>62.05</v>
      </c>
      <c r="J434" s="35">
        <f>+H434-I434</f>
        <v>-43.693103549999996</v>
      </c>
      <c r="K434" s="58" t="s">
        <v>1276</v>
      </c>
      <c r="L434" s="35">
        <f>+[174]Sheet1!$J$3</f>
        <v>59.215795</v>
      </c>
      <c r="M434" s="59">
        <v>45763</v>
      </c>
      <c r="N434" s="58"/>
      <c r="O434" s="58"/>
      <c r="P434" s="58"/>
      <c r="Q434" s="58"/>
      <c r="R434" s="58"/>
      <c r="S434" s="60"/>
      <c r="T434" s="60"/>
      <c r="U434" s="60"/>
      <c r="V434" s="60"/>
      <c r="W434" s="60"/>
      <c r="X434" s="60"/>
      <c r="Y434" s="108"/>
      <c r="Z434" s="108"/>
      <c r="AA434" s="108"/>
      <c r="AB434" s="108"/>
      <c r="AC434" s="108"/>
      <c r="AD434" s="108"/>
    </row>
    <row r="435" spans="1:30" x14ac:dyDescent="0.25">
      <c r="D435">
        <f t="shared" si="26"/>
        <v>347</v>
      </c>
      <c r="E435" s="5" t="s">
        <v>1294</v>
      </c>
      <c r="F435" t="s">
        <v>1295</v>
      </c>
      <c r="G435" s="7">
        <v>1.67</v>
      </c>
      <c r="H435" s="6">
        <f>+G435*[175]Main!$K$3</f>
        <v>265.50328000000002</v>
      </c>
      <c r="I435" s="6">
        <f>+[175]Main!$K$5-[175]Main!$K$6</f>
        <v>371.63900000000001</v>
      </c>
      <c r="J435" s="6">
        <f>+H435-I435</f>
        <v>-106.13571999999999</v>
      </c>
      <c r="K435" s="3" t="s">
        <v>1069</v>
      </c>
      <c r="L435" s="6">
        <f>+[175]Main!$K$3</f>
        <v>158.98400000000001</v>
      </c>
      <c r="M435" s="9">
        <v>45600</v>
      </c>
    </row>
    <row r="436" spans="1:30" x14ac:dyDescent="0.25">
      <c r="D436">
        <f t="shared" si="26"/>
        <v>348</v>
      </c>
      <c r="E436" t="s">
        <v>1811</v>
      </c>
      <c r="F436" t="s">
        <v>1812</v>
      </c>
      <c r="G436" s="3">
        <v>1.31</v>
      </c>
    </row>
    <row r="437" spans="1:30" x14ac:dyDescent="0.25">
      <c r="D437">
        <f t="shared" si="26"/>
        <v>349</v>
      </c>
      <c r="E437" s="1" t="s">
        <v>1838</v>
      </c>
      <c r="F437" s="1" t="s">
        <v>1839</v>
      </c>
      <c r="G437" s="3">
        <v>5.17</v>
      </c>
    </row>
    <row r="438" spans="1:30" x14ac:dyDescent="0.25">
      <c r="D438">
        <f t="shared" si="26"/>
        <v>350</v>
      </c>
      <c r="E438" t="s">
        <v>1840</v>
      </c>
      <c r="F438" t="s">
        <v>1841</v>
      </c>
      <c r="G438" s="3">
        <v>2.92</v>
      </c>
    </row>
    <row r="439" spans="1:30" customFormat="1" x14ac:dyDescent="0.25">
      <c r="A439" t="s">
        <v>333</v>
      </c>
      <c r="D439">
        <f t="shared" si="26"/>
        <v>351</v>
      </c>
      <c r="E439" s="5" t="s">
        <v>772</v>
      </c>
      <c r="F439" t="s">
        <v>773</v>
      </c>
      <c r="G439" s="52">
        <v>2.46</v>
      </c>
      <c r="H439" s="29">
        <f>+G439*L439</f>
        <v>118.02136836</v>
      </c>
      <c r="I439" s="29">
        <f>+[176]Main!$J$5-[176]Main!$J$6</f>
        <v>149</v>
      </c>
      <c r="J439" s="29">
        <f>+H439-I439</f>
        <v>-30.978631640000003</v>
      </c>
      <c r="K439" s="27" t="s">
        <v>1275</v>
      </c>
      <c r="L439" s="29">
        <f>+[176]Main!$J$3</f>
        <v>47.976165999999999</v>
      </c>
      <c r="M439" s="36">
        <v>45628</v>
      </c>
      <c r="N439" s="27"/>
      <c r="O439" s="27"/>
      <c r="P439" s="27"/>
      <c r="Q439" s="27"/>
      <c r="R439" s="27"/>
      <c r="S439" s="56"/>
      <c r="T439" s="56"/>
      <c r="U439" s="56"/>
      <c r="V439" s="56"/>
      <c r="W439" s="56"/>
      <c r="X439" s="56"/>
      <c r="Y439" s="104"/>
      <c r="Z439" s="104"/>
      <c r="AA439" s="104"/>
      <c r="AB439" s="104"/>
      <c r="AC439" s="104"/>
      <c r="AD439" s="104"/>
    </row>
    <row r="440" spans="1:30" x14ac:dyDescent="0.25">
      <c r="D440">
        <f t="shared" si="26"/>
        <v>352</v>
      </c>
      <c r="E440" s="1" t="s">
        <v>1657</v>
      </c>
      <c r="F440" s="1" t="s">
        <v>1658</v>
      </c>
      <c r="G440" s="3">
        <v>0.37</v>
      </c>
    </row>
    <row r="441" spans="1:30" x14ac:dyDescent="0.25">
      <c r="D441">
        <f t="shared" si="26"/>
        <v>353</v>
      </c>
      <c r="E441" t="s">
        <v>1663</v>
      </c>
      <c r="F441" t="s">
        <v>1664</v>
      </c>
      <c r="G441" s="3">
        <v>0.39</v>
      </c>
    </row>
    <row r="442" spans="1:30" x14ac:dyDescent="0.25">
      <c r="D442">
        <f t="shared" si="26"/>
        <v>354</v>
      </c>
      <c r="E442" s="1" t="s">
        <v>1666</v>
      </c>
      <c r="F442" s="1" t="s">
        <v>1665</v>
      </c>
      <c r="G442" s="3">
        <v>1.31</v>
      </c>
    </row>
    <row r="443" spans="1:30" x14ac:dyDescent="0.25">
      <c r="D443">
        <f t="shared" si="26"/>
        <v>355</v>
      </c>
      <c r="E443" t="s">
        <v>1671</v>
      </c>
      <c r="F443" t="s">
        <v>1672</v>
      </c>
      <c r="G443" s="3">
        <v>9.9499999999999993</v>
      </c>
    </row>
    <row r="444" spans="1:30" x14ac:dyDescent="0.25">
      <c r="D444">
        <f t="shared" ref="D444:D507" si="29">+D443+1</f>
        <v>356</v>
      </c>
      <c r="E444" t="s">
        <v>1673</v>
      </c>
      <c r="F444" t="s">
        <v>1674</v>
      </c>
      <c r="G444" s="3">
        <v>12.46</v>
      </c>
    </row>
    <row r="445" spans="1:30" x14ac:dyDescent="0.25">
      <c r="D445">
        <f t="shared" si="29"/>
        <v>357</v>
      </c>
      <c r="E445" t="s">
        <v>1651</v>
      </c>
      <c r="F445" t="s">
        <v>1652</v>
      </c>
      <c r="G445" s="3">
        <v>1.01</v>
      </c>
    </row>
    <row r="446" spans="1:30" x14ac:dyDescent="0.25">
      <c r="D446">
        <f t="shared" si="29"/>
        <v>358</v>
      </c>
      <c r="E446" t="s">
        <v>1500</v>
      </c>
      <c r="F446" s="1" t="s">
        <v>1993</v>
      </c>
      <c r="G446" s="3">
        <v>0.98</v>
      </c>
    </row>
    <row r="447" spans="1:30" x14ac:dyDescent="0.25">
      <c r="D447">
        <f t="shared" si="29"/>
        <v>359</v>
      </c>
      <c r="E447" s="1" t="s">
        <v>1612</v>
      </c>
      <c r="F447" t="s">
        <v>1613</v>
      </c>
      <c r="G447" s="3">
        <v>3.35</v>
      </c>
    </row>
    <row r="448" spans="1:30" x14ac:dyDescent="0.25">
      <c r="D448">
        <f t="shared" si="29"/>
        <v>360</v>
      </c>
      <c r="E448" t="s">
        <v>1617</v>
      </c>
      <c r="F448" s="1" t="s">
        <v>1618</v>
      </c>
      <c r="G448" s="3">
        <v>2.68</v>
      </c>
    </row>
    <row r="449" spans="4:30" x14ac:dyDescent="0.25">
      <c r="D449">
        <f t="shared" si="29"/>
        <v>361</v>
      </c>
      <c r="E449" t="s">
        <v>1619</v>
      </c>
      <c r="F449" t="s">
        <v>1620</v>
      </c>
      <c r="G449" s="3">
        <v>1.74</v>
      </c>
    </row>
    <row r="450" spans="4:30" x14ac:dyDescent="0.25">
      <c r="D450">
        <f t="shared" si="29"/>
        <v>362</v>
      </c>
      <c r="E450" t="s">
        <v>1627</v>
      </c>
      <c r="F450" t="s">
        <v>1628</v>
      </c>
      <c r="G450" s="3">
        <v>0.72</v>
      </c>
    </row>
    <row r="451" spans="4:30" x14ac:dyDescent="0.25">
      <c r="D451">
        <f t="shared" si="29"/>
        <v>363</v>
      </c>
      <c r="E451" s="5" t="s">
        <v>1632</v>
      </c>
      <c r="F451" s="1" t="s">
        <v>1631</v>
      </c>
      <c r="G451" s="3">
        <v>7.98</v>
      </c>
    </row>
    <row r="452" spans="4:30" x14ac:dyDescent="0.25">
      <c r="D452">
        <f t="shared" si="29"/>
        <v>364</v>
      </c>
      <c r="E452" t="s">
        <v>1301</v>
      </c>
      <c r="F452" t="s">
        <v>1302</v>
      </c>
      <c r="G452" s="3">
        <v>0.85</v>
      </c>
    </row>
    <row r="453" spans="4:30" x14ac:dyDescent="0.25">
      <c r="D453">
        <f t="shared" si="29"/>
        <v>365</v>
      </c>
      <c r="E453" s="1" t="s">
        <v>1352</v>
      </c>
      <c r="F453" s="1" t="s">
        <v>1994</v>
      </c>
      <c r="G453" s="3">
        <v>1.25</v>
      </c>
    </row>
    <row r="454" spans="4:30" x14ac:dyDescent="0.25">
      <c r="D454">
        <f t="shared" si="29"/>
        <v>366</v>
      </c>
      <c r="E454" s="1" t="s">
        <v>1188</v>
      </c>
      <c r="F454" s="1" t="s">
        <v>1189</v>
      </c>
      <c r="G454" s="3">
        <v>2.16</v>
      </c>
    </row>
    <row r="455" spans="4:30" x14ac:dyDescent="0.25">
      <c r="D455">
        <f t="shared" si="29"/>
        <v>367</v>
      </c>
      <c r="E455" s="1" t="s">
        <v>1270</v>
      </c>
      <c r="F455" t="s">
        <v>1271</v>
      </c>
      <c r="G455" s="7">
        <v>11</v>
      </c>
    </row>
    <row r="456" spans="4:30" s="33" customFormat="1" ht="13" x14ac:dyDescent="0.3">
      <c r="D456" s="33">
        <f t="shared" si="29"/>
        <v>368</v>
      </c>
      <c r="E456" s="33" t="s">
        <v>1299</v>
      </c>
      <c r="F456" s="33" t="s">
        <v>1300</v>
      </c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60"/>
      <c r="T456" s="60"/>
      <c r="U456" s="60"/>
      <c r="V456" s="60"/>
      <c r="W456" s="60"/>
      <c r="X456" s="60"/>
      <c r="Y456" s="108"/>
      <c r="Z456" s="108"/>
      <c r="AA456" s="108"/>
      <c r="AB456" s="108"/>
      <c r="AC456" s="108"/>
      <c r="AD456" s="108"/>
    </row>
    <row r="457" spans="4:30" x14ac:dyDescent="0.25">
      <c r="D457">
        <f t="shared" si="29"/>
        <v>369</v>
      </c>
      <c r="E457" s="38" t="s">
        <v>1626</v>
      </c>
      <c r="F457" t="s">
        <v>1625</v>
      </c>
      <c r="G457" s="7">
        <v>1.54</v>
      </c>
      <c r="H457" s="6">
        <f t="shared" ref="H457:H466" si="30">+G457*L457</f>
        <v>75.270832560000002</v>
      </c>
      <c r="I457" s="6">
        <f>+[177]Main!$K$5-[177]Main!$K$6</f>
        <v>183.012</v>
      </c>
      <c r="J457" s="6">
        <f t="shared" ref="J457:J466" si="31">+H457-I457</f>
        <v>-107.74116744</v>
      </c>
      <c r="K457" s="3" t="s">
        <v>1275</v>
      </c>
      <c r="L457" s="6">
        <f>+[177]Main!$K$3</f>
        <v>48.877164</v>
      </c>
      <c r="M457" s="9">
        <v>45629</v>
      </c>
    </row>
    <row r="458" spans="4:30" x14ac:dyDescent="0.25">
      <c r="D458">
        <f t="shared" si="29"/>
        <v>370</v>
      </c>
      <c r="E458" s="5" t="s">
        <v>1158</v>
      </c>
      <c r="F458" t="s">
        <v>1159</v>
      </c>
      <c r="G458" s="7">
        <v>1.1499999999999999</v>
      </c>
      <c r="H458" s="6">
        <f t="shared" si="30"/>
        <v>42.342781499999994</v>
      </c>
      <c r="I458" s="6">
        <f>+[178]Main!$L$5-[178]Main!$L$6</f>
        <v>33.507724000000003</v>
      </c>
      <c r="J458" s="6">
        <f t="shared" si="31"/>
        <v>8.8350574999999907</v>
      </c>
      <c r="K458" s="3" t="s">
        <v>1069</v>
      </c>
      <c r="L458" s="6">
        <f>+[178]Main!$L$3</f>
        <v>36.819809999999997</v>
      </c>
      <c r="M458" s="9">
        <v>45567</v>
      </c>
    </row>
    <row r="459" spans="4:30" x14ac:dyDescent="0.25">
      <c r="D459">
        <f t="shared" si="29"/>
        <v>371</v>
      </c>
      <c r="E459" s="5" t="s">
        <v>1608</v>
      </c>
      <c r="F459" t="s">
        <v>1609</v>
      </c>
      <c r="G459" s="7">
        <v>3.02</v>
      </c>
      <c r="H459" s="6">
        <f t="shared" si="30"/>
        <v>73.353770560000001</v>
      </c>
      <c r="I459" s="6">
        <f>+[179]Main!$K$5-[179]Main!$K$6</f>
        <v>199.59700000000001</v>
      </c>
      <c r="J459" s="6">
        <f t="shared" si="31"/>
        <v>-126.24322944000001</v>
      </c>
      <c r="K459" s="3" t="s">
        <v>1275</v>
      </c>
      <c r="L459" s="6">
        <f>+[179]Main!$K$3</f>
        <v>24.289328000000001</v>
      </c>
      <c r="M459" s="9">
        <v>45608</v>
      </c>
    </row>
    <row r="460" spans="4:30" x14ac:dyDescent="0.25">
      <c r="D460">
        <f t="shared" si="29"/>
        <v>372</v>
      </c>
      <c r="E460" s="5" t="s">
        <v>1624</v>
      </c>
      <c r="F460" t="s">
        <v>1623</v>
      </c>
      <c r="G460" s="3">
        <v>0.32</v>
      </c>
      <c r="H460" s="6">
        <f t="shared" si="30"/>
        <v>12.26172704</v>
      </c>
      <c r="I460" s="6">
        <f>+[180]Main!$K$5-[180]Main!$K$6</f>
        <v>62.823</v>
      </c>
      <c r="J460" s="6">
        <f t="shared" si="31"/>
        <v>-50.561272959999997</v>
      </c>
      <c r="K460" s="3" t="s">
        <v>1275</v>
      </c>
      <c r="L460" s="6">
        <f>+[180]Main!$K$3</f>
        <v>38.317897000000002</v>
      </c>
      <c r="M460" s="9">
        <v>45629</v>
      </c>
    </row>
    <row r="461" spans="4:30" x14ac:dyDescent="0.25">
      <c r="D461">
        <f t="shared" si="29"/>
        <v>373</v>
      </c>
      <c r="E461" s="5" t="s">
        <v>1641</v>
      </c>
      <c r="F461" t="s">
        <v>1642</v>
      </c>
      <c r="G461" s="7">
        <v>0.46</v>
      </c>
      <c r="H461" s="6">
        <f t="shared" si="30"/>
        <v>15.382951539999999</v>
      </c>
      <c r="I461" s="6">
        <f>+[181]Main!$K$5-[181]Main!$K$6</f>
        <v>5.4758170000000002</v>
      </c>
      <c r="J461" s="6">
        <f t="shared" si="31"/>
        <v>9.9071345399999977</v>
      </c>
      <c r="K461" s="3" t="s">
        <v>1275</v>
      </c>
      <c r="L461" s="6">
        <f>+[181]Main!$K$3</f>
        <v>33.441198999999997</v>
      </c>
      <c r="M461" s="9">
        <v>45630</v>
      </c>
    </row>
    <row r="462" spans="4:30" x14ac:dyDescent="0.25">
      <c r="D462">
        <f t="shared" si="29"/>
        <v>374</v>
      </c>
      <c r="E462" s="5" t="s">
        <v>1662</v>
      </c>
      <c r="F462" t="s">
        <v>1661</v>
      </c>
      <c r="G462" s="3">
        <v>0.99</v>
      </c>
      <c r="H462" s="6">
        <f t="shared" si="30"/>
        <v>100.25985420000001</v>
      </c>
      <c r="I462" s="6">
        <f>+[182]Main!$L$5-[182]Main!$L$6</f>
        <v>59.1</v>
      </c>
      <c r="J462" s="6">
        <f t="shared" si="31"/>
        <v>41.159854200000005</v>
      </c>
      <c r="K462" s="3" t="s">
        <v>1275</v>
      </c>
      <c r="L462" s="6">
        <f>+[182]Main!$L$3</f>
        <v>101.27258</v>
      </c>
      <c r="M462" s="9">
        <v>45656</v>
      </c>
    </row>
    <row r="463" spans="4:30" x14ac:dyDescent="0.25">
      <c r="D463">
        <f t="shared" si="29"/>
        <v>375</v>
      </c>
      <c r="E463" s="5" t="s">
        <v>1667</v>
      </c>
      <c r="F463" t="s">
        <v>1668</v>
      </c>
      <c r="G463" s="3">
        <v>5.95</v>
      </c>
      <c r="H463" s="6">
        <f t="shared" si="30"/>
        <v>209.98488314999997</v>
      </c>
      <c r="I463" s="6">
        <f>+[183]Main!$K$5-[183]Main!$K$6</f>
        <v>98.310918000000001</v>
      </c>
      <c r="J463" s="6">
        <f t="shared" si="31"/>
        <v>111.67396514999997</v>
      </c>
      <c r="K463" s="3" t="s">
        <v>1275</v>
      </c>
      <c r="L463" s="6">
        <f>+[183]Main!$K$3</f>
        <v>35.291576999999997</v>
      </c>
      <c r="M463" s="9">
        <v>45660</v>
      </c>
    </row>
    <row r="464" spans="4:30" x14ac:dyDescent="0.25">
      <c r="D464">
        <f t="shared" si="29"/>
        <v>376</v>
      </c>
      <c r="E464" s="5" t="s">
        <v>1606</v>
      </c>
      <c r="F464" t="s">
        <v>1607</v>
      </c>
      <c r="G464" s="7">
        <v>1.93</v>
      </c>
      <c r="H464" s="6">
        <f t="shared" si="30"/>
        <v>23.307475159999999</v>
      </c>
      <c r="I464" s="6">
        <f>+[184]Main!$K$5-[184]Main!$K$6</f>
        <v>89.078000000000003</v>
      </c>
      <c r="J464" s="6">
        <f t="shared" si="31"/>
        <v>-65.770524840000007</v>
      </c>
      <c r="K464" s="3" t="s">
        <v>1275</v>
      </c>
      <c r="L464" s="6">
        <f>+[184]Main!$K$3</f>
        <v>12.076411999999999</v>
      </c>
      <c r="M464" s="9">
        <v>45608</v>
      </c>
    </row>
    <row r="465" spans="1:30" x14ac:dyDescent="0.25">
      <c r="D465">
        <f t="shared" si="29"/>
        <v>377</v>
      </c>
      <c r="E465" s="38" t="s">
        <v>1125</v>
      </c>
      <c r="F465" s="1" t="s">
        <v>1126</v>
      </c>
      <c r="G465" s="7">
        <v>11.12</v>
      </c>
      <c r="H465" s="6">
        <f t="shared" si="30"/>
        <v>311.35468463999996</v>
      </c>
      <c r="I465" s="6">
        <f>+[185]Main!$K$5-[185]Main!$K$6</f>
        <v>15.414999999999999</v>
      </c>
      <c r="J465" s="6">
        <f t="shared" si="31"/>
        <v>295.93968463999994</v>
      </c>
      <c r="K465" s="3" t="s">
        <v>1069</v>
      </c>
      <c r="L465" s="6">
        <f>+[185]Main!$K$3</f>
        <v>27.999521999999999</v>
      </c>
      <c r="M465" s="9">
        <v>45474</v>
      </c>
    </row>
    <row r="466" spans="1:30" x14ac:dyDescent="0.25">
      <c r="D466">
        <f t="shared" si="29"/>
        <v>378</v>
      </c>
      <c r="E466" s="5" t="s">
        <v>1616</v>
      </c>
      <c r="F466" s="1" t="s">
        <v>1615</v>
      </c>
      <c r="G466" s="3">
        <v>3.59</v>
      </c>
      <c r="H466" s="6">
        <f t="shared" si="30"/>
        <v>225.31495175000001</v>
      </c>
      <c r="I466" s="6">
        <f>+[186]Main!$K$5-[186]Main!$K$6</f>
        <v>-77.494</v>
      </c>
      <c r="J466" s="6">
        <f t="shared" si="31"/>
        <v>302.80895175000001</v>
      </c>
      <c r="K466" s="3" t="s">
        <v>1275</v>
      </c>
      <c r="L466" s="6">
        <f>+[186]Main!$K$3</f>
        <v>62.761825000000002</v>
      </c>
      <c r="M466" s="9">
        <v>45628</v>
      </c>
    </row>
    <row r="467" spans="1:30" x14ac:dyDescent="0.25">
      <c r="A467"/>
      <c r="B467"/>
      <c r="C467"/>
      <c r="D467">
        <f t="shared" si="29"/>
        <v>379</v>
      </c>
      <c r="E467" t="s">
        <v>971</v>
      </c>
      <c r="F467" t="s">
        <v>972</v>
      </c>
      <c r="G467" s="3">
        <v>3.01</v>
      </c>
    </row>
    <row r="468" spans="1:30" x14ac:dyDescent="0.25">
      <c r="D468">
        <f t="shared" si="29"/>
        <v>380</v>
      </c>
      <c r="E468" s="1" t="s">
        <v>1092</v>
      </c>
      <c r="F468" s="1" t="s">
        <v>1093</v>
      </c>
      <c r="G468" s="3">
        <v>6.32</v>
      </c>
      <c r="H468" s="3">
        <v>91</v>
      </c>
    </row>
    <row r="469" spans="1:30" x14ac:dyDescent="0.25">
      <c r="A469"/>
      <c r="B469"/>
      <c r="C469"/>
      <c r="D469">
        <f t="shared" si="29"/>
        <v>381</v>
      </c>
      <c r="E469" t="s">
        <v>957</v>
      </c>
      <c r="F469" t="s">
        <v>958</v>
      </c>
      <c r="G469" s="3">
        <v>0.56999999999999995</v>
      </c>
      <c r="H469" s="3">
        <v>51</v>
      </c>
    </row>
    <row r="470" spans="1:30" s="33" customFormat="1" ht="13" x14ac:dyDescent="0.3">
      <c r="D470" s="33">
        <f t="shared" si="29"/>
        <v>382</v>
      </c>
      <c r="E470" s="33" t="s">
        <v>959</v>
      </c>
      <c r="F470" s="33" t="s">
        <v>960</v>
      </c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60"/>
      <c r="T470" s="60"/>
      <c r="U470" s="60"/>
      <c r="V470" s="60"/>
      <c r="W470" s="60"/>
      <c r="X470" s="60"/>
      <c r="Y470" s="108"/>
      <c r="Z470" s="108"/>
      <c r="AA470" s="108"/>
      <c r="AB470" s="108"/>
      <c r="AC470" s="108"/>
      <c r="AD470" s="108"/>
    </row>
    <row r="471" spans="1:30" x14ac:dyDescent="0.25">
      <c r="A471"/>
      <c r="B471"/>
      <c r="C471"/>
      <c r="D471">
        <f t="shared" si="29"/>
        <v>383</v>
      </c>
      <c r="E471" t="s">
        <v>961</v>
      </c>
      <c r="F471" t="s">
        <v>962</v>
      </c>
      <c r="G471" s="3">
        <v>37.049999999999997</v>
      </c>
    </row>
    <row r="472" spans="1:30" x14ac:dyDescent="0.25">
      <c r="A472"/>
      <c r="B472"/>
      <c r="C472"/>
      <c r="D472">
        <f t="shared" si="29"/>
        <v>384</v>
      </c>
      <c r="E472" t="s">
        <v>955</v>
      </c>
      <c r="F472" t="s">
        <v>956</v>
      </c>
      <c r="G472" s="3">
        <v>3.94</v>
      </c>
    </row>
    <row r="473" spans="1:30" x14ac:dyDescent="0.25">
      <c r="A473"/>
      <c r="B473"/>
      <c r="C473"/>
      <c r="D473">
        <f t="shared" si="29"/>
        <v>385</v>
      </c>
      <c r="E473" t="s">
        <v>951</v>
      </c>
      <c r="F473" t="s">
        <v>952</v>
      </c>
      <c r="G473" s="3">
        <v>1.51</v>
      </c>
    </row>
    <row r="474" spans="1:30" x14ac:dyDescent="0.25">
      <c r="A474"/>
      <c r="B474"/>
      <c r="C474"/>
      <c r="D474">
        <f t="shared" si="29"/>
        <v>386</v>
      </c>
      <c r="E474" t="s">
        <v>935</v>
      </c>
      <c r="F474" t="s">
        <v>936</v>
      </c>
      <c r="G474" s="3">
        <v>1.66</v>
      </c>
    </row>
    <row r="475" spans="1:30" ht="13" x14ac:dyDescent="0.3">
      <c r="A475"/>
      <c r="B475"/>
      <c r="C475"/>
      <c r="D475">
        <f t="shared" si="29"/>
        <v>387</v>
      </c>
      <c r="E475" s="24" t="s">
        <v>1348</v>
      </c>
      <c r="F475" t="s">
        <v>1349</v>
      </c>
      <c r="G475" s="3">
        <v>0.64</v>
      </c>
      <c r="H475" s="3">
        <v>8</v>
      </c>
    </row>
    <row r="476" spans="1:30" x14ac:dyDescent="0.25">
      <c r="A476"/>
      <c r="B476"/>
      <c r="C476"/>
      <c r="D476">
        <f t="shared" si="29"/>
        <v>388</v>
      </c>
      <c r="E476" t="s">
        <v>939</v>
      </c>
      <c r="F476" t="s">
        <v>940</v>
      </c>
      <c r="G476" s="7">
        <v>1.4</v>
      </c>
      <c r="H476" s="3">
        <v>55</v>
      </c>
    </row>
    <row r="477" spans="1:30" s="33" customFormat="1" ht="13" x14ac:dyDescent="0.3">
      <c r="D477" s="33">
        <f t="shared" si="29"/>
        <v>389</v>
      </c>
      <c r="E477" s="33" t="s">
        <v>941</v>
      </c>
      <c r="F477" s="33" t="s">
        <v>942</v>
      </c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60"/>
      <c r="T477" s="60"/>
      <c r="U477" s="60"/>
      <c r="V477" s="60"/>
      <c r="W477" s="60"/>
      <c r="X477" s="60"/>
      <c r="Y477" s="108"/>
      <c r="Z477" s="108"/>
      <c r="AA477" s="108"/>
      <c r="AB477" s="108"/>
      <c r="AC477" s="108"/>
      <c r="AD477" s="108"/>
    </row>
    <row r="478" spans="1:30" s="33" customFormat="1" ht="13" x14ac:dyDescent="0.3">
      <c r="D478" s="33">
        <f t="shared" si="29"/>
        <v>390</v>
      </c>
      <c r="E478" s="33" t="s">
        <v>943</v>
      </c>
      <c r="F478" s="33" t="s">
        <v>944</v>
      </c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60"/>
      <c r="T478" s="60"/>
      <c r="U478" s="60"/>
      <c r="V478" s="60"/>
      <c r="W478" s="60"/>
      <c r="X478" s="60"/>
      <c r="Y478" s="108"/>
      <c r="Z478" s="108"/>
      <c r="AA478" s="108"/>
      <c r="AB478" s="108"/>
      <c r="AC478" s="108"/>
      <c r="AD478" s="108"/>
    </row>
    <row r="479" spans="1:30" x14ac:dyDescent="0.25">
      <c r="A479"/>
      <c r="B479"/>
      <c r="C479"/>
      <c r="D479">
        <f t="shared" si="29"/>
        <v>391</v>
      </c>
      <c r="E479" t="s">
        <v>1984</v>
      </c>
      <c r="F479" t="s">
        <v>1985</v>
      </c>
      <c r="G479" s="7">
        <v>43.68</v>
      </c>
    </row>
    <row r="480" spans="1:30" x14ac:dyDescent="0.25">
      <c r="A480"/>
      <c r="B480"/>
      <c r="C480"/>
      <c r="D480">
        <f t="shared" si="29"/>
        <v>392</v>
      </c>
      <c r="E480" t="s">
        <v>945</v>
      </c>
      <c r="F480" t="s">
        <v>946</v>
      </c>
      <c r="G480" s="3">
        <v>0.32</v>
      </c>
    </row>
    <row r="481" spans="1:30" s="33" customFormat="1" ht="13" x14ac:dyDescent="0.3">
      <c r="D481" s="33">
        <f t="shared" si="29"/>
        <v>393</v>
      </c>
      <c r="E481" s="33" t="s">
        <v>919</v>
      </c>
      <c r="F481" s="33" t="s">
        <v>920</v>
      </c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60"/>
      <c r="T481" s="60"/>
      <c r="U481" s="60"/>
      <c r="V481" s="60"/>
      <c r="W481" s="60"/>
      <c r="X481" s="60"/>
      <c r="Y481" s="108"/>
      <c r="Z481" s="108"/>
      <c r="AA481" s="108"/>
      <c r="AB481" s="108"/>
      <c r="AC481" s="108"/>
      <c r="AD481" s="108"/>
    </row>
    <row r="482" spans="1:30" x14ac:dyDescent="0.25">
      <c r="A482"/>
      <c r="B482"/>
      <c r="C482"/>
      <c r="D482">
        <f t="shared" si="29"/>
        <v>394</v>
      </c>
      <c r="E482" s="5" t="s">
        <v>1291</v>
      </c>
      <c r="F482" t="s">
        <v>1292</v>
      </c>
      <c r="G482" s="7">
        <v>0.82</v>
      </c>
    </row>
    <row r="483" spans="1:30" x14ac:dyDescent="0.25">
      <c r="A483"/>
      <c r="B483"/>
      <c r="C483"/>
      <c r="D483">
        <f t="shared" si="29"/>
        <v>395</v>
      </c>
      <c r="E483" t="s">
        <v>921</v>
      </c>
      <c r="F483" t="s">
        <v>922</v>
      </c>
      <c r="G483" s="3">
        <v>0.28000000000000003</v>
      </c>
    </row>
    <row r="484" spans="1:30" s="33" customFormat="1" ht="13" x14ac:dyDescent="0.3">
      <c r="D484" s="33">
        <f t="shared" si="29"/>
        <v>396</v>
      </c>
      <c r="E484" s="33" t="s">
        <v>923</v>
      </c>
      <c r="F484" s="33" t="s">
        <v>924</v>
      </c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60"/>
      <c r="T484" s="60"/>
      <c r="U484" s="60"/>
      <c r="V484" s="60"/>
      <c r="W484" s="60"/>
      <c r="X484" s="60"/>
      <c r="Y484" s="108"/>
      <c r="Z484" s="108"/>
      <c r="AA484" s="108"/>
      <c r="AB484" s="108"/>
      <c r="AC484" s="108"/>
      <c r="AD484" s="108"/>
    </row>
    <row r="485" spans="1:30" x14ac:dyDescent="0.25">
      <c r="A485"/>
      <c r="B485"/>
      <c r="C485"/>
      <c r="D485">
        <f t="shared" si="29"/>
        <v>397</v>
      </c>
      <c r="E485" t="s">
        <v>925</v>
      </c>
      <c r="F485" t="s">
        <v>926</v>
      </c>
      <c r="G485" s="3">
        <v>0.56999999999999995</v>
      </c>
    </row>
    <row r="486" spans="1:30" x14ac:dyDescent="0.25">
      <c r="A486"/>
      <c r="B486"/>
      <c r="C486"/>
      <c r="D486">
        <f t="shared" si="29"/>
        <v>398</v>
      </c>
      <c r="E486" t="s">
        <v>915</v>
      </c>
      <c r="F486" t="s">
        <v>916</v>
      </c>
      <c r="G486" s="3">
        <v>2.59</v>
      </c>
    </row>
    <row r="487" spans="1:30" x14ac:dyDescent="0.25">
      <c r="A487" t="s">
        <v>333</v>
      </c>
      <c r="B487"/>
      <c r="C487"/>
      <c r="D487">
        <f t="shared" si="29"/>
        <v>399</v>
      </c>
      <c r="E487" t="s">
        <v>891</v>
      </c>
      <c r="F487" t="s">
        <v>892</v>
      </c>
      <c r="G487" s="7">
        <v>2.1</v>
      </c>
      <c r="H487" s="3">
        <v>90</v>
      </c>
    </row>
    <row r="488" spans="1:30" x14ac:dyDescent="0.25">
      <c r="A488" t="s">
        <v>333</v>
      </c>
      <c r="B488"/>
      <c r="C488"/>
      <c r="D488">
        <f t="shared" si="29"/>
        <v>400</v>
      </c>
      <c r="E488" t="s">
        <v>885</v>
      </c>
      <c r="F488" t="s">
        <v>886</v>
      </c>
      <c r="G488" s="7">
        <v>1.3</v>
      </c>
      <c r="H488" s="3">
        <v>72</v>
      </c>
    </row>
    <row r="489" spans="1:30" x14ac:dyDescent="0.25">
      <c r="A489" t="s">
        <v>333</v>
      </c>
      <c r="B489"/>
      <c r="C489"/>
      <c r="D489">
        <f t="shared" si="29"/>
        <v>401</v>
      </c>
      <c r="E489" t="s">
        <v>890</v>
      </c>
      <c r="F489" t="s">
        <v>889</v>
      </c>
      <c r="G489" s="7">
        <v>1.05</v>
      </c>
      <c r="H489" s="3">
        <v>38</v>
      </c>
    </row>
    <row r="490" spans="1:30" x14ac:dyDescent="0.25">
      <c r="A490" t="s">
        <v>333</v>
      </c>
      <c r="B490"/>
      <c r="C490"/>
      <c r="D490">
        <f t="shared" si="29"/>
        <v>402</v>
      </c>
      <c r="E490" t="s">
        <v>897</v>
      </c>
      <c r="F490" t="s">
        <v>898</v>
      </c>
      <c r="G490" s="3">
        <v>1.56</v>
      </c>
      <c r="H490" s="3">
        <v>36</v>
      </c>
    </row>
    <row r="491" spans="1:30" x14ac:dyDescent="0.25">
      <c r="A491" t="s">
        <v>333</v>
      </c>
      <c r="B491"/>
      <c r="C491"/>
      <c r="D491">
        <f t="shared" si="29"/>
        <v>403</v>
      </c>
      <c r="E491" t="s">
        <v>877</v>
      </c>
      <c r="F491" t="s">
        <v>878</v>
      </c>
      <c r="G491" s="7">
        <v>4.68</v>
      </c>
      <c r="H491" s="3">
        <v>25</v>
      </c>
    </row>
    <row r="492" spans="1:30" s="33" customFormat="1" ht="13" x14ac:dyDescent="0.3">
      <c r="A492" s="33" t="s">
        <v>333</v>
      </c>
      <c r="D492" s="33">
        <f t="shared" si="29"/>
        <v>404</v>
      </c>
      <c r="E492" s="33" t="s">
        <v>901</v>
      </c>
      <c r="F492" s="33" t="s">
        <v>902</v>
      </c>
      <c r="G492" s="58">
        <v>0.27</v>
      </c>
      <c r="H492" s="58">
        <v>11</v>
      </c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60"/>
      <c r="T492" s="60"/>
      <c r="U492" s="60"/>
      <c r="V492" s="60"/>
      <c r="W492" s="60"/>
      <c r="X492" s="60"/>
      <c r="Y492" s="108"/>
      <c r="Z492" s="108"/>
      <c r="AA492" s="108"/>
      <c r="AB492" s="108"/>
      <c r="AC492" s="108"/>
      <c r="AD492" s="108"/>
    </row>
    <row r="493" spans="1:30" x14ac:dyDescent="0.25">
      <c r="A493" t="s">
        <v>333</v>
      </c>
      <c r="B493"/>
      <c r="C493"/>
      <c r="D493">
        <f t="shared" si="29"/>
        <v>405</v>
      </c>
      <c r="E493" t="s">
        <v>903</v>
      </c>
      <c r="F493" t="s">
        <v>904</v>
      </c>
      <c r="G493" s="7">
        <v>0.8</v>
      </c>
      <c r="H493" s="3">
        <v>47</v>
      </c>
    </row>
    <row r="494" spans="1:30" x14ac:dyDescent="0.25">
      <c r="A494" t="s">
        <v>333</v>
      </c>
      <c r="B494"/>
      <c r="C494"/>
      <c r="D494">
        <f t="shared" si="29"/>
        <v>406</v>
      </c>
      <c r="E494" t="s">
        <v>907</v>
      </c>
      <c r="F494" t="s">
        <v>908</v>
      </c>
      <c r="G494" s="3">
        <v>1.61</v>
      </c>
      <c r="H494" s="3">
        <v>79</v>
      </c>
    </row>
    <row r="495" spans="1:30" x14ac:dyDescent="0.25">
      <c r="A495" t="s">
        <v>333</v>
      </c>
      <c r="B495"/>
      <c r="C495"/>
      <c r="D495">
        <f t="shared" si="29"/>
        <v>407</v>
      </c>
      <c r="E495" t="s">
        <v>879</v>
      </c>
      <c r="F495" t="s">
        <v>880</v>
      </c>
      <c r="G495" s="7">
        <v>1.36</v>
      </c>
    </row>
    <row r="496" spans="1:30" x14ac:dyDescent="0.25">
      <c r="A496" t="s">
        <v>333</v>
      </c>
      <c r="B496"/>
      <c r="C496"/>
      <c r="D496">
        <f t="shared" si="29"/>
        <v>408</v>
      </c>
      <c r="E496" t="s">
        <v>873</v>
      </c>
      <c r="F496" t="s">
        <v>874</v>
      </c>
      <c r="G496" s="7">
        <v>0.84</v>
      </c>
    </row>
    <row r="497" spans="1:31" s="33" customFormat="1" ht="13" x14ac:dyDescent="0.3">
      <c r="A497" s="33" t="s">
        <v>333</v>
      </c>
      <c r="D497" s="33">
        <f t="shared" si="29"/>
        <v>409</v>
      </c>
      <c r="E497" s="33" t="s">
        <v>219</v>
      </c>
      <c r="F497" s="33" t="s">
        <v>220</v>
      </c>
      <c r="G497" s="34">
        <v>31.39</v>
      </c>
      <c r="H497" s="58">
        <v>1020</v>
      </c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60"/>
      <c r="T497" s="60"/>
      <c r="U497" s="60"/>
      <c r="V497" s="60"/>
      <c r="W497" s="60"/>
      <c r="X497" s="60"/>
      <c r="Y497" s="108"/>
      <c r="Z497" s="108"/>
      <c r="AA497" s="108"/>
      <c r="AB497" s="108"/>
      <c r="AC497" s="108"/>
      <c r="AD497" s="108"/>
    </row>
    <row r="498" spans="1:31" x14ac:dyDescent="0.25">
      <c r="A498" t="s">
        <v>333</v>
      </c>
      <c r="B498"/>
      <c r="C498"/>
      <c r="D498">
        <f t="shared" si="29"/>
        <v>410</v>
      </c>
      <c r="E498" s="5" t="s">
        <v>233</v>
      </c>
      <c r="F498" s="1" t="s">
        <v>234</v>
      </c>
      <c r="G498" s="3">
        <v>0.73</v>
      </c>
      <c r="H498" s="6">
        <f>G498*[187]Main!$L$3</f>
        <v>29.203180609999997</v>
      </c>
      <c r="I498" s="6">
        <f>[187]Main!$L$5-[187]Main!$L$6</f>
        <v>277.88299999999998</v>
      </c>
      <c r="J498" s="8">
        <f t="shared" ref="J498:J504" si="32">+H498-I498</f>
        <v>-248.67981938999998</v>
      </c>
      <c r="K498" s="3" t="s">
        <v>16</v>
      </c>
    </row>
    <row r="499" spans="1:31" x14ac:dyDescent="0.25">
      <c r="A499" t="s">
        <v>333</v>
      </c>
      <c r="B499"/>
      <c r="C499"/>
      <c r="D499">
        <f t="shared" si="29"/>
        <v>411</v>
      </c>
      <c r="E499" s="5" t="s">
        <v>320</v>
      </c>
      <c r="F499" t="s">
        <v>321</v>
      </c>
      <c r="G499" s="7">
        <v>8.5</v>
      </c>
      <c r="H499" s="6">
        <f>+G499*L499</f>
        <v>80.019892499999997</v>
      </c>
      <c r="I499" s="6">
        <f>+[188]Main!$N$5-[188]Main!$N$6</f>
        <v>-7.4640000000000004</v>
      </c>
      <c r="J499" s="6">
        <f t="shared" si="32"/>
        <v>87.483892499999996</v>
      </c>
      <c r="K499" s="3" t="s">
        <v>300</v>
      </c>
      <c r="L499" s="6">
        <f>+[188]Main!$N$3</f>
        <v>9.4141049999999993</v>
      </c>
      <c r="M499" s="9">
        <v>44780</v>
      </c>
    </row>
    <row r="500" spans="1:31" s="33" customFormat="1" ht="13" x14ac:dyDescent="0.3">
      <c r="A500" s="33" t="s">
        <v>333</v>
      </c>
      <c r="D500" s="33">
        <f t="shared" si="29"/>
        <v>412</v>
      </c>
      <c r="E500" s="57" t="s">
        <v>241</v>
      </c>
      <c r="F500" s="33" t="s">
        <v>242</v>
      </c>
      <c r="G500" s="58">
        <v>1.98</v>
      </c>
      <c r="H500" s="35">
        <f>G500*[189]Main!$N$3</f>
        <v>39.757463459999997</v>
      </c>
      <c r="I500" s="35">
        <f>[189]Main!$N$5-[189]Main!$N$6</f>
        <v>15.942</v>
      </c>
      <c r="J500" s="111">
        <f t="shared" si="32"/>
        <v>23.815463459999997</v>
      </c>
      <c r="K500" s="58" t="s">
        <v>16</v>
      </c>
      <c r="L500" s="58"/>
      <c r="M500" s="58"/>
      <c r="N500" s="58"/>
      <c r="O500" s="58"/>
      <c r="P500" s="58"/>
      <c r="Q500" s="58"/>
      <c r="R500" s="58"/>
      <c r="S500" s="60"/>
      <c r="T500" s="60"/>
      <c r="U500" s="60"/>
      <c r="V500" s="60"/>
      <c r="W500" s="60"/>
      <c r="X500" s="60"/>
      <c r="Y500" s="108"/>
      <c r="Z500" s="108"/>
      <c r="AA500" s="108"/>
      <c r="AB500" s="108"/>
      <c r="AC500" s="108"/>
      <c r="AD500" s="108"/>
    </row>
    <row r="501" spans="1:31" s="33" customFormat="1" ht="13" x14ac:dyDescent="0.3">
      <c r="D501" s="33">
        <f t="shared" si="29"/>
        <v>413</v>
      </c>
      <c r="E501" s="57" t="s">
        <v>243</v>
      </c>
      <c r="F501" s="33" t="s">
        <v>244</v>
      </c>
      <c r="G501" s="58">
        <v>0.62</v>
      </c>
      <c r="H501" s="35">
        <f>G501*[190]Main!$L$3</f>
        <v>30.1881658</v>
      </c>
      <c r="I501" s="35">
        <f>[190]Main!$L$5-[190]Main!$L$6</f>
        <v>13.262999999999998</v>
      </c>
      <c r="J501" s="111">
        <f t="shared" si="32"/>
        <v>16.925165800000002</v>
      </c>
      <c r="K501" s="58" t="s">
        <v>16</v>
      </c>
      <c r="L501" s="58"/>
      <c r="M501" s="58"/>
      <c r="N501" s="58"/>
      <c r="O501" s="58"/>
      <c r="P501" s="58"/>
      <c r="Q501" s="58"/>
      <c r="R501" s="58"/>
      <c r="S501" s="60"/>
      <c r="T501" s="60"/>
      <c r="U501" s="60"/>
      <c r="V501" s="60"/>
      <c r="W501" s="60"/>
      <c r="X501" s="60"/>
      <c r="Y501" s="108"/>
      <c r="Z501" s="108"/>
      <c r="AA501" s="108"/>
      <c r="AB501" s="108"/>
      <c r="AC501" s="108"/>
      <c r="AD501" s="108"/>
    </row>
    <row r="502" spans="1:31" x14ac:dyDescent="0.25">
      <c r="D502">
        <f t="shared" si="29"/>
        <v>414</v>
      </c>
      <c r="E502" s="5" t="s">
        <v>245</v>
      </c>
      <c r="F502" s="1" t="s">
        <v>246</v>
      </c>
      <c r="G502" s="3">
        <v>6.75</v>
      </c>
      <c r="H502" s="6">
        <v>125.46108324000001</v>
      </c>
      <c r="I502" s="6">
        <v>131.17699999999999</v>
      </c>
      <c r="J502" s="8">
        <f t="shared" si="32"/>
        <v>-5.7159167599999847</v>
      </c>
      <c r="K502" s="3" t="s">
        <v>16</v>
      </c>
    </row>
    <row r="503" spans="1:31" s="33" customFormat="1" ht="13" x14ac:dyDescent="0.3">
      <c r="D503" s="33">
        <f t="shared" si="29"/>
        <v>415</v>
      </c>
      <c r="E503" s="57" t="s">
        <v>247</v>
      </c>
      <c r="F503" s="33" t="s">
        <v>248</v>
      </c>
      <c r="G503" s="58">
        <v>0.98</v>
      </c>
      <c r="H503" s="35">
        <v>20.935517539999999</v>
      </c>
      <c r="I503" s="35">
        <v>55.28</v>
      </c>
      <c r="J503" s="111">
        <f t="shared" si="32"/>
        <v>-34.344482460000002</v>
      </c>
      <c r="K503" s="58" t="s">
        <v>16</v>
      </c>
      <c r="L503" s="58"/>
      <c r="M503" s="58"/>
      <c r="N503" s="58"/>
      <c r="O503" s="58"/>
      <c r="P503" s="58"/>
      <c r="Q503" s="58"/>
      <c r="R503" s="58"/>
      <c r="S503" s="60"/>
      <c r="T503" s="60"/>
      <c r="U503" s="60"/>
      <c r="V503" s="60"/>
      <c r="W503" s="60"/>
      <c r="X503" s="60"/>
      <c r="Y503" s="108"/>
      <c r="Z503" s="108"/>
      <c r="AA503" s="108"/>
      <c r="AB503" s="108"/>
      <c r="AC503" s="108"/>
      <c r="AD503" s="108"/>
    </row>
    <row r="504" spans="1:31" s="33" customFormat="1" ht="13" x14ac:dyDescent="0.3">
      <c r="D504" s="33">
        <f t="shared" si="29"/>
        <v>416</v>
      </c>
      <c r="E504" s="57" t="s">
        <v>544</v>
      </c>
      <c r="F504" s="33" t="s">
        <v>545</v>
      </c>
      <c r="G504" s="58">
        <v>0.94</v>
      </c>
      <c r="H504" s="35">
        <f>+G504*L504</f>
        <v>56.676359999999995</v>
      </c>
      <c r="I504" s="35">
        <f>+[191]Main!$K$5-[191]Main!$K$6</f>
        <v>136.64599999999999</v>
      </c>
      <c r="J504" s="35">
        <f t="shared" si="32"/>
        <v>-79.969639999999998</v>
      </c>
      <c r="K504" s="58" t="s">
        <v>1069</v>
      </c>
      <c r="L504" s="35">
        <f>+[191]Main!$K$3</f>
        <v>60.293999999999997</v>
      </c>
      <c r="M504" s="59">
        <v>45550</v>
      </c>
      <c r="N504" s="58"/>
      <c r="O504" s="58"/>
      <c r="P504" s="58"/>
      <c r="Q504" s="58"/>
      <c r="R504" s="58"/>
      <c r="S504" s="60"/>
      <c r="T504" s="60"/>
      <c r="U504" s="60"/>
      <c r="V504" s="60"/>
      <c r="W504" s="60"/>
      <c r="X504" s="60"/>
      <c r="Y504" s="108"/>
      <c r="Z504" s="108"/>
      <c r="AA504" s="108"/>
      <c r="AB504" s="108"/>
      <c r="AC504" s="108"/>
      <c r="AD504" s="108"/>
      <c r="AE504" s="33">
        <v>2017</v>
      </c>
    </row>
    <row r="505" spans="1:31" x14ac:dyDescent="0.25">
      <c r="A505"/>
      <c r="B505"/>
      <c r="C505"/>
      <c r="D505">
        <f t="shared" si="29"/>
        <v>417</v>
      </c>
      <c r="E505" t="s">
        <v>1177</v>
      </c>
      <c r="F505" t="s">
        <v>1178</v>
      </c>
      <c r="G505" s="3">
        <v>8.32</v>
      </c>
      <c r="H505" s="6"/>
    </row>
    <row r="506" spans="1:31" s="33" customFormat="1" ht="13" x14ac:dyDescent="0.3">
      <c r="D506" s="33">
        <f t="shared" si="29"/>
        <v>418</v>
      </c>
      <c r="E506" s="33" t="s">
        <v>249</v>
      </c>
      <c r="F506" s="33" t="s">
        <v>250</v>
      </c>
      <c r="G506" s="58">
        <v>0.61</v>
      </c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60"/>
      <c r="T506" s="60"/>
      <c r="U506" s="60"/>
      <c r="V506" s="60"/>
      <c r="W506" s="60"/>
      <c r="X506" s="60"/>
      <c r="Y506" s="108"/>
      <c r="Z506" s="108"/>
      <c r="AA506" s="108"/>
      <c r="AB506" s="108"/>
      <c r="AC506" s="108"/>
      <c r="AD506" s="108"/>
    </row>
    <row r="507" spans="1:31" s="33" customFormat="1" ht="13" x14ac:dyDescent="0.3">
      <c r="D507" s="33">
        <f t="shared" si="29"/>
        <v>419</v>
      </c>
      <c r="E507" s="33" t="s">
        <v>251</v>
      </c>
      <c r="F507" s="33" t="s">
        <v>252</v>
      </c>
      <c r="G507" s="58">
        <v>1.75</v>
      </c>
      <c r="H507" s="58">
        <v>96</v>
      </c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60"/>
      <c r="T507" s="60"/>
      <c r="U507" s="60"/>
      <c r="V507" s="60"/>
      <c r="W507" s="60"/>
      <c r="X507" s="60"/>
      <c r="Y507" s="108"/>
      <c r="Z507" s="108"/>
      <c r="AA507" s="108"/>
      <c r="AB507" s="108"/>
      <c r="AC507" s="108"/>
      <c r="AD507" s="108"/>
    </row>
    <row r="508" spans="1:31" x14ac:dyDescent="0.25">
      <c r="D508">
        <f t="shared" ref="D508:D553" si="33">+D507+1</f>
        <v>420</v>
      </c>
      <c r="E508" s="1" t="s">
        <v>347</v>
      </c>
      <c r="F508" t="s">
        <v>348</v>
      </c>
      <c r="G508" s="7">
        <v>8.76</v>
      </c>
      <c r="H508" s="3">
        <v>52</v>
      </c>
    </row>
    <row r="509" spans="1:31" s="33" customFormat="1" ht="13" x14ac:dyDescent="0.3">
      <c r="D509" s="33">
        <f t="shared" si="33"/>
        <v>421</v>
      </c>
      <c r="E509" s="33" t="s">
        <v>1305</v>
      </c>
      <c r="F509" s="33" t="s">
        <v>1306</v>
      </c>
      <c r="G509" s="34">
        <v>14.68</v>
      </c>
      <c r="H509" s="58">
        <v>396</v>
      </c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60"/>
      <c r="T509" s="60"/>
      <c r="U509" s="60"/>
      <c r="V509" s="60"/>
      <c r="W509" s="60"/>
      <c r="X509" s="60"/>
      <c r="Y509" s="108"/>
      <c r="Z509" s="108"/>
      <c r="AA509" s="108"/>
      <c r="AB509" s="108"/>
      <c r="AC509" s="108"/>
      <c r="AD509" s="108"/>
    </row>
    <row r="510" spans="1:31" s="33" customFormat="1" ht="13" x14ac:dyDescent="0.3">
      <c r="D510" s="33">
        <f t="shared" si="33"/>
        <v>422</v>
      </c>
      <c r="E510" s="33" t="s">
        <v>378</v>
      </c>
      <c r="F510" s="33" t="s">
        <v>379</v>
      </c>
      <c r="G510" s="58">
        <v>25.85</v>
      </c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60"/>
      <c r="T510" s="60"/>
      <c r="U510" s="60"/>
      <c r="V510" s="60"/>
      <c r="W510" s="60"/>
      <c r="X510" s="60"/>
      <c r="Y510" s="108"/>
      <c r="Z510" s="108"/>
      <c r="AA510" s="108"/>
      <c r="AB510" s="108"/>
      <c r="AC510" s="108"/>
      <c r="AD510" s="108"/>
    </row>
    <row r="511" spans="1:31" x14ac:dyDescent="0.25">
      <c r="D511">
        <f t="shared" si="33"/>
        <v>423</v>
      </c>
      <c r="E511" t="s">
        <v>384</v>
      </c>
      <c r="F511" t="s">
        <v>385</v>
      </c>
      <c r="G511" s="3">
        <v>9.26</v>
      </c>
      <c r="H511" s="3">
        <v>204</v>
      </c>
    </row>
    <row r="512" spans="1:31" x14ac:dyDescent="0.25">
      <c r="D512">
        <f t="shared" si="33"/>
        <v>424</v>
      </c>
      <c r="E512" s="1" t="s">
        <v>394</v>
      </c>
      <c r="F512" s="1" t="s">
        <v>395</v>
      </c>
      <c r="G512" s="3">
        <v>0.69</v>
      </c>
      <c r="H512" s="3">
        <v>4</v>
      </c>
    </row>
    <row r="513" spans="1:31" x14ac:dyDescent="0.25">
      <c r="D513">
        <f t="shared" si="33"/>
        <v>425</v>
      </c>
      <c r="E513" t="s">
        <v>744</v>
      </c>
      <c r="F513" t="s">
        <v>745</v>
      </c>
      <c r="G513" s="7">
        <v>83</v>
      </c>
    </row>
    <row r="514" spans="1:31" x14ac:dyDescent="0.25">
      <c r="D514">
        <f t="shared" si="33"/>
        <v>426</v>
      </c>
      <c r="E514" t="s">
        <v>747</v>
      </c>
      <c r="F514" t="s">
        <v>748</v>
      </c>
      <c r="G514" s="6">
        <v>4445</v>
      </c>
    </row>
    <row r="515" spans="1:31" s="33" customFormat="1" ht="13" x14ac:dyDescent="0.3">
      <c r="D515" s="33">
        <f t="shared" si="33"/>
        <v>427</v>
      </c>
      <c r="E515" s="33" t="s">
        <v>503</v>
      </c>
      <c r="F515" s="33" t="s">
        <v>504</v>
      </c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60"/>
      <c r="T515" s="60"/>
      <c r="U515" s="60"/>
      <c r="V515" s="60"/>
      <c r="W515" s="60"/>
      <c r="X515" s="60"/>
      <c r="Y515" s="108"/>
      <c r="Z515" s="108"/>
      <c r="AA515" s="108"/>
      <c r="AB515" s="108"/>
      <c r="AC515" s="108"/>
      <c r="AD515" s="108"/>
    </row>
    <row r="516" spans="1:31" x14ac:dyDescent="0.25">
      <c r="D516">
        <f t="shared" si="33"/>
        <v>428</v>
      </c>
      <c r="E516" s="1" t="s">
        <v>514</v>
      </c>
      <c r="F516" s="1" t="s">
        <v>515</v>
      </c>
      <c r="G516" s="3">
        <v>2.5499999999999998</v>
      </c>
    </row>
    <row r="517" spans="1:31" x14ac:dyDescent="0.25">
      <c r="D517">
        <f>+D350+1</f>
        <v>430</v>
      </c>
      <c r="E517" s="1" t="s">
        <v>522</v>
      </c>
      <c r="F517" s="1" t="s">
        <v>523</v>
      </c>
      <c r="G517" s="3">
        <v>0.72</v>
      </c>
    </row>
    <row r="518" spans="1:31" x14ac:dyDescent="0.25">
      <c r="D518">
        <f t="shared" si="33"/>
        <v>431</v>
      </c>
      <c r="E518" t="s">
        <v>526</v>
      </c>
      <c r="F518" t="s">
        <v>527</v>
      </c>
      <c r="G518" s="3">
        <v>0.18</v>
      </c>
    </row>
    <row r="519" spans="1:31" x14ac:dyDescent="0.25">
      <c r="D519">
        <f t="shared" si="33"/>
        <v>432</v>
      </c>
      <c r="E519" t="s">
        <v>528</v>
      </c>
      <c r="F519" t="s">
        <v>529</v>
      </c>
      <c r="G519" s="3">
        <v>2.83</v>
      </c>
    </row>
    <row r="520" spans="1:31" x14ac:dyDescent="0.25">
      <c r="A520" s="1" t="s">
        <v>333</v>
      </c>
      <c r="D520">
        <f t="shared" si="33"/>
        <v>433</v>
      </c>
      <c r="E520" t="s">
        <v>530</v>
      </c>
      <c r="F520" t="s">
        <v>531</v>
      </c>
      <c r="G520" s="3">
        <v>2.71</v>
      </c>
    </row>
    <row r="521" spans="1:31" s="33" customFormat="1" ht="13" x14ac:dyDescent="0.3">
      <c r="D521" s="33">
        <f t="shared" si="33"/>
        <v>434</v>
      </c>
      <c r="E521" s="33" t="s">
        <v>532</v>
      </c>
      <c r="F521" s="33" t="s">
        <v>533</v>
      </c>
      <c r="G521" s="58">
        <v>4.3600000000000003</v>
      </c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60"/>
      <c r="T521" s="60"/>
      <c r="U521" s="60"/>
      <c r="V521" s="60"/>
      <c r="W521" s="60"/>
      <c r="X521" s="60"/>
      <c r="Y521" s="108"/>
      <c r="Z521" s="108"/>
      <c r="AA521" s="108"/>
      <c r="AB521" s="108"/>
      <c r="AC521" s="108"/>
      <c r="AD521" s="108"/>
    </row>
    <row r="522" spans="1:31" x14ac:dyDescent="0.25">
      <c r="D522">
        <f t="shared" si="33"/>
        <v>435</v>
      </c>
      <c r="E522" t="s">
        <v>534</v>
      </c>
      <c r="F522" t="s">
        <v>535</v>
      </c>
      <c r="G522" s="7">
        <v>0.7</v>
      </c>
    </row>
    <row r="523" spans="1:31" x14ac:dyDescent="0.25">
      <c r="A523" t="s">
        <v>333</v>
      </c>
      <c r="B523"/>
      <c r="C523"/>
      <c r="D523">
        <f t="shared" si="33"/>
        <v>436</v>
      </c>
      <c r="E523" s="5" t="s">
        <v>1164</v>
      </c>
      <c r="F523" t="s">
        <v>1165</v>
      </c>
      <c r="G523" s="3">
        <v>1.32</v>
      </c>
      <c r="H523" s="6">
        <f>+G523*L523</f>
        <v>40.883255159999997</v>
      </c>
      <c r="I523" s="6">
        <f>+[192]Main!$J$5-[192]Main!$J$6</f>
        <v>220.43200000000002</v>
      </c>
      <c r="J523" s="6">
        <f>+H523-I523</f>
        <v>-179.54874484000001</v>
      </c>
      <c r="K523" s="3" t="s">
        <v>1069</v>
      </c>
      <c r="L523" s="6">
        <f>+[192]Main!$J$3</f>
        <v>30.972162999999998</v>
      </c>
      <c r="M523" s="9">
        <v>45548</v>
      </c>
      <c r="AE523" s="1">
        <v>2018</v>
      </c>
    </row>
    <row r="524" spans="1:31" x14ac:dyDescent="0.25">
      <c r="A524" t="s">
        <v>333</v>
      </c>
      <c r="B524"/>
      <c r="C524"/>
      <c r="D524">
        <f t="shared" si="33"/>
        <v>437</v>
      </c>
      <c r="E524" t="s">
        <v>308</v>
      </c>
      <c r="F524" t="s">
        <v>309</v>
      </c>
      <c r="G524" s="3">
        <v>3.13</v>
      </c>
      <c r="H524" s="6">
        <v>272</v>
      </c>
    </row>
    <row r="525" spans="1:31" x14ac:dyDescent="0.25">
      <c r="A525" t="s">
        <v>333</v>
      </c>
      <c r="B525"/>
      <c r="C525"/>
      <c r="D525">
        <f t="shared" si="33"/>
        <v>438</v>
      </c>
      <c r="E525" t="s">
        <v>668</v>
      </c>
      <c r="F525" t="s">
        <v>669</v>
      </c>
      <c r="G525" s="3">
        <v>2.71</v>
      </c>
    </row>
    <row r="526" spans="1:31" s="33" customFormat="1" ht="13" x14ac:dyDescent="0.3">
      <c r="D526" s="33">
        <f t="shared" si="33"/>
        <v>439</v>
      </c>
      <c r="E526" s="33" t="s">
        <v>670</v>
      </c>
      <c r="F526" s="33" t="s">
        <v>671</v>
      </c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60"/>
      <c r="T526" s="60"/>
      <c r="U526" s="60"/>
      <c r="V526" s="60"/>
      <c r="W526" s="60"/>
      <c r="X526" s="60"/>
      <c r="Y526" s="108"/>
      <c r="Z526" s="108"/>
      <c r="AA526" s="108"/>
      <c r="AB526" s="108"/>
      <c r="AC526" s="108"/>
      <c r="AD526" s="108"/>
    </row>
    <row r="527" spans="1:31" x14ac:dyDescent="0.25">
      <c r="A527" s="1" t="s">
        <v>333</v>
      </c>
      <c r="D527">
        <f t="shared" si="33"/>
        <v>440</v>
      </c>
      <c r="E527" t="s">
        <v>805</v>
      </c>
      <c r="F527" t="s">
        <v>806</v>
      </c>
      <c r="G527" s="3">
        <v>14.94</v>
      </c>
    </row>
    <row r="528" spans="1:31" x14ac:dyDescent="0.25">
      <c r="D528">
        <f t="shared" si="33"/>
        <v>441</v>
      </c>
      <c r="E528" s="1" t="s">
        <v>142</v>
      </c>
      <c r="F528" s="1" t="s">
        <v>143</v>
      </c>
      <c r="G528" s="3">
        <v>13.85</v>
      </c>
      <c r="H528" s="6"/>
    </row>
    <row r="529" spans="1:30" s="33" customFormat="1" ht="13" x14ac:dyDescent="0.3">
      <c r="A529" s="33" t="s">
        <v>333</v>
      </c>
      <c r="D529" s="33">
        <f t="shared" si="33"/>
        <v>442</v>
      </c>
      <c r="E529" s="33" t="s">
        <v>578</v>
      </c>
      <c r="F529" s="33" t="s">
        <v>579</v>
      </c>
      <c r="G529" s="58">
        <v>2.94</v>
      </c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60"/>
      <c r="T529" s="60"/>
      <c r="U529" s="60"/>
      <c r="V529" s="60"/>
      <c r="W529" s="60"/>
      <c r="X529" s="60"/>
      <c r="Y529" s="108"/>
      <c r="Z529" s="108"/>
      <c r="AA529" s="108"/>
      <c r="AB529" s="108"/>
      <c r="AC529" s="108"/>
      <c r="AD529" s="108"/>
    </row>
    <row r="530" spans="1:30" x14ac:dyDescent="0.25">
      <c r="A530" s="1" t="s">
        <v>333</v>
      </c>
      <c r="D530">
        <f t="shared" si="33"/>
        <v>443</v>
      </c>
      <c r="E530" t="s">
        <v>582</v>
      </c>
      <c r="F530" t="s">
        <v>583</v>
      </c>
      <c r="G530" s="7">
        <v>0.5</v>
      </c>
    </row>
    <row r="531" spans="1:30" x14ac:dyDescent="0.25">
      <c r="D531">
        <f t="shared" si="33"/>
        <v>444</v>
      </c>
      <c r="E531" t="s">
        <v>562</v>
      </c>
      <c r="F531" t="s">
        <v>563</v>
      </c>
      <c r="G531" s="3">
        <v>1.51</v>
      </c>
    </row>
    <row r="532" spans="1:30" s="33" customFormat="1" ht="13" x14ac:dyDescent="0.3">
      <c r="D532" s="33">
        <f t="shared" si="33"/>
        <v>445</v>
      </c>
      <c r="E532" s="33" t="s">
        <v>564</v>
      </c>
      <c r="F532" s="33" t="s">
        <v>565</v>
      </c>
      <c r="G532" s="58">
        <v>1.87</v>
      </c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60"/>
      <c r="T532" s="60"/>
      <c r="U532" s="60"/>
      <c r="V532" s="60"/>
      <c r="W532" s="60"/>
      <c r="X532" s="60"/>
      <c r="Y532" s="108"/>
      <c r="Z532" s="108"/>
      <c r="AA532" s="108"/>
      <c r="AB532" s="108"/>
      <c r="AC532" s="108"/>
      <c r="AD532" s="108"/>
    </row>
    <row r="533" spans="1:30" ht="13" x14ac:dyDescent="0.3">
      <c r="D533">
        <f t="shared" si="33"/>
        <v>446</v>
      </c>
      <c r="E533" s="33" t="s">
        <v>566</v>
      </c>
      <c r="F533" s="33" t="s">
        <v>567</v>
      </c>
      <c r="G533"/>
    </row>
    <row r="534" spans="1:30" ht="13" x14ac:dyDescent="0.3">
      <c r="D534">
        <f t="shared" si="33"/>
        <v>447</v>
      </c>
      <c r="E534" s="33" t="s">
        <v>538</v>
      </c>
      <c r="F534" s="33" t="s">
        <v>539</v>
      </c>
    </row>
    <row r="535" spans="1:30" x14ac:dyDescent="0.25">
      <c r="D535">
        <f t="shared" si="33"/>
        <v>448</v>
      </c>
      <c r="E535" t="s">
        <v>540</v>
      </c>
      <c r="F535" t="s">
        <v>541</v>
      </c>
      <c r="G535" s="3">
        <v>1.88</v>
      </c>
    </row>
    <row r="536" spans="1:30" x14ac:dyDescent="0.25">
      <c r="D536">
        <f t="shared" si="33"/>
        <v>449</v>
      </c>
      <c r="E536" t="s">
        <v>542</v>
      </c>
      <c r="F536" t="s">
        <v>543</v>
      </c>
      <c r="G536" s="3">
        <v>13.42</v>
      </c>
    </row>
    <row r="537" spans="1:30" s="33" customFormat="1" ht="13" x14ac:dyDescent="0.3">
      <c r="D537" s="33">
        <f t="shared" si="33"/>
        <v>450</v>
      </c>
      <c r="E537" s="33" t="s">
        <v>546</v>
      </c>
      <c r="F537" s="33" t="s">
        <v>547</v>
      </c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60"/>
      <c r="T537" s="60"/>
      <c r="U537" s="60"/>
      <c r="V537" s="60"/>
      <c r="W537" s="60"/>
      <c r="X537" s="60"/>
      <c r="Y537" s="108"/>
      <c r="Z537" s="108"/>
      <c r="AA537" s="108"/>
      <c r="AB537" s="108"/>
      <c r="AC537" s="108"/>
      <c r="AD537" s="108"/>
    </row>
    <row r="538" spans="1:30" x14ac:dyDescent="0.25">
      <c r="D538">
        <f t="shared" si="33"/>
        <v>451</v>
      </c>
      <c r="E538" t="s">
        <v>548</v>
      </c>
      <c r="F538" t="s">
        <v>549</v>
      </c>
      <c r="G538" s="3">
        <v>2.72</v>
      </c>
    </row>
    <row r="539" spans="1:30" x14ac:dyDescent="0.25">
      <c r="D539">
        <f t="shared" si="33"/>
        <v>452</v>
      </c>
      <c r="E539" t="s">
        <v>550</v>
      </c>
      <c r="F539" t="s">
        <v>551</v>
      </c>
      <c r="G539" s="7">
        <v>6.93</v>
      </c>
    </row>
    <row r="540" spans="1:30" s="33" customFormat="1" ht="13" x14ac:dyDescent="0.3">
      <c r="D540" s="33">
        <f t="shared" si="33"/>
        <v>453</v>
      </c>
      <c r="E540" s="33" t="s">
        <v>989</v>
      </c>
      <c r="F540" s="33" t="s">
        <v>990</v>
      </c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60"/>
      <c r="T540" s="60"/>
      <c r="U540" s="60"/>
      <c r="V540" s="60"/>
      <c r="W540" s="60"/>
      <c r="X540" s="60"/>
      <c r="Y540" s="108"/>
      <c r="Z540" s="108"/>
      <c r="AA540" s="108"/>
      <c r="AB540" s="108"/>
      <c r="AC540" s="108"/>
      <c r="AD540" s="108"/>
    </row>
    <row r="541" spans="1:30" x14ac:dyDescent="0.25">
      <c r="D541">
        <f t="shared" si="33"/>
        <v>454</v>
      </c>
      <c r="E541" t="s">
        <v>556</v>
      </c>
      <c r="F541" t="s">
        <v>557</v>
      </c>
      <c r="G541" s="7">
        <v>2.9</v>
      </c>
    </row>
    <row r="542" spans="1:30" x14ac:dyDescent="0.25">
      <c r="D542">
        <f t="shared" si="33"/>
        <v>455</v>
      </c>
      <c r="E542" t="s">
        <v>570</v>
      </c>
      <c r="F542" t="s">
        <v>571</v>
      </c>
      <c r="G542" s="3">
        <v>0.38</v>
      </c>
    </row>
    <row r="543" spans="1:30" x14ac:dyDescent="0.25">
      <c r="A543" t="s">
        <v>333</v>
      </c>
      <c r="B543"/>
      <c r="C543"/>
      <c r="D543">
        <f t="shared" si="33"/>
        <v>456</v>
      </c>
      <c r="E543" t="s">
        <v>981</v>
      </c>
      <c r="F543" t="s">
        <v>982</v>
      </c>
      <c r="G543" s="3">
        <v>2.08</v>
      </c>
    </row>
    <row r="544" spans="1:30" s="33" customFormat="1" ht="13" x14ac:dyDescent="0.3">
      <c r="D544" s="33">
        <f t="shared" si="33"/>
        <v>457</v>
      </c>
      <c r="E544" s="33" t="s">
        <v>983</v>
      </c>
      <c r="F544" s="33" t="s">
        <v>984</v>
      </c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60"/>
      <c r="T544" s="60"/>
      <c r="U544" s="60"/>
      <c r="V544" s="60"/>
      <c r="W544" s="60"/>
      <c r="X544" s="60"/>
      <c r="Y544" s="108"/>
      <c r="Z544" s="108"/>
      <c r="AA544" s="108"/>
      <c r="AB544" s="108"/>
      <c r="AC544" s="108"/>
      <c r="AD544" s="108"/>
    </row>
    <row r="545" spans="1:31" x14ac:dyDescent="0.25">
      <c r="D545">
        <f t="shared" si="33"/>
        <v>458</v>
      </c>
      <c r="E545" s="5" t="s">
        <v>1190</v>
      </c>
      <c r="F545" s="39" t="s">
        <v>1191</v>
      </c>
      <c r="G545" s="7">
        <v>0.47</v>
      </c>
      <c r="H545" s="6">
        <f>+G545*L545</f>
        <v>53.977747369999996</v>
      </c>
      <c r="I545" s="6">
        <f>+[193]Main!$L$5-[193]Main!$L$6</f>
        <v>122.197</v>
      </c>
      <c r="J545" s="6">
        <f>+H545-I545</f>
        <v>-68.21925263</v>
      </c>
      <c r="K545" s="3" t="s">
        <v>1069</v>
      </c>
      <c r="L545" s="6">
        <f>+[193]Main!$L$3</f>
        <v>114.846271</v>
      </c>
      <c r="M545" s="9">
        <v>45567</v>
      </c>
    </row>
    <row r="546" spans="1:31" s="33" customFormat="1" ht="13" x14ac:dyDescent="0.3">
      <c r="A546" s="33" t="s">
        <v>333</v>
      </c>
      <c r="D546" s="33">
        <f t="shared" si="33"/>
        <v>459</v>
      </c>
      <c r="E546" s="57" t="s">
        <v>191</v>
      </c>
      <c r="F546" s="33" t="s">
        <v>192</v>
      </c>
      <c r="G546" s="58">
        <v>7.36</v>
      </c>
      <c r="H546" s="35">
        <f>+G546*L546</f>
        <v>897.18233664000002</v>
      </c>
      <c r="I546" s="35">
        <f>+[194]Main!$J$5-[194]Main!$J$6</f>
        <v>601.58999999999992</v>
      </c>
      <c r="J546" s="35">
        <f>+H546-I546</f>
        <v>295.5923366400001</v>
      </c>
      <c r="K546" s="58" t="s">
        <v>16</v>
      </c>
      <c r="L546" s="35">
        <f>+[194]Main!$J$3</f>
        <v>121.89977399999999</v>
      </c>
      <c r="M546" s="59">
        <v>44827</v>
      </c>
      <c r="N546" s="58"/>
      <c r="O546" s="58"/>
      <c r="P546" s="58"/>
      <c r="Q546" s="58"/>
      <c r="R546" s="58"/>
      <c r="S546" s="60"/>
      <c r="T546" s="60"/>
      <c r="U546" s="60"/>
      <c r="V546" s="60"/>
      <c r="W546" s="60"/>
      <c r="X546" s="60"/>
      <c r="Y546" s="108"/>
      <c r="Z546" s="108"/>
      <c r="AA546" s="108"/>
      <c r="AB546" s="108"/>
      <c r="AC546" s="108"/>
      <c r="AD546" s="108"/>
    </row>
    <row r="547" spans="1:31" x14ac:dyDescent="0.25">
      <c r="A547" t="s">
        <v>333</v>
      </c>
      <c r="B547"/>
      <c r="C547"/>
      <c r="D547">
        <f t="shared" si="33"/>
        <v>460</v>
      </c>
      <c r="E547" s="5" t="s">
        <v>287</v>
      </c>
      <c r="F547" t="s">
        <v>288</v>
      </c>
      <c r="G547" s="7">
        <v>0.49</v>
      </c>
      <c r="H547" s="6">
        <f>+G547*L547</f>
        <v>71.728120799999999</v>
      </c>
      <c r="I547" s="6">
        <f>+[195]Main!$L$5-[195]Main!$L$6</f>
        <v>24.916284999999998</v>
      </c>
      <c r="J547" s="6">
        <f>+H547-I547</f>
        <v>46.811835799999997</v>
      </c>
      <c r="K547" s="3" t="s">
        <v>1275</v>
      </c>
      <c r="L547" s="6">
        <f>+[195]Main!$L$3</f>
        <v>146.38391999999999</v>
      </c>
      <c r="M547" s="9">
        <v>45684</v>
      </c>
    </row>
    <row r="548" spans="1:31" x14ac:dyDescent="0.25">
      <c r="A548" t="s">
        <v>333</v>
      </c>
      <c r="B548"/>
      <c r="C548"/>
      <c r="D548">
        <f t="shared" si="33"/>
        <v>461</v>
      </c>
      <c r="E548" s="5" t="s">
        <v>223</v>
      </c>
      <c r="F548" s="1" t="s">
        <v>224</v>
      </c>
      <c r="G548" s="3">
        <v>1.41</v>
      </c>
      <c r="H548" s="6">
        <f>+G548*L548</f>
        <v>80.467982309999996</v>
      </c>
      <c r="I548" s="6">
        <f>+[196]Main!$K$5-[196]Main!$K$6</f>
        <v>449.76100000000002</v>
      </c>
      <c r="J548" s="6">
        <f>+H548-I548</f>
        <v>-369.29301769000006</v>
      </c>
      <c r="K548" s="3" t="s">
        <v>418</v>
      </c>
      <c r="L548" s="6">
        <f>+[196]Main!$K$3</f>
        <v>57.069490999999999</v>
      </c>
      <c r="M548" s="9">
        <v>44947</v>
      </c>
      <c r="AE548" s="1">
        <v>2015</v>
      </c>
    </row>
    <row r="549" spans="1:31" x14ac:dyDescent="0.25">
      <c r="A549" t="s">
        <v>333</v>
      </c>
      <c r="B549"/>
      <c r="C549"/>
      <c r="D549">
        <f t="shared" si="33"/>
        <v>462</v>
      </c>
      <c r="E549" t="s">
        <v>797</v>
      </c>
      <c r="F549" t="s">
        <v>798</v>
      </c>
      <c r="G549" s="3">
        <v>6.82</v>
      </c>
      <c r="H549" s="6"/>
    </row>
    <row r="550" spans="1:31" s="33" customFormat="1" ht="13" x14ac:dyDescent="0.3">
      <c r="D550" s="33">
        <f t="shared" si="33"/>
        <v>463</v>
      </c>
      <c r="E550" s="33" t="s">
        <v>1423</v>
      </c>
      <c r="F550" s="33" t="s">
        <v>1424</v>
      </c>
      <c r="G550" s="34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60"/>
      <c r="T550" s="60"/>
      <c r="U550" s="60"/>
      <c r="V550" s="60"/>
      <c r="W550" s="60"/>
      <c r="X550" s="60"/>
      <c r="Y550" s="108"/>
      <c r="Z550" s="108"/>
      <c r="AA550" s="108"/>
      <c r="AB550" s="108"/>
      <c r="AC550" s="108"/>
      <c r="AD550" s="108"/>
    </row>
    <row r="551" spans="1:31" x14ac:dyDescent="0.25">
      <c r="A551" t="s">
        <v>333</v>
      </c>
      <c r="B551"/>
      <c r="C551"/>
      <c r="D551">
        <f t="shared" si="33"/>
        <v>464</v>
      </c>
      <c r="E551" s="1" t="s">
        <v>105</v>
      </c>
      <c r="F551" s="1" t="s">
        <v>106</v>
      </c>
      <c r="G551" s="3">
        <v>2.21</v>
      </c>
    </row>
    <row r="552" spans="1:31" x14ac:dyDescent="0.25">
      <c r="D552">
        <f t="shared" si="33"/>
        <v>465</v>
      </c>
      <c r="E552" s="1" t="s">
        <v>195</v>
      </c>
      <c r="F552" s="1" t="s">
        <v>196</v>
      </c>
      <c r="G552" s="3">
        <v>1.23</v>
      </c>
      <c r="H552" s="6">
        <v>823</v>
      </c>
    </row>
    <row r="553" spans="1:31" x14ac:dyDescent="0.25">
      <c r="D553">
        <f t="shared" si="33"/>
        <v>466</v>
      </c>
      <c r="E553" s="5" t="s">
        <v>239</v>
      </c>
      <c r="F553" s="1" t="s">
        <v>240</v>
      </c>
      <c r="G553" s="7">
        <v>0.12</v>
      </c>
      <c r="H553" s="6">
        <f>G553*[197]Main!$M$3</f>
        <v>22.103871479999999</v>
      </c>
      <c r="I553" s="6">
        <f>[197]Main!$M$5-[197]Main!$M$6</f>
        <v>-59.50200000000001</v>
      </c>
      <c r="J553" s="8">
        <f>+H553-I553</f>
        <v>81.605871480000005</v>
      </c>
      <c r="K553" s="3" t="s">
        <v>16</v>
      </c>
    </row>
  </sheetData>
  <sortState xmlns:xlrd2="http://schemas.microsoft.com/office/spreadsheetml/2017/richdata2" ref="A167:AE210">
    <sortCondition descending="1" ref="H167:H210"/>
  </sortState>
  <mergeCells count="2">
    <mergeCell ref="S2:X2"/>
    <mergeCell ref="Y2:AD2"/>
  </mergeCells>
  <hyperlinks>
    <hyperlink ref="E6" r:id="rId1" xr:uid="{31FFFB9E-A269-4EC0-9451-78F4F00A4890}"/>
    <hyperlink ref="E15" r:id="rId2" xr:uid="{C156021C-BE99-4BC0-AA7F-F8904621CB69}"/>
    <hyperlink ref="E17" r:id="rId3" xr:uid="{087C38CF-D4BE-425F-8F38-C4129E6AE209}"/>
    <hyperlink ref="E12" r:id="rId4" xr:uid="{686D20FF-3704-45CC-8366-56508FB00F00}"/>
    <hyperlink ref="E13" r:id="rId5" xr:uid="{8513C491-1620-4390-AB90-9384BB1A043B}"/>
    <hyperlink ref="E5" r:id="rId6" xr:uid="{615921E7-8A8A-4F41-A8F3-1AF78A43F1AC}"/>
    <hyperlink ref="E29" r:id="rId7" xr:uid="{A38EC1E4-9170-422B-A9F5-3B6EB77DF40A}"/>
    <hyperlink ref="E25" r:id="rId8" xr:uid="{FC86E1B4-4BA7-43A8-8FCA-CC27867A7922}"/>
    <hyperlink ref="E21" r:id="rId9" xr:uid="{F9D09B0D-FACB-4CCA-872E-286E56965815}"/>
    <hyperlink ref="E19" r:id="rId10" xr:uid="{5A59EF45-A9EA-44F3-BECB-EFED8413DCF6}"/>
    <hyperlink ref="E7" r:id="rId11" xr:uid="{0888F4DA-9569-4326-990C-43015A33BD61}"/>
    <hyperlink ref="E18" r:id="rId12" xr:uid="{C2959A9B-7367-43D7-934F-562A915DC4DD}"/>
    <hyperlink ref="E22" r:id="rId13" xr:uid="{A069369A-FB97-4A4A-A581-321FA79E4250}"/>
    <hyperlink ref="E59" r:id="rId14" xr:uid="{6EF35D30-7113-4CE8-9077-C5BE97F74D36}"/>
    <hyperlink ref="E31" r:id="rId15" xr:uid="{1F769FA7-6B90-4B6B-9BCC-7D6679675B06}"/>
    <hyperlink ref="E26" r:id="rId16" xr:uid="{61277D68-67DC-475B-9B61-B7E2F3017110}"/>
    <hyperlink ref="E262" r:id="rId17" xr:uid="{14A63DAF-63A6-4B91-A2AF-AE28EA251457}"/>
    <hyperlink ref="E500" r:id="rId18" xr:uid="{4ACA7C7F-E42A-4687-A776-AB8065DB40FF}"/>
    <hyperlink ref="E498" r:id="rId19" xr:uid="{B3421391-7EC0-4253-8F62-5ED45A5BFA02}"/>
    <hyperlink ref="E501" r:id="rId20" xr:uid="{F6A45FC7-B73C-4143-9CAB-B3ADA19B5FD7}"/>
    <hyperlink ref="E261" r:id="rId21" xr:uid="{BBD267CB-7407-4913-9D05-6A6AA380019F}"/>
    <hyperlink ref="E503" r:id="rId22" xr:uid="{85368858-6D0F-4ABE-975C-AE5530342445}"/>
    <hyperlink ref="E256" r:id="rId23" xr:uid="{8B5BC1F5-14D4-45A0-B224-31FAF227EAF3}"/>
    <hyperlink ref="E502" r:id="rId24" xr:uid="{D5FB3BFE-F0A8-4C09-90A1-9F506EF0ADE4}"/>
    <hyperlink ref="E553" r:id="rId25" xr:uid="{11598046-2AED-42E7-ACA5-251A20A59427}"/>
    <hyperlink ref="E55" r:id="rId26" xr:uid="{A1C90F9B-FBBF-4C72-9A11-3798F692A0D2}"/>
    <hyperlink ref="E93" r:id="rId27" xr:uid="{F7B6503D-1F84-47C4-B87E-BDA7159D1B9F}"/>
    <hyperlink ref="E42" r:id="rId28" xr:uid="{D0EE43E7-C3F5-4256-99AE-DDCA9EC11DCF}"/>
    <hyperlink ref="E41" r:id="rId29" xr:uid="{1C25970A-A568-4869-A34A-5C6C7551D812}"/>
    <hyperlink ref="E547" r:id="rId30" xr:uid="{C3A06396-38CD-486E-9F4F-233A79292B4F}"/>
    <hyperlink ref="E126" r:id="rId31" xr:uid="{B83625D8-44D2-4842-9139-F29C8D5F2D8E}"/>
    <hyperlink ref="E213" r:id="rId32" xr:uid="{5FF32E6A-C6C7-4793-8271-BD230B9C7641}"/>
    <hyperlink ref="E74" r:id="rId33" xr:uid="{E5739E03-9FE4-4D05-90C8-36ABF7D078CB}"/>
    <hyperlink ref="E84" r:id="rId34" xr:uid="{25285F59-771C-40DB-8B78-E1E454C61406}"/>
    <hyperlink ref="E499" r:id="rId35" xr:uid="{C000061C-001D-4088-90A4-B672D181D3C5}"/>
    <hyperlink ref="E103" r:id="rId36" xr:uid="{6A1F812B-EA91-4B3C-B4DC-88F792A7D0DE}"/>
    <hyperlink ref="E64" r:id="rId37" xr:uid="{6930A656-C59A-465F-8634-B30B4FEF47BC}"/>
    <hyperlink ref="E90" r:id="rId38" xr:uid="{559FAD8A-D620-4B93-BE14-CC22630BD57E}"/>
    <hyperlink ref="E257" r:id="rId39" xr:uid="{6A576FDB-A573-4A00-8381-4BECF13B35A1}"/>
    <hyperlink ref="E160" r:id="rId40" xr:uid="{51C9506E-5D60-43F8-BADA-7F72A25DAFF6}"/>
    <hyperlink ref="E118" r:id="rId41" xr:uid="{9E4325F2-98CF-4735-96D0-66A9DC5A8E86}"/>
    <hyperlink ref="E546" r:id="rId42" xr:uid="{6D062383-838D-42C7-BFCD-E5C9DC258548}"/>
    <hyperlink ref="E28" r:id="rId43" xr:uid="{3F36D809-73FC-441C-88D2-EEB42A40734A}"/>
    <hyperlink ref="E30" r:id="rId44" xr:uid="{5D73AAA9-EBCA-4613-83CF-E75D37F58B6D}"/>
    <hyperlink ref="E33" r:id="rId45" xr:uid="{203E18C7-425E-49E1-9AA5-204AFBE41E2D}"/>
    <hyperlink ref="E34" r:id="rId46" xr:uid="{5670E9A9-D014-4D7B-962A-54CBDC766969}"/>
    <hyperlink ref="E66" r:id="rId47" xr:uid="{04E7711A-AB14-45D0-B73B-7EA804EC5564}"/>
    <hyperlink ref="E46" r:id="rId48" xr:uid="{76CA7CFE-7B9B-4C27-8561-3A158A30ED77}"/>
    <hyperlink ref="E51" r:id="rId49" xr:uid="{F5D5A68A-4783-46B8-B717-79A0E802B6C4}"/>
    <hyperlink ref="E37" r:id="rId50" xr:uid="{DD930D2F-20A9-46C3-8AA4-5E62A88271DB}"/>
    <hyperlink ref="E39" r:id="rId51" xr:uid="{E248BEED-DD02-463E-BFAC-D02D5521E787}"/>
    <hyperlink ref="E43" r:id="rId52" xr:uid="{01444C35-CEE7-41B7-B694-AE47417B7019}"/>
    <hyperlink ref="E45" r:id="rId53" xr:uid="{BC97A7B7-8716-48D0-BA90-60A75E6A24CE}"/>
    <hyperlink ref="E38" r:id="rId54" xr:uid="{AD16E898-B1E4-4F25-8E21-E2BC1C6FE9AD}"/>
    <hyperlink ref="E61" r:id="rId55" xr:uid="{E9207892-DA1F-48D2-B2C3-EFA59FCA8A47}"/>
    <hyperlink ref="E81" r:id="rId56" xr:uid="{DE2D1DDB-B5B7-4055-B885-0CD9E7670070}"/>
    <hyperlink ref="E32" r:id="rId57" xr:uid="{9DD12163-063E-4F73-89A5-34D8E8AC0534}"/>
    <hyperlink ref="E87" r:id="rId58" xr:uid="{1D3A6A47-22C9-4CC1-94BD-20DE3BB08016}"/>
    <hyperlink ref="E54" r:id="rId59" xr:uid="{27FB3DB4-8430-405F-9558-F31A0B69ED5F}"/>
    <hyperlink ref="E44" r:id="rId60" xr:uid="{144D13FD-59BD-499B-A0B4-B06985623C68}"/>
    <hyperlink ref="E548" r:id="rId61" xr:uid="{E48CD1EB-CFA1-47B1-BD8B-09F09CDD4FA4}"/>
    <hyperlink ref="E119" r:id="rId62" xr:uid="{6E9AFF81-F520-4A86-9FC2-D5CFE68E7EB7}"/>
    <hyperlink ref="E73" r:id="rId63" xr:uid="{ED527D70-0B51-4151-8378-8C40B68FF19D}"/>
    <hyperlink ref="E48" r:id="rId64" xr:uid="{A902B26E-CA39-4DC5-9F23-4459D8D315E8}"/>
    <hyperlink ref="E101" r:id="rId65" xr:uid="{5F0313F8-3376-4F67-9822-E1412CAA5959}"/>
    <hyperlink ref="E106" r:id="rId66" xr:uid="{AE3A3FD9-E651-4A72-81DB-B29CC61B516B}"/>
    <hyperlink ref="E68" r:id="rId67" xr:uid="{6FA4EBE7-4729-4097-A12F-CAD4CB58FFA6}"/>
    <hyperlink ref="E116" r:id="rId68" xr:uid="{C6F461C3-F385-4BE1-8914-0B22F9A9FF52}"/>
    <hyperlink ref="E53" r:id="rId69" xr:uid="{98D02B7D-F218-457E-B156-7FE773CF515A}"/>
    <hyperlink ref="E52" r:id="rId70" xr:uid="{02CB6FD9-C55D-44A1-9F2E-6A96A222EE6B}"/>
    <hyperlink ref="E67" r:id="rId71" xr:uid="{C691BA46-1169-4CAF-84E5-2A83E1B5404A}"/>
    <hyperlink ref="E49" r:id="rId72" xr:uid="{425EA3DE-2A59-4B96-B380-B688A4EDE233}"/>
    <hyperlink ref="E60" r:id="rId73" xr:uid="{1F24E207-02BC-4A1F-B083-69F8E95AC067}"/>
    <hyperlink ref="E65" r:id="rId74" xr:uid="{CE56D1ED-1CAA-4667-A3D9-82426599D26C}"/>
    <hyperlink ref="E107" r:id="rId75" xr:uid="{ED810682-5208-4265-9E0E-6746A399EA34}"/>
    <hyperlink ref="E166" r:id="rId76" xr:uid="{44DEB74A-F098-4876-A279-D1E6237DF8DB}"/>
    <hyperlink ref="E71" r:id="rId77" xr:uid="{ADF59BEC-B8D8-4144-ADEB-041425B69409}"/>
    <hyperlink ref="E310" r:id="rId78" xr:uid="{69AB4316-2FED-44FC-B108-3CD00D6F57B9}"/>
    <hyperlink ref="E305" r:id="rId79" xr:uid="{172C358D-5501-4447-9FDE-DA046F6FED55}"/>
    <hyperlink ref="E115" r:id="rId80" xr:uid="{D181F941-FF02-423B-9F90-890B434046DD}"/>
    <hyperlink ref="E163" r:id="rId81" xr:uid="{1924D31B-B6B9-4CB2-936E-0F68E40FA2F5}"/>
    <hyperlink ref="E164" r:id="rId82" xr:uid="{8E97DA51-E6CD-4B11-B6F8-BD0A3CC93541}"/>
    <hyperlink ref="E104" r:id="rId83" xr:uid="{BACD6400-1341-654E-A5B2-576C65F8052B}"/>
    <hyperlink ref="E352" r:id="rId84" xr:uid="{C4CF7488-CAF7-4516-AB24-0FC50F0916A3}"/>
    <hyperlink ref="E122" r:id="rId85" xr:uid="{2B6C4E35-2657-4D1A-8D80-C54F892964F4}"/>
    <hyperlink ref="E8" r:id="rId86" xr:uid="{D4CC8F9A-CC3B-EE41-860B-629E01D90BFD}"/>
    <hyperlink ref="E410" r:id="rId87" xr:uid="{C4EB2FD5-19C2-4B46-A645-6A4B58B3BF48}"/>
    <hyperlink ref="E439" r:id="rId88" xr:uid="{E2D5EE7E-5721-5749-A98C-474C4C00D036}"/>
    <hyperlink ref="E23" r:id="rId89" xr:uid="{AA34EED3-260C-48F6-B18F-9CB2123B2DB8}"/>
    <hyperlink ref="E35" r:id="rId90" xr:uid="{3556B95F-6CC1-4165-90C0-F95B358B441D}"/>
    <hyperlink ref="E465" r:id="rId91" xr:uid="{E9466C79-B428-4906-B5D4-8A65E345C46A}"/>
    <hyperlink ref="E72" r:id="rId92" xr:uid="{0F64F384-8187-4F0A-B6D5-472BB2A5904F}"/>
    <hyperlink ref="E105" r:id="rId93" xr:uid="{5475D411-362D-4662-900D-6279A7227B29}"/>
    <hyperlink ref="E58" r:id="rId94" xr:uid="{6DB2BB02-C4A0-49AF-BAFF-B0F94FD8A18F}"/>
    <hyperlink ref="E57" r:id="rId95" xr:uid="{207C989E-621C-4033-9CCE-48EE8FC87164}"/>
    <hyperlink ref="E36" r:id="rId96" xr:uid="{EAE06527-C521-4E27-80DB-BF20330157C9}"/>
    <hyperlink ref="E82" r:id="rId97" xr:uid="{5E221389-B42A-4ECC-B5CE-DEA05F90F52F}"/>
    <hyperlink ref="E110" r:id="rId98" xr:uid="{50F9FE65-F347-4AD5-8CB3-AEF68BBB9AA8}"/>
    <hyperlink ref="E120" r:id="rId99" xr:uid="{75D04E08-C11D-42F6-A0B8-9E185A6BA249}"/>
    <hyperlink ref="E121" r:id="rId100" xr:uid="{DD06A32A-D1AE-4DFA-957F-7E5F6848399D}"/>
    <hyperlink ref="E47" r:id="rId101" xr:uid="{A9CCEE93-948C-4958-9273-229E876026E5}"/>
    <hyperlink ref="E62" r:id="rId102" xr:uid="{8A039020-76D6-4648-8559-2E66BD4069E8}"/>
    <hyperlink ref="E94" r:id="rId103" xr:uid="{7DEB18EF-0653-42AE-848B-1CD34B6185B1}"/>
    <hyperlink ref="E307" r:id="rId104" xr:uid="{500E1EB4-5BFA-41DA-B498-9CADDCBC3BD8}"/>
    <hyperlink ref="E523" r:id="rId105" xr:uid="{DA843767-B487-45EC-B6B6-4CAF3C575C50}"/>
    <hyperlink ref="E504" r:id="rId106" xr:uid="{91A036B5-0E03-4930-B738-BF1C076ACF18}"/>
    <hyperlink ref="E109" r:id="rId107" xr:uid="{8068ED1A-3B17-4C79-9022-B1BEE306CC58}"/>
    <hyperlink ref="E98" r:id="rId108" xr:uid="{DEB94AB7-6F89-44AE-9C77-B3E2D1E51B70}"/>
    <hyperlink ref="E308" r:id="rId109" xr:uid="{C5AE6E9D-13C3-40F4-80F9-EB86590BF332}"/>
    <hyperlink ref="E227" r:id="rId110" xr:uid="{47C928EF-242B-4B5F-9296-FA878004232C}"/>
    <hyperlink ref="E362" r:id="rId111" xr:uid="{B0C9190D-D136-462D-B004-BE374B10A4F0}"/>
    <hyperlink ref="E79" r:id="rId112" xr:uid="{1C0EAF20-C59C-4E14-90E0-E67EED291627}"/>
    <hyperlink ref="E306" r:id="rId113" xr:uid="{820E74E5-32AF-43AF-A75C-37305E58D952}"/>
    <hyperlink ref="E100" r:id="rId114" xr:uid="{4A53B476-D8D4-4433-B5B3-B626DD5ECAA5}"/>
    <hyperlink ref="E309" r:id="rId115" xr:uid="{0E69FC1D-F608-42EA-B683-C53C409C70F7}"/>
    <hyperlink ref="E167" r:id="rId116" xr:uid="{058DC54B-6F58-47B5-B00D-CB85499F0661}"/>
    <hyperlink ref="E168" r:id="rId117" xr:uid="{E3F91124-A68C-481A-9F88-5F0B403E12FC}"/>
    <hyperlink ref="E231" r:id="rId118" xr:uid="{879666A1-6AD0-495B-B29D-1523E9F3BF37}"/>
    <hyperlink ref="E56" r:id="rId119" xr:uid="{3E4416C1-24BA-4833-B8A9-810255675E01}"/>
    <hyperlink ref="E125" r:id="rId120" xr:uid="{CEEF1ECE-36B3-482E-AA72-8B9DAE4D2730}"/>
    <hyperlink ref="E123" r:id="rId121" xr:uid="{80739158-DB58-4D0E-8015-4407904D5E4C}"/>
    <hyperlink ref="E63" r:id="rId122" xr:uid="{FAC64BC1-A38C-4704-8DED-7AC1F6D784BD}"/>
    <hyperlink ref="E312" r:id="rId123" xr:uid="{B8FF6BDF-ECF2-42BA-996C-B33320BF3BB8}"/>
    <hyperlink ref="E124" r:id="rId124" xr:uid="{3C9F7D37-C376-486A-BD65-0A06F1A1BA4E}"/>
    <hyperlink ref="E76" r:id="rId125" xr:uid="{A739B306-7AF4-4BC1-B603-405E1AD42DA9}"/>
    <hyperlink ref="E70" r:id="rId126" xr:uid="{D16D1630-A1AE-4CF8-B35B-01F574ECC4EC}"/>
    <hyperlink ref="E83" r:id="rId127" xr:uid="{A96FF32D-8546-4297-AE3C-E279BBEB2988}"/>
    <hyperlink ref="E75" r:id="rId128" xr:uid="{B2C89E35-9AED-4A34-8767-FB6CD96F1DF7}"/>
    <hyperlink ref="E114" r:id="rId129" xr:uid="{7A0C9405-40F2-4CD9-999B-9032EC028C8E}"/>
    <hyperlink ref="E304" r:id="rId130" xr:uid="{F79A5FA4-445D-4428-8347-8E6CA8EBA325}"/>
    <hyperlink ref="E458" r:id="rId131" xr:uid="{C5162717-DEF1-45A6-BAF5-F5909C72945C}"/>
    <hyperlink ref="E545" r:id="rId132" xr:uid="{DCA25E80-5EA2-4E2F-B5AD-7E00734C912A}"/>
    <hyperlink ref="E303" r:id="rId133" xr:uid="{6E543356-A92B-4C40-A4D8-0039FD9CF30E}"/>
    <hyperlink ref="E230" r:id="rId134" xr:uid="{18B5F0EF-CE16-458F-B2EC-C055E9592268}"/>
    <hyperlink ref="E228" r:id="rId135" xr:uid="{8452EEB1-E3C6-4709-93A8-E45683AE4BD4}"/>
    <hyperlink ref="E77" r:id="rId136" xr:uid="{8515586A-C9D5-4B3A-AB81-567CAF8711D8}"/>
    <hyperlink ref="E91" r:id="rId137" xr:uid="{05112419-511E-40D9-B365-E7FC8328F3E3}"/>
    <hyperlink ref="E482" r:id="rId138" xr:uid="{42ED5909-2E52-452C-9738-284A43C46BA0}"/>
    <hyperlink ref="E113" r:id="rId139" xr:uid="{7B9292BF-8007-4C13-92AA-E4F48B407B78}"/>
    <hyperlink ref="E92" r:id="rId140" xr:uid="{4455E1D2-0A06-49CD-B578-A39396AB2276}"/>
    <hyperlink ref="E95" r:id="rId141" xr:uid="{9DBA9CB6-4FFE-4633-8913-39BE132E7E63}"/>
    <hyperlink ref="E16" r:id="rId142" xr:uid="{60368EA6-8CB5-4BF4-AD11-2511F2B2CC10}"/>
    <hyperlink ref="E259" r:id="rId143" xr:uid="{909F79D0-EDBD-44C4-8C45-548124C5C81A}"/>
    <hyperlink ref="E162" r:id="rId144" xr:uid="{0A7AB162-5181-4ECD-BE39-067356A9A255}"/>
    <hyperlink ref="E97" r:id="rId145" xr:uid="{A780315D-7EE1-43B1-808B-CA1A9B40DACC}"/>
    <hyperlink ref="E435" r:id="rId146" xr:uid="{6EE007AF-F0B0-4EED-9CDD-3FC2319822A5}"/>
    <hyperlink ref="E258" r:id="rId147" xr:uid="{ED761473-51F4-41BF-8401-76685055518C}"/>
    <hyperlink ref="E78" r:id="rId148" xr:uid="{7F559409-F96D-4010-8F92-37C722C2B828}"/>
    <hyperlink ref="E89" r:id="rId149" xr:uid="{C48A4FCA-0630-EF43-9EEC-B6CAB37EFE4F}"/>
    <hyperlink ref="E80" r:id="rId150" xr:uid="{96899701-8AB6-4B30-9017-19357666F340}"/>
    <hyperlink ref="E86" r:id="rId151" xr:uid="{CFB41F62-0690-4C3D-B6CD-811E3E94C4EE}"/>
    <hyperlink ref="E130" r:id="rId152" xr:uid="{82A44C16-0029-4130-9750-D08BCC5182B4}"/>
    <hyperlink ref="E50" r:id="rId153" xr:uid="{C35461B3-E679-4CC0-9362-2A53FE04533B}"/>
    <hyperlink ref="E102" r:id="rId154" xr:uid="{31B2FC14-DD5D-4E0C-A012-B1FDA85DBE36}"/>
    <hyperlink ref="E69" r:id="rId155" xr:uid="{96AAF9F5-B005-400B-B62E-90DC1A7E8852}"/>
    <hyperlink ref="E250" r:id="rId156" xr:uid="{5BE55498-D8ED-41C4-A33E-57BE28B07449}"/>
    <hyperlink ref="E411" r:id="rId157" xr:uid="{2B1AAFD9-D8D6-4616-841E-10108CC8192B}"/>
    <hyperlink ref="E414" r:id="rId158" xr:uid="{D4B5A9D9-65BB-430A-A731-1152EA8D5DED}"/>
    <hyperlink ref="E96" r:id="rId159" xr:uid="{67670CCE-8D41-4404-8F2B-F79243E31585}"/>
    <hyperlink ref="E117" r:id="rId160" xr:uid="{C904B992-93FD-497A-93CC-2FE800E3CDD4}"/>
    <hyperlink ref="E464" r:id="rId161" xr:uid="{B24388CE-B704-4189-8171-2A7C078385AA}"/>
    <hyperlink ref="E459" r:id="rId162" xr:uid="{107ACC16-1AF2-463F-97B2-B3329D313681}"/>
    <hyperlink ref="E409" r:id="rId163" xr:uid="{C40615BB-48F8-4AB1-92A6-E4710DC43430}"/>
    <hyperlink ref="E349" r:id="rId164" xr:uid="{0695F03B-1E3F-0E41-B1ED-4F68787EFC35}"/>
    <hyperlink ref="E466" r:id="rId165" xr:uid="{0152517F-3480-4755-804B-768910043082}"/>
    <hyperlink ref="E112" r:id="rId166" xr:uid="{F0EE4F6E-0A2F-4906-8143-739E8257E38C}"/>
    <hyperlink ref="E407" r:id="rId167" xr:uid="{0F9B63DB-3B35-4E51-BD36-EC943559BF1E}"/>
    <hyperlink ref="E460" r:id="rId168" xr:uid="{7592EF22-0CF5-48F3-8744-24868E314045}"/>
    <hyperlink ref="E457" r:id="rId169" xr:uid="{66F30E61-4E4B-47C8-8D49-028CC77AA4C6}"/>
    <hyperlink ref="E412" r:id="rId170" xr:uid="{778D749F-0610-418A-A963-ADCD5A226677}"/>
    <hyperlink ref="E451" r:id="rId171" xr:uid="{8E820BFC-E26B-4A27-A962-89FF7A10589B}"/>
    <hyperlink ref="E406" r:id="rId172" xr:uid="{3DD5CDF4-E650-429E-97DF-ABC116C3584D}"/>
    <hyperlink ref="E339" r:id="rId173" xr:uid="{1292FD9E-BA4F-4B20-AD44-4B752114EEEF}"/>
    <hyperlink ref="E408" r:id="rId174" xr:uid="{35FB9AE4-5A31-48BA-9D76-BF10058F42EC}"/>
    <hyperlink ref="E365" r:id="rId175" xr:uid="{4C62C768-C471-4E03-BD75-AF60DDF17283}"/>
    <hyperlink ref="E85" r:id="rId176" xr:uid="{FCC7525B-426F-4D18-B356-CF6486A50A0F}"/>
    <hyperlink ref="E366" r:id="rId177" xr:uid="{3714C986-B632-4E2F-8857-1DCA6DFD79FD}"/>
    <hyperlink ref="E260" r:id="rId178" xr:uid="{CE44BEA4-012D-4699-8F08-C58713DDB2BE}"/>
    <hyperlink ref="E212" r:id="rId179" xr:uid="{0E4C0ACB-35E3-43D4-B0E1-F865F7ED59B8}"/>
    <hyperlink ref="E363" r:id="rId180" xr:uid="{5127CACD-341C-4DCA-B244-83466075BEBF}"/>
    <hyperlink ref="E254" r:id="rId181" xr:uid="{3573C1AD-06BF-427D-B677-BD1F3CB3985C}"/>
    <hyperlink ref="E20" r:id="rId182" xr:uid="{2A05959C-B3A5-4B78-ADA7-E471C7CE2630}"/>
    <hyperlink ref="E11" r:id="rId183" xr:uid="{3E3C29B0-B6B6-4941-A344-5D4A8066AA33}"/>
    <hyperlink ref="E14" r:id="rId184" xr:uid="{FE407E2D-0513-4C01-8F65-0FACC1AB5B97}"/>
    <hyperlink ref="E9" r:id="rId185" xr:uid="{5ABD642F-31BA-4307-9A24-D75F9ABBBDAA}"/>
    <hyperlink ref="E24" r:id="rId186" xr:uid="{C4B4660F-C5FF-4941-BE50-98ABDA101D7F}"/>
    <hyperlink ref="E27" r:id="rId187" xr:uid="{3481449D-1354-4BBE-B320-9EC407192702}"/>
    <hyperlink ref="E461" r:id="rId188" xr:uid="{51D052A4-1B75-48F3-93AF-E8B1B96076CE}"/>
    <hyperlink ref="E462" r:id="rId189" xr:uid="{FD546B4F-FF4A-4365-A9F1-25C43D119A98}"/>
    <hyperlink ref="E463" r:id="rId190" xr:uid="{FA2E0702-7573-4035-93EA-A0CE71143105}"/>
    <hyperlink ref="E99" r:id="rId191" xr:uid="{19D04C6A-EB12-4779-9BF1-8615419B9493}"/>
    <hyperlink ref="E284" r:id="rId192" xr:uid="{F54AFBD3-3040-4478-815C-CC270DBC110E}"/>
    <hyperlink ref="E165" r:id="rId193" xr:uid="{5741E758-F26D-41A7-976D-943D0B4BBA8C}"/>
    <hyperlink ref="E232" r:id="rId194" xr:uid="{46E08616-E182-4770-A0EC-E67C429D363A}"/>
    <hyperlink ref="E405" r:id="rId195" xr:uid="{25A8908D-5EB4-416E-B88A-983D1FDD66C7}"/>
    <hyperlink ref="E421" r:id="rId196" xr:uid="{63936724-7806-4858-BC51-BF317429A4D3}"/>
    <hyperlink ref="E430" r:id="rId197" xr:uid="{F7B60A92-FEBA-4956-8C32-3DAD1956FCBE}"/>
    <hyperlink ref="E255" r:id="rId198" xr:uid="{BB2D6CB0-9710-43BE-9C9C-96D4CB00CC27}"/>
    <hyperlink ref="E374" r:id="rId199" xr:uid="{7EF10422-26D7-4738-A7D3-E7994A8DAA2B}"/>
    <hyperlink ref="E161" r:id="rId200" xr:uid="{F19BA876-8355-426C-9961-985F5221658A}"/>
    <hyperlink ref="E429" r:id="rId201" xr:uid="{C5D06361-EB49-48E0-A1D9-AF4AC610A623}"/>
    <hyperlink ref="E252" r:id="rId202" xr:uid="{3EBF05D2-CB49-4743-B497-44F343FEF925}"/>
    <hyperlink ref="E253" r:id="rId203" xr:uid="{9F744E11-79B1-41BF-84C3-9DB6AA9D6A0A}"/>
    <hyperlink ref="E229" r:id="rId204" xr:uid="{89A3EC98-D13D-4CF4-A6D0-7CE019243966}"/>
    <hyperlink ref="E88" r:id="rId205" xr:uid="{64B386A5-32AA-479A-BF21-CAB85694C43C}"/>
    <hyperlink ref="E381" r:id="rId206" xr:uid="{C7EC599F-1BEA-45A7-9110-61C63AADB6EA}"/>
    <hyperlink ref="E434" r:id="rId207" xr:uid="{F4947070-5DBC-4DB5-89C2-5BF3AAF42097}"/>
    <hyperlink ref="E427" r:id="rId208" xr:uid="{2B90B6AE-5270-499A-ACC5-93CF43195988}"/>
    <hyperlink ref="E375" r:id="rId209" xr:uid="{6C1AFFD3-C72A-4EC5-9C96-6ED79496D763}"/>
    <hyperlink ref="E108" r:id="rId210" xr:uid="{9F4AE380-FC68-48E0-95DA-205160A3646B}"/>
    <hyperlink ref="E170" r:id="rId211" xr:uid="{60CEAB5A-AEFD-4A1A-AE36-6388775884A6}"/>
    <hyperlink ref="E200" r:id="rId212" xr:uid="{D2FE86B3-4852-4B36-A676-E4C0EAECF9DF}"/>
    <hyperlink ref="E311" r:id="rId213" xr:uid="{27C76475-566F-4D32-9C1A-13CA8106D463}"/>
    <hyperlink ref="E285" r:id="rId214" xr:uid="{8FE86324-F4E0-40F3-A28B-942FDEC7D6E4}"/>
    <hyperlink ref="E211" r:id="rId215" xr:uid="{B0DE8762-012E-4A0E-8BF3-E6C9446E18BD}"/>
    <hyperlink ref="E322" r:id="rId216" xr:uid="{44177C56-7D67-4FF8-B936-0EF935FF1B5F}"/>
    <hyperlink ref="E10" r:id="rId217" xr:uid="{CCC45DFB-BF73-4A15-8527-F4C3C617F472}"/>
    <hyperlink ref="E350" r:id="rId218" xr:uid="{CF64233D-5E27-4237-93F7-72F94CEED779}"/>
    <hyperlink ref="E373" r:id="rId219" xr:uid="{68F64B22-6B3E-4183-AD03-FDDABA17AC2B}"/>
    <hyperlink ref="E251" r:id="rId220" xr:uid="{261A7145-1FA7-4DCC-A3A0-431B0C38DA5F}"/>
    <hyperlink ref="E383" r:id="rId221" xr:uid="{0F5C85DD-60FC-4904-9B31-0E2B75B65546}"/>
  </hyperlinks>
  <pageMargins left="0.7" right="0.7" top="0.75" bottom="0.75" header="0.3" footer="0.3"/>
  <pageSetup paperSize="9" orientation="portrait" r:id="rId222"/>
  <legacyDrawing r:id="rId22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D1CB6-5651-471F-AAA8-5F905302D25A}">
  <dimension ref="A1:J58"/>
  <sheetViews>
    <sheetView zoomScale="160" zoomScaleNormal="16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4" sqref="C4"/>
    </sheetView>
  </sheetViews>
  <sheetFormatPr defaultColWidth="8.81640625" defaultRowHeight="12.5" x14ac:dyDescent="0.25"/>
  <cols>
    <col min="1" max="1" width="5" bestFit="1" customWidth="1"/>
    <col min="2" max="2" width="10.81640625" bestFit="1" customWidth="1"/>
    <col min="3" max="3" width="19.7265625" customWidth="1"/>
    <col min="4" max="4" width="9.1796875" style="27"/>
    <col min="5" max="5" width="20.81640625" style="27" customWidth="1"/>
    <col min="6" max="6" width="26.81640625" style="27" customWidth="1"/>
    <col min="7" max="7" width="9.1796875" style="29"/>
    <col min="9" max="9" width="13.453125" style="27" bestFit="1" customWidth="1"/>
  </cols>
  <sheetData>
    <row r="1" spans="1:10" x14ac:dyDescent="0.25">
      <c r="A1" s="5" t="s">
        <v>285</v>
      </c>
    </row>
    <row r="2" spans="1:10" x14ac:dyDescent="0.25">
      <c r="B2" t="s">
        <v>1440</v>
      </c>
      <c r="C2" t="s">
        <v>1441</v>
      </c>
      <c r="D2" s="27" t="s">
        <v>1439</v>
      </c>
      <c r="E2" s="27" t="s">
        <v>1447</v>
      </c>
      <c r="F2" s="27" t="s">
        <v>1443</v>
      </c>
      <c r="G2" s="29" t="s">
        <v>1451</v>
      </c>
      <c r="H2" s="27" t="s">
        <v>1457</v>
      </c>
      <c r="I2" s="27" t="s">
        <v>1459</v>
      </c>
      <c r="J2" s="27" t="s">
        <v>1462</v>
      </c>
    </row>
    <row r="3" spans="1:10" x14ac:dyDescent="0.25">
      <c r="B3" t="s">
        <v>1458</v>
      </c>
      <c r="C3" t="s">
        <v>1444</v>
      </c>
      <c r="D3" s="27">
        <v>1</v>
      </c>
      <c r="E3" s="27" t="s">
        <v>1448</v>
      </c>
      <c r="F3" s="27" t="s">
        <v>1463</v>
      </c>
      <c r="G3" s="29">
        <v>6979</v>
      </c>
      <c r="I3" s="27" t="s">
        <v>1460</v>
      </c>
      <c r="J3">
        <v>65</v>
      </c>
    </row>
    <row r="4" spans="1:10" x14ac:dyDescent="0.25">
      <c r="B4" t="s">
        <v>1445</v>
      </c>
      <c r="C4" t="s">
        <v>1446</v>
      </c>
      <c r="D4" s="27">
        <v>2</v>
      </c>
      <c r="E4" s="27" t="s">
        <v>1449</v>
      </c>
      <c r="F4" s="27" t="s">
        <v>1450</v>
      </c>
      <c r="G4" s="29">
        <v>145781.6</v>
      </c>
      <c r="I4" s="27" t="s">
        <v>1450</v>
      </c>
    </row>
    <row r="5" spans="1:10" x14ac:dyDescent="0.25">
      <c r="B5" t="s">
        <v>1452</v>
      </c>
      <c r="C5" t="s">
        <v>1453</v>
      </c>
      <c r="D5" s="27">
        <v>3</v>
      </c>
      <c r="E5" s="27" t="s">
        <v>1454</v>
      </c>
      <c r="F5" s="27" t="s">
        <v>1455</v>
      </c>
      <c r="G5" s="29">
        <v>29253.9</v>
      </c>
      <c r="I5" s="27" t="s">
        <v>1460</v>
      </c>
      <c r="J5">
        <v>260</v>
      </c>
    </row>
    <row r="6" spans="1:10" x14ac:dyDescent="0.25">
      <c r="B6" t="s">
        <v>1466</v>
      </c>
      <c r="C6" t="s">
        <v>1464</v>
      </c>
      <c r="D6" s="27">
        <v>4</v>
      </c>
      <c r="E6" s="27" t="s">
        <v>1467</v>
      </c>
      <c r="F6" s="27" t="s">
        <v>1468</v>
      </c>
      <c r="G6" s="29">
        <v>58000</v>
      </c>
      <c r="I6" s="27" t="s">
        <v>1465</v>
      </c>
      <c r="J6">
        <f>387+133</f>
        <v>520</v>
      </c>
    </row>
    <row r="7" spans="1:10" x14ac:dyDescent="0.25">
      <c r="B7" t="s">
        <v>1470</v>
      </c>
      <c r="C7" t="s">
        <v>1469</v>
      </c>
      <c r="D7" s="27">
        <v>5</v>
      </c>
      <c r="E7" s="27" t="s">
        <v>1471</v>
      </c>
      <c r="F7" s="27" t="s">
        <v>1472</v>
      </c>
      <c r="G7" s="29">
        <v>51235</v>
      </c>
      <c r="I7" s="27" t="s">
        <v>1460</v>
      </c>
      <c r="J7">
        <v>934</v>
      </c>
    </row>
    <row r="8" spans="1:10" x14ac:dyDescent="0.25">
      <c r="B8" t="s">
        <v>1474</v>
      </c>
      <c r="C8" t="s">
        <v>1473</v>
      </c>
      <c r="D8" s="27">
        <v>6</v>
      </c>
      <c r="E8" s="27" t="s">
        <v>1448</v>
      </c>
      <c r="F8" s="27" t="s">
        <v>1463</v>
      </c>
      <c r="G8" s="29">
        <v>2180</v>
      </c>
      <c r="I8" s="27" t="s">
        <v>1461</v>
      </c>
      <c r="J8">
        <v>20</v>
      </c>
    </row>
    <row r="9" spans="1:10" x14ac:dyDescent="0.25">
      <c r="B9" t="s">
        <v>1475</v>
      </c>
      <c r="C9" t="s">
        <v>1476</v>
      </c>
      <c r="D9" s="27">
        <v>7</v>
      </c>
      <c r="E9" s="27" t="s">
        <v>1478</v>
      </c>
      <c r="F9" s="27" t="s">
        <v>1477</v>
      </c>
      <c r="G9" s="29">
        <v>1209</v>
      </c>
      <c r="I9" s="27" t="s">
        <v>1461</v>
      </c>
      <c r="J9">
        <v>9</v>
      </c>
    </row>
    <row r="10" spans="1:10" x14ac:dyDescent="0.25">
      <c r="B10" t="s">
        <v>1481</v>
      </c>
      <c r="C10" t="s">
        <v>1479</v>
      </c>
      <c r="D10" s="27">
        <v>8</v>
      </c>
      <c r="E10" s="27" t="s">
        <v>1480</v>
      </c>
      <c r="F10" s="27" t="s">
        <v>1495</v>
      </c>
      <c r="G10" s="29">
        <v>60000</v>
      </c>
      <c r="I10" s="27" t="s">
        <v>1460</v>
      </c>
      <c r="J10">
        <v>165</v>
      </c>
    </row>
    <row r="11" spans="1:10" x14ac:dyDescent="0.25">
      <c r="B11" t="s">
        <v>1484</v>
      </c>
      <c r="C11" t="s">
        <v>1482</v>
      </c>
      <c r="D11" s="27">
        <v>9</v>
      </c>
      <c r="E11" s="27" t="s">
        <v>1483</v>
      </c>
      <c r="F11" s="27" t="s">
        <v>1455</v>
      </c>
      <c r="G11" s="29">
        <v>59000</v>
      </c>
      <c r="I11" s="27" t="s">
        <v>1460</v>
      </c>
      <c r="J11">
        <v>527</v>
      </c>
    </row>
    <row r="12" spans="1:10" x14ac:dyDescent="0.25">
      <c r="B12" t="s">
        <v>1488</v>
      </c>
      <c r="C12" t="s">
        <v>1485</v>
      </c>
      <c r="D12" s="27">
        <v>10</v>
      </c>
      <c r="E12" s="27" t="s">
        <v>1486</v>
      </c>
      <c r="F12" s="27" t="s">
        <v>1487</v>
      </c>
      <c r="G12" s="29">
        <v>3358</v>
      </c>
      <c r="I12" s="27" t="s">
        <v>1461</v>
      </c>
      <c r="J12">
        <v>29</v>
      </c>
    </row>
    <row r="13" spans="1:10" x14ac:dyDescent="0.25">
      <c r="B13" t="s">
        <v>1490</v>
      </c>
      <c r="C13" t="s">
        <v>1489</v>
      </c>
      <c r="D13" s="27">
        <v>11</v>
      </c>
      <c r="E13" s="27" t="s">
        <v>1480</v>
      </c>
      <c r="F13" s="27" t="s">
        <v>1495</v>
      </c>
      <c r="G13" s="29">
        <v>19241</v>
      </c>
      <c r="I13" s="27" t="s">
        <v>1514</v>
      </c>
      <c r="J13">
        <v>166</v>
      </c>
    </row>
    <row r="14" spans="1:10" x14ac:dyDescent="0.25">
      <c r="B14" t="s">
        <v>1491</v>
      </c>
      <c r="C14" t="s">
        <v>1492</v>
      </c>
      <c r="D14" s="27">
        <v>12</v>
      </c>
      <c r="E14" s="27" t="s">
        <v>1493</v>
      </c>
      <c r="F14" s="27" t="s">
        <v>1494</v>
      </c>
      <c r="G14" s="29">
        <v>18396</v>
      </c>
      <c r="I14" s="27" t="s">
        <v>1460</v>
      </c>
    </row>
    <row r="15" spans="1:10" x14ac:dyDescent="0.25">
      <c r="B15" t="s">
        <v>1499</v>
      </c>
      <c r="C15" t="s">
        <v>1496</v>
      </c>
      <c r="D15" s="27">
        <v>13</v>
      </c>
      <c r="E15" s="27" t="s">
        <v>1498</v>
      </c>
      <c r="F15" s="27" t="s">
        <v>1497</v>
      </c>
      <c r="G15" s="29">
        <v>31126.5</v>
      </c>
      <c r="I15" s="27" t="s">
        <v>1460</v>
      </c>
    </row>
    <row r="16" spans="1:10" x14ac:dyDescent="0.25">
      <c r="B16" t="s">
        <v>1501</v>
      </c>
      <c r="C16" t="s">
        <v>1502</v>
      </c>
      <c r="D16" s="27">
        <v>14</v>
      </c>
      <c r="E16" s="27" t="s">
        <v>1478</v>
      </c>
      <c r="F16" s="27" t="s">
        <v>1503</v>
      </c>
      <c r="G16" s="29">
        <v>1269</v>
      </c>
      <c r="I16" s="27" t="s">
        <v>1504</v>
      </c>
      <c r="J16" s="27" t="s">
        <v>1505</v>
      </c>
    </row>
    <row r="17" spans="2:10" x14ac:dyDescent="0.25">
      <c r="C17" t="s">
        <v>1506</v>
      </c>
      <c r="D17" s="27">
        <v>15</v>
      </c>
      <c r="E17" s="27" t="s">
        <v>1498</v>
      </c>
      <c r="F17" s="27" t="s">
        <v>1507</v>
      </c>
      <c r="G17" s="29">
        <v>39589.599999999999</v>
      </c>
      <c r="I17" s="27" t="s">
        <v>1460</v>
      </c>
      <c r="J17" s="27">
        <v>355</v>
      </c>
    </row>
    <row r="18" spans="2:10" x14ac:dyDescent="0.25">
      <c r="B18" t="s">
        <v>1509</v>
      </c>
      <c r="C18" t="s">
        <v>1508</v>
      </c>
      <c r="D18" s="27">
        <v>16</v>
      </c>
      <c r="E18" s="27" t="s">
        <v>1493</v>
      </c>
      <c r="F18" s="27" t="s">
        <v>1494</v>
      </c>
      <c r="G18" s="29">
        <v>18396</v>
      </c>
      <c r="I18" s="27" t="s">
        <v>1460</v>
      </c>
      <c r="J18" s="27">
        <v>165</v>
      </c>
    </row>
    <row r="19" spans="2:10" x14ac:dyDescent="0.25">
      <c r="C19" t="s">
        <v>1510</v>
      </c>
      <c r="D19" s="27">
        <v>17</v>
      </c>
      <c r="E19" s="27" t="s">
        <v>1512</v>
      </c>
      <c r="F19" s="27" t="s">
        <v>1511</v>
      </c>
      <c r="G19" s="29">
        <v>3431.8530000000001</v>
      </c>
      <c r="I19" s="27" t="s">
        <v>1461</v>
      </c>
      <c r="J19" s="27">
        <v>32</v>
      </c>
    </row>
    <row r="20" spans="2:10" x14ac:dyDescent="0.25">
      <c r="C20" t="s">
        <v>1513</v>
      </c>
      <c r="D20" s="27">
        <v>18</v>
      </c>
      <c r="E20" s="27" t="s">
        <v>1480</v>
      </c>
      <c r="F20" s="27" t="s">
        <v>1495</v>
      </c>
      <c r="I20" s="27" t="s">
        <v>1514</v>
      </c>
      <c r="J20" s="27">
        <v>166</v>
      </c>
    </row>
    <row r="21" spans="2:10" x14ac:dyDescent="0.25">
      <c r="B21" t="s">
        <v>1516</v>
      </c>
      <c r="C21" t="s">
        <v>1515</v>
      </c>
      <c r="D21" s="27">
        <v>19</v>
      </c>
      <c r="E21" s="27" t="s">
        <v>1518</v>
      </c>
      <c r="F21" s="27" t="s">
        <v>1517</v>
      </c>
      <c r="G21" s="29">
        <v>39000</v>
      </c>
      <c r="I21" s="27" t="s">
        <v>1460</v>
      </c>
      <c r="J21" s="27"/>
    </row>
    <row r="22" spans="2:10" x14ac:dyDescent="0.25">
      <c r="B22" t="s">
        <v>1520</v>
      </c>
      <c r="C22" s="53" t="s">
        <v>1519</v>
      </c>
      <c r="D22" s="27">
        <v>20</v>
      </c>
      <c r="E22" s="27" t="s">
        <v>1522</v>
      </c>
      <c r="F22" s="27" t="s">
        <v>1521</v>
      </c>
      <c r="G22" s="29">
        <v>14434.5</v>
      </c>
      <c r="I22" s="27" t="s">
        <v>1460</v>
      </c>
      <c r="J22" s="27">
        <v>127</v>
      </c>
    </row>
    <row r="23" spans="2:10" x14ac:dyDescent="0.25">
      <c r="C23" s="53" t="s">
        <v>1523</v>
      </c>
      <c r="D23" s="27">
        <v>21</v>
      </c>
      <c r="E23" s="27" t="s">
        <v>1524</v>
      </c>
      <c r="F23" s="27" t="s">
        <v>1525</v>
      </c>
      <c r="G23" s="29">
        <v>3039</v>
      </c>
      <c r="I23" s="27" t="s">
        <v>1461</v>
      </c>
      <c r="J23" s="27">
        <v>27</v>
      </c>
    </row>
    <row r="24" spans="2:10" x14ac:dyDescent="0.25">
      <c r="C24" s="53" t="s">
        <v>1526</v>
      </c>
      <c r="D24" s="27">
        <v>22</v>
      </c>
      <c r="E24" s="27" t="s">
        <v>1480</v>
      </c>
      <c r="F24" s="27" t="s">
        <v>1495</v>
      </c>
      <c r="G24" s="29">
        <v>31000</v>
      </c>
      <c r="I24" s="27" t="s">
        <v>1460</v>
      </c>
      <c r="J24" s="27"/>
    </row>
    <row r="25" spans="2:10" x14ac:dyDescent="0.25">
      <c r="B25" t="s">
        <v>1528</v>
      </c>
      <c r="C25" s="53" t="s">
        <v>1527</v>
      </c>
      <c r="D25" s="27">
        <v>23</v>
      </c>
      <c r="E25" s="27" t="s">
        <v>1529</v>
      </c>
      <c r="F25" s="27" t="s">
        <v>1455</v>
      </c>
      <c r="J25" s="27"/>
    </row>
    <row r="26" spans="2:10" x14ac:dyDescent="0.25">
      <c r="B26" t="s">
        <v>1530</v>
      </c>
      <c r="C26" s="53" t="s">
        <v>1531</v>
      </c>
      <c r="D26" s="27">
        <v>24</v>
      </c>
      <c r="E26" s="27" t="s">
        <v>1532</v>
      </c>
      <c r="F26" s="27" t="s">
        <v>1533</v>
      </c>
      <c r="G26" s="29">
        <v>22673</v>
      </c>
      <c r="I26" s="27" t="s">
        <v>1460</v>
      </c>
      <c r="J26" s="27"/>
    </row>
    <row r="27" spans="2:10" x14ac:dyDescent="0.25">
      <c r="B27" t="s">
        <v>1534</v>
      </c>
      <c r="C27" s="53" t="s">
        <v>1535</v>
      </c>
      <c r="D27" s="27">
        <v>25</v>
      </c>
      <c r="E27" s="27" t="s">
        <v>1536</v>
      </c>
      <c r="F27" s="27" t="s">
        <v>1537</v>
      </c>
      <c r="G27" s="29">
        <v>264726</v>
      </c>
      <c r="I27" s="27" t="s">
        <v>1460</v>
      </c>
      <c r="J27" s="27">
        <v>2332</v>
      </c>
    </row>
    <row r="28" spans="2:10" x14ac:dyDescent="0.25">
      <c r="B28" t="s">
        <v>1538</v>
      </c>
      <c r="C28" s="53" t="s">
        <v>1539</v>
      </c>
      <c r="D28" s="27">
        <v>26</v>
      </c>
      <c r="E28" s="27" t="s">
        <v>1540</v>
      </c>
      <c r="F28" s="27" t="s">
        <v>1472</v>
      </c>
      <c r="G28" s="29">
        <v>17257.599999999999</v>
      </c>
      <c r="I28" s="27" t="s">
        <v>1460</v>
      </c>
      <c r="J28" s="27">
        <v>153</v>
      </c>
    </row>
    <row r="29" spans="2:10" x14ac:dyDescent="0.25">
      <c r="C29" s="53" t="s">
        <v>1541</v>
      </c>
      <c r="D29" s="27">
        <v>27</v>
      </c>
      <c r="G29" s="29">
        <v>1811.2529999999999</v>
      </c>
      <c r="I29" s="27" t="s">
        <v>1461</v>
      </c>
      <c r="J29" s="27">
        <v>15</v>
      </c>
    </row>
    <row r="30" spans="2:10" x14ac:dyDescent="0.25">
      <c r="B30" t="s">
        <v>1542</v>
      </c>
      <c r="C30" s="53" t="s">
        <v>1543</v>
      </c>
      <c r="D30" s="27">
        <v>28</v>
      </c>
      <c r="G30" s="29">
        <v>142682.29999999999</v>
      </c>
      <c r="I30" s="27" t="s">
        <v>1514</v>
      </c>
      <c r="J30" s="27"/>
    </row>
    <row r="31" spans="2:10" x14ac:dyDescent="0.25">
      <c r="C31" s="53" t="s">
        <v>1544</v>
      </c>
      <c r="D31" s="27">
        <v>29</v>
      </c>
      <c r="E31" s="27" t="s">
        <v>1498</v>
      </c>
      <c r="F31" s="27" t="s">
        <v>1455</v>
      </c>
      <c r="G31" s="29">
        <v>59042.3</v>
      </c>
      <c r="I31" s="27" t="s">
        <v>1460</v>
      </c>
      <c r="J31" s="27">
        <v>527</v>
      </c>
    </row>
    <row r="32" spans="2:10" x14ac:dyDescent="0.25">
      <c r="B32" t="s">
        <v>1546</v>
      </c>
      <c r="C32" s="53" t="s">
        <v>1545</v>
      </c>
      <c r="D32" s="27">
        <v>30</v>
      </c>
      <c r="E32" s="27" t="s">
        <v>1547</v>
      </c>
      <c r="F32" s="27" t="s">
        <v>1548</v>
      </c>
      <c r="G32" s="29">
        <v>5808</v>
      </c>
      <c r="I32" s="27" t="s">
        <v>1460</v>
      </c>
      <c r="J32" s="27">
        <v>51</v>
      </c>
    </row>
    <row r="33" spans="2:10" x14ac:dyDescent="0.25">
      <c r="B33" t="s">
        <v>1549</v>
      </c>
      <c r="C33" s="53" t="s">
        <v>1550</v>
      </c>
      <c r="D33" s="27">
        <v>31</v>
      </c>
      <c r="E33" s="27" t="s">
        <v>1498</v>
      </c>
      <c r="F33" s="27" t="s">
        <v>1507</v>
      </c>
      <c r="G33" s="29">
        <v>58951.199999999997</v>
      </c>
      <c r="I33" s="27" t="s">
        <v>1460</v>
      </c>
      <c r="J33" s="27">
        <v>527</v>
      </c>
    </row>
    <row r="34" spans="2:10" x14ac:dyDescent="0.25">
      <c r="B34" t="s">
        <v>1551</v>
      </c>
      <c r="C34" s="53" t="s">
        <v>1552</v>
      </c>
      <c r="D34" s="27">
        <v>32</v>
      </c>
      <c r="E34" s="27" t="s">
        <v>1553</v>
      </c>
      <c r="F34" s="27" t="s">
        <v>1554</v>
      </c>
      <c r="G34" s="29">
        <v>23390.3</v>
      </c>
      <c r="I34" s="27" t="s">
        <v>1514</v>
      </c>
      <c r="J34" s="27"/>
    </row>
    <row r="35" spans="2:10" x14ac:dyDescent="0.25">
      <c r="B35" t="s">
        <v>1555</v>
      </c>
      <c r="C35" s="53" t="s">
        <v>1556</v>
      </c>
      <c r="D35" s="27">
        <v>33</v>
      </c>
      <c r="E35" s="27" t="s">
        <v>1480</v>
      </c>
      <c r="F35" s="27" t="s">
        <v>1495</v>
      </c>
      <c r="G35" s="29">
        <v>17145.599999999999</v>
      </c>
      <c r="I35" s="27" t="s">
        <v>1460</v>
      </c>
      <c r="J35" s="27">
        <v>140</v>
      </c>
    </row>
    <row r="36" spans="2:10" x14ac:dyDescent="0.25">
      <c r="C36" s="53" t="s">
        <v>1557</v>
      </c>
      <c r="D36" s="27">
        <v>34</v>
      </c>
      <c r="E36" s="27" t="s">
        <v>1480</v>
      </c>
      <c r="F36" s="27" t="s">
        <v>1495</v>
      </c>
      <c r="G36" s="29">
        <v>19241.099999999999</v>
      </c>
      <c r="I36" s="27" t="s">
        <v>1460</v>
      </c>
      <c r="J36" s="27">
        <v>165</v>
      </c>
    </row>
    <row r="37" spans="2:10" x14ac:dyDescent="0.25">
      <c r="B37" t="s">
        <v>1561</v>
      </c>
      <c r="C37" s="53" t="s">
        <v>1558</v>
      </c>
      <c r="D37" s="27">
        <v>35</v>
      </c>
      <c r="E37" s="27" t="s">
        <v>1559</v>
      </c>
      <c r="F37" s="27" t="s">
        <v>1560</v>
      </c>
      <c r="G37" s="29">
        <v>1069</v>
      </c>
      <c r="I37" s="27" t="s">
        <v>1461</v>
      </c>
      <c r="J37" s="27">
        <v>8</v>
      </c>
    </row>
    <row r="38" spans="2:10" x14ac:dyDescent="0.25">
      <c r="B38" t="s">
        <v>1563</v>
      </c>
      <c r="C38" s="53" t="s">
        <v>1562</v>
      </c>
      <c r="D38" s="27">
        <v>36</v>
      </c>
      <c r="E38" s="27" t="s">
        <v>1564</v>
      </c>
      <c r="F38" s="27" t="s">
        <v>1455</v>
      </c>
      <c r="G38" s="29">
        <v>45079</v>
      </c>
      <c r="J38" s="27"/>
    </row>
    <row r="39" spans="2:10" x14ac:dyDescent="0.25">
      <c r="C39" s="53" t="s">
        <v>1557</v>
      </c>
      <c r="D39" s="27">
        <v>37</v>
      </c>
      <c r="E39" s="27" t="s">
        <v>1480</v>
      </c>
      <c r="F39" s="27" t="s">
        <v>1495</v>
      </c>
      <c r="G39" s="29">
        <v>19241.099999999999</v>
      </c>
      <c r="I39" s="27" t="s">
        <v>1460</v>
      </c>
      <c r="J39" s="27">
        <v>165</v>
      </c>
    </row>
    <row r="40" spans="2:10" x14ac:dyDescent="0.25">
      <c r="B40" t="s">
        <v>1566</v>
      </c>
      <c r="C40" s="53" t="s">
        <v>1565</v>
      </c>
      <c r="D40" s="27">
        <v>38</v>
      </c>
      <c r="E40" s="27" t="s">
        <v>1567</v>
      </c>
      <c r="F40" s="27" t="s">
        <v>1568</v>
      </c>
      <c r="G40" s="29">
        <v>19047</v>
      </c>
      <c r="I40" s="27" t="s">
        <v>1460</v>
      </c>
      <c r="J40" s="27">
        <v>177</v>
      </c>
    </row>
    <row r="41" spans="2:10" x14ac:dyDescent="0.25">
      <c r="B41" t="s">
        <v>1569</v>
      </c>
      <c r="C41" s="53" t="s">
        <v>1570</v>
      </c>
      <c r="D41" s="27">
        <v>39</v>
      </c>
      <c r="E41" s="27" t="s">
        <v>1571</v>
      </c>
      <c r="F41" s="27" t="s">
        <v>1572</v>
      </c>
      <c r="G41" s="29">
        <v>16192.7</v>
      </c>
      <c r="I41" s="27" t="s">
        <v>1460</v>
      </c>
      <c r="J41" s="27">
        <v>140</v>
      </c>
    </row>
    <row r="42" spans="2:10" x14ac:dyDescent="0.25">
      <c r="B42" t="s">
        <v>1574</v>
      </c>
      <c r="C42" s="53" t="s">
        <v>1573</v>
      </c>
      <c r="D42" s="27">
        <v>40</v>
      </c>
      <c r="E42" s="27" t="s">
        <v>1575</v>
      </c>
      <c r="F42" s="27" t="s">
        <v>1576</v>
      </c>
      <c r="G42" s="29">
        <v>3767.1</v>
      </c>
      <c r="I42" s="27" t="s">
        <v>1461</v>
      </c>
      <c r="J42" s="27">
        <v>29</v>
      </c>
    </row>
    <row r="43" spans="2:10" x14ac:dyDescent="0.25">
      <c r="B43" t="s">
        <v>1577</v>
      </c>
      <c r="C43" s="53" t="s">
        <v>1578</v>
      </c>
      <c r="D43" s="27">
        <v>41</v>
      </c>
      <c r="E43" s="27" t="s">
        <v>1579</v>
      </c>
      <c r="F43" s="27" t="s">
        <v>1580</v>
      </c>
      <c r="G43" s="29">
        <v>15314.8</v>
      </c>
      <c r="I43" s="27" t="s">
        <v>1460</v>
      </c>
      <c r="J43" s="27">
        <v>12</v>
      </c>
    </row>
    <row r="44" spans="2:10" x14ac:dyDescent="0.25">
      <c r="B44" t="s">
        <v>1581</v>
      </c>
      <c r="C44" s="53" t="s">
        <v>1582</v>
      </c>
      <c r="D44" s="27">
        <v>42</v>
      </c>
      <c r="G44" s="29">
        <v>150804</v>
      </c>
      <c r="J44" s="27"/>
    </row>
    <row r="45" spans="2:10" x14ac:dyDescent="0.25">
      <c r="B45" t="s">
        <v>1583</v>
      </c>
      <c r="C45" s="53" t="s">
        <v>1584</v>
      </c>
      <c r="D45" s="27">
        <v>43</v>
      </c>
      <c r="E45" s="27" t="s">
        <v>1585</v>
      </c>
      <c r="F45" s="27" t="s">
        <v>1450</v>
      </c>
      <c r="G45" s="29">
        <v>149000</v>
      </c>
      <c r="I45" s="27" t="s">
        <v>1450</v>
      </c>
      <c r="J45" s="27"/>
    </row>
    <row r="46" spans="2:10" x14ac:dyDescent="0.25">
      <c r="C46" s="53" t="s">
        <v>1586</v>
      </c>
      <c r="D46" s="27">
        <v>44</v>
      </c>
      <c r="E46" s="27" t="s">
        <v>1587</v>
      </c>
      <c r="F46" s="27" t="s">
        <v>1588</v>
      </c>
      <c r="G46" s="29">
        <v>30000</v>
      </c>
      <c r="I46" s="27" t="s">
        <v>1460</v>
      </c>
      <c r="J46" s="27"/>
    </row>
    <row r="47" spans="2:10" x14ac:dyDescent="0.25">
      <c r="C47" s="53" t="s">
        <v>1589</v>
      </c>
      <c r="D47" s="27">
        <v>45</v>
      </c>
      <c r="G47" s="29">
        <v>27743</v>
      </c>
      <c r="J47" s="27"/>
    </row>
    <row r="48" spans="2:10" x14ac:dyDescent="0.25">
      <c r="B48" t="s">
        <v>1415</v>
      </c>
      <c r="C48" s="53" t="s">
        <v>1590</v>
      </c>
      <c r="D48" s="27">
        <v>46</v>
      </c>
      <c r="E48" s="27" t="s">
        <v>1547</v>
      </c>
      <c r="F48" s="27" t="s">
        <v>1548</v>
      </c>
      <c r="G48" s="29">
        <v>5808</v>
      </c>
      <c r="I48" s="27" t="s">
        <v>1460</v>
      </c>
      <c r="J48" s="27">
        <v>51</v>
      </c>
    </row>
    <row r="49" spans="2:10" x14ac:dyDescent="0.25">
      <c r="B49" t="s">
        <v>1592</v>
      </c>
      <c r="C49" s="53" t="s">
        <v>1591</v>
      </c>
      <c r="D49" s="27">
        <v>47</v>
      </c>
      <c r="E49" s="27" t="s">
        <v>1547</v>
      </c>
      <c r="F49" s="27" t="s">
        <v>1548</v>
      </c>
      <c r="G49" s="29">
        <v>6063</v>
      </c>
      <c r="I49" s="27" t="s">
        <v>1460</v>
      </c>
      <c r="J49" s="27"/>
    </row>
    <row r="50" spans="2:10" x14ac:dyDescent="0.25">
      <c r="B50" t="s">
        <v>1594</v>
      </c>
      <c r="C50" s="53" t="s">
        <v>1593</v>
      </c>
      <c r="D50" s="27">
        <v>48</v>
      </c>
      <c r="F50" s="27" t="s">
        <v>1455</v>
      </c>
      <c r="J50" s="27"/>
    </row>
    <row r="51" spans="2:10" x14ac:dyDescent="0.25">
      <c r="B51" t="s">
        <v>1596</v>
      </c>
      <c r="C51" s="53" t="s">
        <v>1595</v>
      </c>
      <c r="D51" s="27">
        <v>49</v>
      </c>
      <c r="G51" s="29">
        <v>34109.5</v>
      </c>
      <c r="J51" s="27"/>
    </row>
    <row r="52" spans="2:10" x14ac:dyDescent="0.25">
      <c r="C52" s="53" t="s">
        <v>1597</v>
      </c>
      <c r="D52" s="27">
        <v>50</v>
      </c>
      <c r="E52" s="27" t="s">
        <v>1478</v>
      </c>
      <c r="F52" s="27" t="s">
        <v>1477</v>
      </c>
      <c r="G52" s="29">
        <v>1431</v>
      </c>
      <c r="I52" s="27" t="s">
        <v>1461</v>
      </c>
      <c r="J52" s="27">
        <v>10</v>
      </c>
    </row>
    <row r="53" spans="2:10" x14ac:dyDescent="0.25">
      <c r="B53" t="s">
        <v>1407</v>
      </c>
      <c r="C53" s="53" t="s">
        <v>1598</v>
      </c>
      <c r="D53" s="27">
        <v>51</v>
      </c>
      <c r="E53" s="27" t="s">
        <v>1471</v>
      </c>
      <c r="F53" s="27" t="s">
        <v>1450</v>
      </c>
      <c r="G53" s="29">
        <v>144190</v>
      </c>
      <c r="I53" s="27" t="s">
        <v>1450</v>
      </c>
      <c r="J53" s="27"/>
    </row>
    <row r="54" spans="2:10" x14ac:dyDescent="0.25">
      <c r="B54" t="s">
        <v>1602</v>
      </c>
      <c r="C54" s="53" t="s">
        <v>1601</v>
      </c>
      <c r="D54" s="27">
        <v>52</v>
      </c>
      <c r="E54" s="27" t="s">
        <v>1603</v>
      </c>
      <c r="F54" s="27" t="s">
        <v>1604</v>
      </c>
      <c r="G54" s="29">
        <v>22129</v>
      </c>
      <c r="I54" s="27" t="s">
        <v>1460</v>
      </c>
      <c r="J54" s="27"/>
    </row>
    <row r="55" spans="2:10" x14ac:dyDescent="0.25">
      <c r="B55" t="s">
        <v>1600</v>
      </c>
      <c r="C55" s="53" t="s">
        <v>1599</v>
      </c>
      <c r="D55" s="27">
        <v>53</v>
      </c>
      <c r="F55" s="27" t="s">
        <v>1455</v>
      </c>
      <c r="G55" s="29">
        <v>55597.4</v>
      </c>
      <c r="I55" s="27" t="s">
        <v>1460</v>
      </c>
      <c r="J55" s="27">
        <v>497</v>
      </c>
    </row>
    <row r="56" spans="2:10" x14ac:dyDescent="0.25">
      <c r="C56" s="53" t="s">
        <v>1605</v>
      </c>
      <c r="D56" s="27">
        <v>54</v>
      </c>
      <c r="F56" s="27" t="s">
        <v>1450</v>
      </c>
      <c r="G56" s="29">
        <v>145651</v>
      </c>
      <c r="I56" s="27" t="s">
        <v>1450</v>
      </c>
      <c r="J56" s="27"/>
    </row>
    <row r="57" spans="2:10" x14ac:dyDescent="0.25">
      <c r="B57" t="s">
        <v>1310</v>
      </c>
      <c r="C57" t="s">
        <v>1442</v>
      </c>
      <c r="D57" s="27">
        <v>9029</v>
      </c>
      <c r="E57" s="27" t="s">
        <v>1456</v>
      </c>
      <c r="F57" s="27" t="s">
        <v>1450</v>
      </c>
      <c r="I57" s="27" t="s">
        <v>1450</v>
      </c>
    </row>
    <row r="58" spans="2:10" x14ac:dyDescent="0.25">
      <c r="C58" s="53" t="s">
        <v>1523</v>
      </c>
      <c r="D58" s="27">
        <v>9532</v>
      </c>
      <c r="E58" s="27" t="s">
        <v>1524</v>
      </c>
      <c r="F58" s="27" t="s">
        <v>1525</v>
      </c>
      <c r="G58" s="29">
        <v>3039</v>
      </c>
      <c r="I58" s="27" t="s">
        <v>1461</v>
      </c>
      <c r="J58" s="27">
        <v>27</v>
      </c>
    </row>
  </sheetData>
  <hyperlinks>
    <hyperlink ref="A1" location="Main!A1" display="Main" xr:uid="{9B4C975A-472F-4AC3-A5DF-EA00FA63D95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BF603-26EF-460C-BE47-994A641FADD0}">
  <dimension ref="A1:N31"/>
  <sheetViews>
    <sheetView zoomScale="130" zoomScaleNormal="13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23" sqref="N23"/>
    </sheetView>
  </sheetViews>
  <sheetFormatPr defaultColWidth="8.81640625" defaultRowHeight="12.5" outlineLevelRow="1" x14ac:dyDescent="0.25"/>
  <cols>
    <col min="1" max="1" width="5" bestFit="1" customWidth="1"/>
    <col min="2" max="2" width="13.1796875" bestFit="1" customWidth="1"/>
    <col min="3" max="10" width="9.1796875" style="27"/>
  </cols>
  <sheetData>
    <row r="1" spans="1:14" x14ac:dyDescent="0.25">
      <c r="A1" s="5" t="s">
        <v>285</v>
      </c>
    </row>
    <row r="2" spans="1:14" x14ac:dyDescent="0.25">
      <c r="C2" s="27" t="s">
        <v>648</v>
      </c>
      <c r="D2" s="27" t="s">
        <v>1287</v>
      </c>
      <c r="E2" s="27" t="s">
        <v>1288</v>
      </c>
      <c r="F2" s="27" t="s">
        <v>1112</v>
      </c>
      <c r="G2" s="27" t="s">
        <v>1039</v>
      </c>
      <c r="H2" s="27" t="s">
        <v>1069</v>
      </c>
      <c r="I2" s="27" t="s">
        <v>1275</v>
      </c>
      <c r="J2" s="27" t="s">
        <v>1276</v>
      </c>
      <c r="M2">
        <v>2023</v>
      </c>
      <c r="N2">
        <v>2024</v>
      </c>
    </row>
    <row r="3" spans="1:14" x14ac:dyDescent="0.25">
      <c r="B3" t="s">
        <v>14</v>
      </c>
      <c r="C3" s="29"/>
      <c r="D3" s="29"/>
      <c r="G3" s="29">
        <v>21382</v>
      </c>
      <c r="H3" s="29">
        <v>22453</v>
      </c>
    </row>
    <row r="4" spans="1:14" x14ac:dyDescent="0.25">
      <c r="B4" t="s">
        <v>27</v>
      </c>
      <c r="C4" s="29"/>
      <c r="D4" s="29"/>
      <c r="G4" s="29">
        <v>15775</v>
      </c>
      <c r="H4" s="29">
        <v>16112</v>
      </c>
    </row>
    <row r="5" spans="1:14" x14ac:dyDescent="0.25">
      <c r="B5" t="s">
        <v>17</v>
      </c>
      <c r="C5" s="29"/>
      <c r="D5" s="29"/>
      <c r="G5" s="29">
        <v>12310</v>
      </c>
      <c r="H5" s="29">
        <v>14462</v>
      </c>
    </row>
    <row r="6" spans="1:14" x14ac:dyDescent="0.25">
      <c r="B6" t="s">
        <v>1250</v>
      </c>
      <c r="C6" s="29"/>
      <c r="D6" s="29"/>
      <c r="G6" s="29">
        <v>8768</v>
      </c>
      <c r="H6" s="29">
        <v>11303</v>
      </c>
    </row>
    <row r="7" spans="1:14" x14ac:dyDescent="0.25">
      <c r="B7" t="s">
        <v>1284</v>
      </c>
      <c r="C7" s="29"/>
      <c r="D7" s="29"/>
      <c r="G7" s="29">
        <f>65349/DKK</f>
        <v>9260.1672098625477</v>
      </c>
      <c r="H7" s="29">
        <f>68060/DKK</f>
        <v>9644.324783902508</v>
      </c>
    </row>
    <row r="8" spans="1:14" s="24" customFormat="1" ht="13" x14ac:dyDescent="0.3">
      <c r="B8" s="24" t="s">
        <v>1277</v>
      </c>
      <c r="C8" s="26">
        <f t="shared" ref="C8:F8" si="0">SUM(C3:C7)</f>
        <v>0</v>
      </c>
      <c r="D8" s="26">
        <f t="shared" si="0"/>
        <v>0</v>
      </c>
      <c r="E8" s="26">
        <f t="shared" si="0"/>
        <v>0</v>
      </c>
      <c r="F8" s="26">
        <f t="shared" si="0"/>
        <v>0</v>
      </c>
      <c r="G8" s="26">
        <f>SUM(G3:G7)</f>
        <v>67495.167209862542</v>
      </c>
      <c r="H8" s="26">
        <f>SUM(H3:H7)</f>
        <v>73974.324783902513</v>
      </c>
      <c r="I8" s="25"/>
      <c r="J8" s="25"/>
    </row>
    <row r="9" spans="1:14" s="24" customFormat="1" ht="13" hidden="1" outlineLevel="1" x14ac:dyDescent="0.3">
      <c r="B9" t="s">
        <v>1279</v>
      </c>
      <c r="C9" s="29"/>
      <c r="D9" s="29"/>
      <c r="E9" s="25"/>
      <c r="F9" s="25"/>
      <c r="G9" s="29">
        <v>1534.4</v>
      </c>
      <c r="H9" s="29">
        <v>2031.1</v>
      </c>
      <c r="I9" s="25"/>
      <c r="J9" s="25"/>
    </row>
    <row r="10" spans="1:14" s="24" customFormat="1" ht="13" hidden="1" outlineLevel="1" x14ac:dyDescent="0.3">
      <c r="B10" t="s">
        <v>1280</v>
      </c>
      <c r="C10" s="29"/>
      <c r="D10" s="29"/>
      <c r="E10" s="25"/>
      <c r="F10" s="25"/>
      <c r="G10" s="29">
        <v>5404</v>
      </c>
      <c r="H10" s="29">
        <v>6869</v>
      </c>
      <c r="I10" s="25"/>
      <c r="J10" s="25"/>
    </row>
    <row r="11" spans="1:14" hidden="1" outlineLevel="1" x14ac:dyDescent="0.25">
      <c r="B11" t="s">
        <v>1278</v>
      </c>
      <c r="C11" s="29"/>
      <c r="D11" s="29"/>
      <c r="G11" s="29">
        <v>2108</v>
      </c>
      <c r="H11" s="29">
        <v>2135</v>
      </c>
    </row>
    <row r="12" spans="1:14" hidden="1" outlineLevel="1" x14ac:dyDescent="0.25">
      <c r="B12" t="s">
        <v>1286</v>
      </c>
      <c r="C12" s="29"/>
      <c r="D12" s="29"/>
      <c r="G12" s="29">
        <v>2961</v>
      </c>
      <c r="H12" s="29">
        <v>3073</v>
      </c>
    </row>
    <row r="13" spans="1:14" hidden="1" outlineLevel="1" x14ac:dyDescent="0.25">
      <c r="B13" t="s">
        <v>1285</v>
      </c>
      <c r="C13" s="29"/>
      <c r="D13" s="29"/>
      <c r="G13" s="29">
        <f>9916/DKK</f>
        <v>1405.1296584951112</v>
      </c>
      <c r="H13" s="29">
        <f>10274/DKK</f>
        <v>1455.8594303528412</v>
      </c>
    </row>
    <row r="14" spans="1:14" collapsed="1" x14ac:dyDescent="0.25">
      <c r="B14" t="s">
        <v>1281</v>
      </c>
      <c r="C14" s="29"/>
      <c r="D14" s="29"/>
      <c r="G14" s="29">
        <f>SUM(G9:G13)</f>
        <v>13412.52965849511</v>
      </c>
      <c r="H14" s="29">
        <f>SUM(H9:H13)</f>
        <v>15563.959430352841</v>
      </c>
    </row>
    <row r="15" spans="1:14" x14ac:dyDescent="0.25">
      <c r="B15" t="s">
        <v>1282</v>
      </c>
      <c r="C15" s="29"/>
      <c r="D15" s="29"/>
      <c r="G15" s="29">
        <f>+G8-G14</f>
        <v>54082.637551367428</v>
      </c>
      <c r="H15" s="29">
        <f>+H8-H14</f>
        <v>58410.365353549671</v>
      </c>
    </row>
    <row r="16" spans="1:14" ht="13" x14ac:dyDescent="0.3">
      <c r="B16" t="s">
        <v>1805</v>
      </c>
      <c r="N16" s="99">
        <f>SUM(N17:N21)</f>
        <v>53959.551724137928</v>
      </c>
    </row>
    <row r="17" spans="2:14" x14ac:dyDescent="0.25">
      <c r="B17" t="s">
        <v>1796</v>
      </c>
      <c r="N17" s="30">
        <v>9998</v>
      </c>
    </row>
    <row r="18" spans="2:14" x14ac:dyDescent="0.25">
      <c r="B18" t="s">
        <v>1797</v>
      </c>
      <c r="N18" s="30">
        <v>7795</v>
      </c>
    </row>
    <row r="19" spans="2:14" x14ac:dyDescent="0.25">
      <c r="B19" t="s">
        <v>1798</v>
      </c>
      <c r="N19" s="30">
        <f>45766/7.25</f>
        <v>6312.5517241379312</v>
      </c>
    </row>
    <row r="20" spans="2:14" ht="13" x14ac:dyDescent="0.3">
      <c r="B20" t="s">
        <v>1799</v>
      </c>
      <c r="M20" s="30">
        <v>11988</v>
      </c>
      <c r="N20" s="32">
        <v>11988</v>
      </c>
    </row>
    <row r="21" spans="2:14" x14ac:dyDescent="0.25">
      <c r="B21" t="s">
        <v>1800</v>
      </c>
      <c r="N21" s="30">
        <v>17866</v>
      </c>
    </row>
    <row r="22" spans="2:14" x14ac:dyDescent="0.25">
      <c r="B22" t="s">
        <v>1806</v>
      </c>
      <c r="N22" s="30">
        <v>9214</v>
      </c>
    </row>
    <row r="23" spans="2:14" x14ac:dyDescent="0.25">
      <c r="B23" t="s">
        <v>1801</v>
      </c>
    </row>
    <row r="24" spans="2:14" x14ac:dyDescent="0.25">
      <c r="B24" t="s">
        <v>1802</v>
      </c>
    </row>
    <row r="25" spans="2:14" x14ac:dyDescent="0.25">
      <c r="B25" t="s">
        <v>1803</v>
      </c>
    </row>
    <row r="26" spans="2:14" x14ac:dyDescent="0.25">
      <c r="B26" t="s">
        <v>1804</v>
      </c>
    </row>
    <row r="31" spans="2:14" x14ac:dyDescent="0.25">
      <c r="B31" t="s">
        <v>1283</v>
      </c>
      <c r="C31" s="51" t="e">
        <f>+C15/C8</f>
        <v>#DIV/0!</v>
      </c>
      <c r="D31" s="51" t="e">
        <f>+D15/D8</f>
        <v>#DIV/0!</v>
      </c>
      <c r="G31" s="51">
        <f>+G15/G8</f>
        <v>0.80128162929367119</v>
      </c>
      <c r="H31" s="51">
        <f>+H15/H8</f>
        <v>0.7896032241481209</v>
      </c>
    </row>
  </sheetData>
  <hyperlinks>
    <hyperlink ref="A1" location="Main!A1" display="Main" xr:uid="{C14A8F61-F322-4018-B099-3F41413BB99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6F6B9-7887-4D2F-88AC-DEC0C71D2B99}">
  <dimension ref="B2:B23"/>
  <sheetViews>
    <sheetView zoomScale="220" zoomScaleNormal="220" workbookViewId="0">
      <selection activeCell="B24" sqref="B24"/>
    </sheetView>
  </sheetViews>
  <sheetFormatPr defaultColWidth="8.81640625" defaultRowHeight="12.5" x14ac:dyDescent="0.25"/>
  <sheetData>
    <row r="2" spans="2:2" x14ac:dyDescent="0.25">
      <c r="B2" t="s">
        <v>1127</v>
      </c>
    </row>
    <row r="3" spans="2:2" x14ac:dyDescent="0.25">
      <c r="B3" t="s">
        <v>1128</v>
      </c>
    </row>
    <row r="4" spans="2:2" x14ac:dyDescent="0.25">
      <c r="B4" t="s">
        <v>1141</v>
      </c>
    </row>
    <row r="5" spans="2:2" x14ac:dyDescent="0.25">
      <c r="B5" t="s">
        <v>1153</v>
      </c>
    </row>
    <row r="6" spans="2:2" x14ac:dyDescent="0.25">
      <c r="B6" t="s">
        <v>1150</v>
      </c>
    </row>
    <row r="7" spans="2:2" x14ac:dyDescent="0.25">
      <c r="B7" t="s">
        <v>1151</v>
      </c>
    </row>
    <row r="8" spans="2:2" x14ac:dyDescent="0.25">
      <c r="B8" t="s">
        <v>1143</v>
      </c>
    </row>
    <row r="9" spans="2:2" x14ac:dyDescent="0.25">
      <c r="B9" t="s">
        <v>1155</v>
      </c>
    </row>
    <row r="10" spans="2:2" x14ac:dyDescent="0.25">
      <c r="B10" t="s">
        <v>1152</v>
      </c>
    </row>
    <row r="11" spans="2:2" x14ac:dyDescent="0.25">
      <c r="B11" t="s">
        <v>1154</v>
      </c>
    </row>
    <row r="12" spans="2:2" x14ac:dyDescent="0.25">
      <c r="B12" t="s">
        <v>1129</v>
      </c>
    </row>
    <row r="13" spans="2:2" x14ac:dyDescent="0.25">
      <c r="B13" t="s">
        <v>234</v>
      </c>
    </row>
    <row r="14" spans="2:2" x14ac:dyDescent="0.25">
      <c r="B14" t="s">
        <v>1130</v>
      </c>
    </row>
    <row r="15" spans="2:2" x14ac:dyDescent="0.25">
      <c r="B15" t="s">
        <v>1131</v>
      </c>
    </row>
    <row r="16" spans="2:2" x14ac:dyDescent="0.25">
      <c r="B16" t="s">
        <v>1132</v>
      </c>
    </row>
    <row r="17" spans="2:2" x14ac:dyDescent="0.25">
      <c r="B17" t="s">
        <v>1133</v>
      </c>
    </row>
    <row r="18" spans="2:2" x14ac:dyDescent="0.25">
      <c r="B18" t="s">
        <v>1134</v>
      </c>
    </row>
    <row r="19" spans="2:2" x14ac:dyDescent="0.25">
      <c r="B19" t="s">
        <v>1135</v>
      </c>
    </row>
    <row r="20" spans="2:2" x14ac:dyDescent="0.25">
      <c r="B20" t="s">
        <v>1136</v>
      </c>
    </row>
    <row r="21" spans="2:2" x14ac:dyDescent="0.25">
      <c r="B21" t="s">
        <v>1137</v>
      </c>
    </row>
    <row r="22" spans="2:2" x14ac:dyDescent="0.25">
      <c r="B22" t="s">
        <v>1142</v>
      </c>
    </row>
    <row r="23" spans="2:2" x14ac:dyDescent="0.25">
      <c r="B23" t="s">
        <v>1163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9F4D5-421B-432D-9B8B-67BB999210AF}">
  <dimension ref="A1:ER81"/>
  <sheetViews>
    <sheetView zoomScale="205" zoomScaleNormal="205" workbookViewId="0">
      <pane xSplit="2" ySplit="2" topLeftCell="AI3" activePane="bottomRight" state="frozen"/>
      <selection pane="topRight" activeCell="C1" sqref="C1"/>
      <selection pane="bottomLeft" activeCell="A3" sqref="A3"/>
      <selection pane="bottomRight" activeCell="AN7" sqref="AN7"/>
    </sheetView>
  </sheetViews>
  <sheetFormatPr defaultColWidth="8.81640625" defaultRowHeight="12.5" x14ac:dyDescent="0.25"/>
  <cols>
    <col min="1" max="1" width="5" bestFit="1" customWidth="1"/>
    <col min="2" max="2" width="13.1796875" customWidth="1"/>
    <col min="6" max="7" width="10.453125" customWidth="1"/>
    <col min="8" max="8" width="5.453125" customWidth="1"/>
    <col min="9" max="18" width="7.453125" style="27" customWidth="1"/>
    <col min="19" max="34" width="7.453125" customWidth="1"/>
    <col min="35" max="36" width="10.453125" customWidth="1"/>
    <col min="37" max="39" width="9.1796875" style="27"/>
  </cols>
  <sheetData>
    <row r="1" spans="1:147" x14ac:dyDescent="0.25">
      <c r="A1" s="5" t="s">
        <v>285</v>
      </c>
      <c r="AN1" s="30">
        <f>AVERAGE(AN3:AN4,AN6:AN34,AN36:AN52)</f>
        <v>291.80037571301813</v>
      </c>
    </row>
    <row r="2" spans="1:147" x14ac:dyDescent="0.25">
      <c r="A2" s="27" t="s">
        <v>1386</v>
      </c>
      <c r="B2" t="s">
        <v>1090</v>
      </c>
      <c r="C2" t="s">
        <v>634</v>
      </c>
      <c r="D2" t="s">
        <v>1377</v>
      </c>
      <c r="E2" t="s">
        <v>1387</v>
      </c>
      <c r="F2" t="s">
        <v>631</v>
      </c>
      <c r="G2" s="27" t="s">
        <v>1369</v>
      </c>
      <c r="H2" s="27"/>
      <c r="I2" s="27" t="s">
        <v>1083</v>
      </c>
      <c r="J2" s="27" t="s">
        <v>1084</v>
      </c>
      <c r="K2" s="27" t="s">
        <v>1085</v>
      </c>
      <c r="L2" s="27" t="s">
        <v>1086</v>
      </c>
      <c r="M2" s="27" t="s">
        <v>1087</v>
      </c>
      <c r="N2" s="27" t="s">
        <v>1088</v>
      </c>
      <c r="O2" s="27" t="s">
        <v>1089</v>
      </c>
      <c r="P2" s="27" t="s">
        <v>1196</v>
      </c>
      <c r="Q2" s="27" t="s">
        <v>1391</v>
      </c>
      <c r="R2" s="27" t="s">
        <v>1392</v>
      </c>
      <c r="S2" s="27" t="s">
        <v>1393</v>
      </c>
      <c r="T2" s="27" t="s">
        <v>1394</v>
      </c>
      <c r="U2" s="27" t="s">
        <v>1399</v>
      </c>
      <c r="V2" s="27" t="s">
        <v>1400</v>
      </c>
      <c r="W2" s="27" t="s">
        <v>1401</v>
      </c>
      <c r="X2" s="27" t="s">
        <v>1402</v>
      </c>
      <c r="Y2" s="27" t="s">
        <v>1416</v>
      </c>
      <c r="Z2" s="27" t="s">
        <v>1417</v>
      </c>
      <c r="AA2" s="27" t="s">
        <v>1418</v>
      </c>
      <c r="AB2" s="27" t="s">
        <v>1684</v>
      </c>
      <c r="AC2" s="27" t="s">
        <v>1685</v>
      </c>
      <c r="AD2" s="27" t="s">
        <v>1686</v>
      </c>
      <c r="AE2" s="27" t="s">
        <v>1687</v>
      </c>
      <c r="AF2" s="27" t="s">
        <v>1688</v>
      </c>
      <c r="AG2" s="27" t="s">
        <v>1689</v>
      </c>
      <c r="AH2" s="27" t="s">
        <v>1690</v>
      </c>
      <c r="AI2" s="27"/>
      <c r="AJ2" s="27"/>
      <c r="AK2" s="27" t="s">
        <v>624</v>
      </c>
      <c r="AL2" s="27" t="s">
        <v>625</v>
      </c>
      <c r="AM2" s="27" t="s">
        <v>626</v>
      </c>
      <c r="AN2" s="27" t="s">
        <v>627</v>
      </c>
      <c r="AO2" s="27" t="s">
        <v>628</v>
      </c>
      <c r="AP2" s="27" t="s">
        <v>629</v>
      </c>
      <c r="AQ2" s="27" t="s">
        <v>1040</v>
      </c>
      <c r="AR2" s="27" t="s">
        <v>1041</v>
      </c>
      <c r="AS2" s="27" t="s">
        <v>1042</v>
      </c>
      <c r="AT2" s="27" t="s">
        <v>1043</v>
      </c>
      <c r="AU2" s="27" t="s">
        <v>1044</v>
      </c>
      <c r="AV2" s="27" t="s">
        <v>1045</v>
      </c>
      <c r="AW2" s="27" t="s">
        <v>1049</v>
      </c>
      <c r="AX2" s="27" t="s">
        <v>1050</v>
      </c>
      <c r="AY2" s="27" t="s">
        <v>1051</v>
      </c>
      <c r="AZ2" s="27" t="s">
        <v>1052</v>
      </c>
      <c r="BA2" s="27" t="s">
        <v>1070</v>
      </c>
      <c r="BB2" s="27" t="s">
        <v>1071</v>
      </c>
      <c r="BC2" s="27" t="s">
        <v>1072</v>
      </c>
      <c r="BD2" s="27" t="s">
        <v>1073</v>
      </c>
      <c r="BE2" s="27" t="s">
        <v>1074</v>
      </c>
      <c r="BF2" s="27" t="s">
        <v>1075</v>
      </c>
      <c r="BG2" s="27" t="s">
        <v>1076</v>
      </c>
      <c r="BH2" s="27" t="s">
        <v>1077</v>
      </c>
      <c r="BI2" s="27" t="s">
        <v>1078</v>
      </c>
      <c r="BJ2" s="27" t="s">
        <v>1079</v>
      </c>
      <c r="BK2" s="27" t="s">
        <v>1080</v>
      </c>
      <c r="BL2" s="27" t="s">
        <v>1081</v>
      </c>
      <c r="BM2" s="27" t="s">
        <v>1082</v>
      </c>
    </row>
    <row r="3" spans="1:147" x14ac:dyDescent="0.25">
      <c r="A3" s="27">
        <v>1</v>
      </c>
      <c r="B3" t="s">
        <v>1407</v>
      </c>
      <c r="C3" t="s">
        <v>18</v>
      </c>
      <c r="D3" t="s">
        <v>1381</v>
      </c>
      <c r="E3">
        <v>3</v>
      </c>
      <c r="F3" t="s">
        <v>1408</v>
      </c>
      <c r="G3" s="30">
        <f t="shared" ref="G3:G11" si="0">SUM(AK3:GH3)</f>
        <v>233470</v>
      </c>
      <c r="H3" s="30"/>
      <c r="I3" s="29">
        <f>SUM(AK3:AN3)</f>
        <v>280</v>
      </c>
      <c r="J3" s="29">
        <f>SUM(AO3:AR3)</f>
        <v>852</v>
      </c>
      <c r="K3" s="29">
        <f>SUM(AS3:AV3)</f>
        <v>1400</v>
      </c>
      <c r="L3" s="29">
        <f>SUM(AW3:AZ3)</f>
        <v>2044</v>
      </c>
      <c r="M3" s="29">
        <f>SUM(BA3:BD3)</f>
        <v>3063</v>
      </c>
      <c r="N3" s="29">
        <f>SUM(BE3:BH3)</f>
        <v>4522</v>
      </c>
      <c r="O3" s="29">
        <f>SUM(BI3:BL3)</f>
        <v>5488</v>
      </c>
      <c r="P3" s="29">
        <f t="shared" ref="P3:P11" si="1">SUM(BM3:BP3)</f>
        <v>6548</v>
      </c>
      <c r="Q3" s="29">
        <f t="shared" ref="Q3:Q11" si="2">SUM(BQ3:BT3)</f>
        <v>7932</v>
      </c>
      <c r="R3" s="29">
        <f t="shared" ref="R3:R11" si="3">SUM(BU3:BX3)</f>
        <v>9266</v>
      </c>
      <c r="S3" s="29">
        <f t="shared" ref="S3:S11" si="4">SUM(BY3:CB3)</f>
        <v>10659</v>
      </c>
      <c r="T3" s="29">
        <f t="shared" ref="T3:T11" si="5">SUM(CC3:CF3)</f>
        <v>12543</v>
      </c>
      <c r="U3" s="29">
        <f t="shared" ref="U3:U11" si="6">SUM(CG3:CJ3)</f>
        <v>14012</v>
      </c>
      <c r="V3" s="29">
        <f t="shared" ref="V3:V11" si="7">SUM(CK3:CN3)</f>
        <v>16078</v>
      </c>
      <c r="W3" s="29">
        <f>SUM(CO3:CR3)</f>
        <v>18427</v>
      </c>
      <c r="X3" s="29">
        <f>SUM(CS3:CV3)</f>
        <v>19936</v>
      </c>
      <c r="Y3" s="29"/>
      <c r="Z3" s="29"/>
      <c r="AA3" s="29"/>
      <c r="AB3" s="27"/>
      <c r="AC3" s="27"/>
      <c r="AD3" s="27"/>
      <c r="AE3" s="27"/>
      <c r="AF3" s="27"/>
      <c r="AG3" s="27"/>
      <c r="AH3" s="27"/>
      <c r="AI3" s="27"/>
      <c r="AJ3" s="27"/>
      <c r="AK3" s="27">
        <v>30</v>
      </c>
      <c r="AL3" s="27">
        <v>60</v>
      </c>
      <c r="AM3" s="27">
        <v>80</v>
      </c>
      <c r="AN3" s="29">
        <v>110</v>
      </c>
      <c r="AO3" s="29">
        <v>149</v>
      </c>
      <c r="AP3" s="29">
        <v>203</v>
      </c>
      <c r="AQ3" s="29">
        <v>227</v>
      </c>
      <c r="AR3" s="29">
        <v>273</v>
      </c>
      <c r="AS3" s="29">
        <v>282</v>
      </c>
      <c r="AT3" s="27">
        <v>321</v>
      </c>
      <c r="AU3" s="27">
        <v>356</v>
      </c>
      <c r="AV3" s="27">
        <v>441</v>
      </c>
      <c r="AW3" s="27">
        <v>392</v>
      </c>
      <c r="AX3" s="27">
        <v>491</v>
      </c>
      <c r="AY3" s="27">
        <v>541</v>
      </c>
      <c r="AZ3" s="27">
        <v>620</v>
      </c>
      <c r="BA3" s="27">
        <v>571</v>
      </c>
      <c r="BB3" s="27">
        <v>735</v>
      </c>
      <c r="BC3" s="27">
        <v>803</v>
      </c>
      <c r="BD3" s="27">
        <v>954</v>
      </c>
      <c r="BE3" s="27">
        <v>878</v>
      </c>
      <c r="BF3" s="27">
        <v>1089</v>
      </c>
      <c r="BG3" s="27">
        <v>1204</v>
      </c>
      <c r="BH3" s="27">
        <v>1351</v>
      </c>
      <c r="BI3" s="27">
        <v>1024</v>
      </c>
      <c r="BJ3" s="27">
        <v>1311</v>
      </c>
      <c r="BK3" s="27">
        <v>1491</v>
      </c>
      <c r="BL3" s="27">
        <v>1662</v>
      </c>
      <c r="BM3" s="27">
        <v>1397</v>
      </c>
      <c r="BN3">
        <v>1593</v>
      </c>
      <c r="BO3">
        <v>1679</v>
      </c>
      <c r="BP3">
        <v>1879</v>
      </c>
      <c r="BQ3">
        <v>1646</v>
      </c>
      <c r="BR3">
        <v>1997</v>
      </c>
      <c r="BS3">
        <v>2111</v>
      </c>
      <c r="BT3">
        <v>2178</v>
      </c>
      <c r="BU3">
        <v>1934</v>
      </c>
      <c r="BV3">
        <v>2326</v>
      </c>
      <c r="BW3">
        <v>2325</v>
      </c>
      <c r="BX3">
        <v>2681</v>
      </c>
      <c r="BY3">
        <v>2244</v>
      </c>
      <c r="BZ3">
        <v>2606</v>
      </c>
      <c r="CA3">
        <v>2770</v>
      </c>
      <c r="CB3">
        <v>3039</v>
      </c>
      <c r="CC3">
        <v>2637</v>
      </c>
      <c r="CD3">
        <v>3288</v>
      </c>
      <c r="CE3">
        <v>3255</v>
      </c>
      <c r="CF3">
        <v>3363</v>
      </c>
      <c r="CG3">
        <v>3111</v>
      </c>
      <c r="CH3">
        <v>3537</v>
      </c>
      <c r="CI3">
        <v>3647</v>
      </c>
      <c r="CJ3">
        <v>3717</v>
      </c>
      <c r="CK3">
        <v>3577</v>
      </c>
      <c r="CL3">
        <v>4149</v>
      </c>
      <c r="CM3">
        <v>4060</v>
      </c>
      <c r="CN3">
        <v>4292</v>
      </c>
      <c r="CO3">
        <v>4118</v>
      </c>
      <c r="CP3">
        <v>4716</v>
      </c>
      <c r="CQ3">
        <v>4701</v>
      </c>
      <c r="CR3">
        <v>4892</v>
      </c>
      <c r="CS3">
        <v>4709</v>
      </c>
      <c r="CT3">
        <v>5185</v>
      </c>
      <c r="CU3">
        <v>5124</v>
      </c>
      <c r="CV3">
        <v>4918</v>
      </c>
      <c r="CW3">
        <v>4446</v>
      </c>
      <c r="CX3">
        <v>4870</v>
      </c>
      <c r="CY3">
        <v>4936</v>
      </c>
      <c r="CZ3">
        <v>4917</v>
      </c>
      <c r="DA3">
        <v>4703</v>
      </c>
      <c r="DB3">
        <v>4837</v>
      </c>
      <c r="DC3">
        <v>5140</v>
      </c>
      <c r="DD3">
        <v>5152</v>
      </c>
      <c r="DE3">
        <v>4867</v>
      </c>
      <c r="DF3">
        <v>5068</v>
      </c>
      <c r="DG3">
        <v>5425</v>
      </c>
      <c r="DH3">
        <v>5334</v>
      </c>
      <c r="DI3">
        <v>4736</v>
      </c>
      <c r="DJ3">
        <v>5363</v>
      </c>
      <c r="DK3">
        <v>5559</v>
      </c>
      <c r="DL3">
        <v>5579</v>
      </c>
      <c r="DM3">
        <v>3541</v>
      </c>
      <c r="DN3">
        <v>4012</v>
      </c>
      <c r="DO3">
        <v>3547</v>
      </c>
      <c r="DP3">
        <v>3304</v>
      </c>
      <c r="DQ3">
        <v>2270</v>
      </c>
      <c r="DR3">
        <v>2814</v>
      </c>
    </row>
    <row r="4" spans="1:147" x14ac:dyDescent="0.25">
      <c r="A4">
        <f>+A12+1</f>
        <v>4</v>
      </c>
      <c r="B4" t="s">
        <v>1420</v>
      </c>
      <c r="C4" t="s">
        <v>15</v>
      </c>
      <c r="D4" t="s">
        <v>1381</v>
      </c>
      <c r="E4">
        <v>1</v>
      </c>
      <c r="G4" s="30">
        <f t="shared" si="0"/>
        <v>92404</v>
      </c>
      <c r="H4" s="30"/>
      <c r="I4" s="29">
        <f>SUM(AK4:AN4)</f>
        <v>115</v>
      </c>
      <c r="J4" s="29">
        <f>SUM(AO4:AR4)</f>
        <v>370</v>
      </c>
      <c r="K4" s="29">
        <f>SUM(AS4:AV4)</f>
        <v>721</v>
      </c>
      <c r="L4" s="29">
        <f>SUM(AW4:AZ4)</f>
        <v>1297</v>
      </c>
      <c r="M4" s="29">
        <f>SUM(BA4:BD4)</f>
        <v>1730</v>
      </c>
      <c r="N4" s="29">
        <f>SUM(BE4:BH4)</f>
        <v>2146</v>
      </c>
      <c r="O4" s="29">
        <f>SUM(BI4:BL4)</f>
        <v>2535</v>
      </c>
      <c r="P4" s="29">
        <f t="shared" si="1"/>
        <v>3014</v>
      </c>
      <c r="Q4" s="29">
        <f t="shared" si="2"/>
        <v>3327</v>
      </c>
      <c r="R4" s="29">
        <f t="shared" si="3"/>
        <v>3748</v>
      </c>
      <c r="S4" s="29">
        <f t="shared" si="4"/>
        <v>4304</v>
      </c>
      <c r="T4" s="29">
        <f t="shared" si="5"/>
        <v>4610</v>
      </c>
      <c r="U4" s="29">
        <f t="shared" si="6"/>
        <v>5492</v>
      </c>
      <c r="V4" s="29">
        <f t="shared" si="7"/>
        <v>6139</v>
      </c>
      <c r="W4" s="29"/>
      <c r="X4" s="29"/>
      <c r="Y4" s="29"/>
      <c r="Z4" s="29"/>
      <c r="AA4" s="29"/>
      <c r="AK4" s="27">
        <v>21</v>
      </c>
      <c r="AL4" s="27">
        <v>26</v>
      </c>
      <c r="AM4" s="27">
        <v>27</v>
      </c>
      <c r="AN4" s="30">
        <v>41</v>
      </c>
      <c r="AO4" s="30">
        <v>49</v>
      </c>
      <c r="AP4" s="30">
        <v>91.2</v>
      </c>
      <c r="AQ4" s="30">
        <v>90.8</v>
      </c>
      <c r="AR4" s="30">
        <v>139</v>
      </c>
      <c r="AS4" s="30">
        <v>131</v>
      </c>
      <c r="AT4" s="30">
        <v>171</v>
      </c>
      <c r="AU4">
        <v>209</v>
      </c>
      <c r="AV4">
        <v>210</v>
      </c>
      <c r="AW4">
        <v>245</v>
      </c>
      <c r="AX4">
        <v>332</v>
      </c>
      <c r="AY4">
        <v>341</v>
      </c>
      <c r="AZ4">
        <v>379</v>
      </c>
      <c r="BA4">
        <v>409</v>
      </c>
      <c r="BB4">
        <v>421</v>
      </c>
      <c r="BC4">
        <v>444</v>
      </c>
      <c r="BD4">
        <v>456</v>
      </c>
      <c r="BE4">
        <v>464</v>
      </c>
      <c r="BF4">
        <v>539</v>
      </c>
      <c r="BG4">
        <v>545</v>
      </c>
      <c r="BH4">
        <v>598</v>
      </c>
      <c r="BI4">
        <v>577</v>
      </c>
      <c r="BJ4">
        <v>642</v>
      </c>
      <c r="BK4">
        <v>624</v>
      </c>
      <c r="BL4">
        <v>692</v>
      </c>
      <c r="BM4">
        <v>681</v>
      </c>
      <c r="BN4">
        <v>777</v>
      </c>
      <c r="BO4">
        <v>776</v>
      </c>
      <c r="BP4">
        <v>780</v>
      </c>
      <c r="BQ4">
        <v>731</v>
      </c>
      <c r="BR4">
        <v>869</v>
      </c>
      <c r="BS4">
        <v>819</v>
      </c>
      <c r="BT4">
        <v>908</v>
      </c>
      <c r="BU4">
        <v>998</v>
      </c>
      <c r="BV4">
        <v>886</v>
      </c>
      <c r="BW4">
        <v>978</v>
      </c>
      <c r="BX4">
        <v>886</v>
      </c>
      <c r="BY4">
        <v>1028</v>
      </c>
      <c r="BZ4">
        <v>1102</v>
      </c>
      <c r="CA4">
        <v>1036</v>
      </c>
      <c r="CB4">
        <v>1138</v>
      </c>
      <c r="CC4">
        <v>1186</v>
      </c>
      <c r="CD4">
        <v>1130</v>
      </c>
      <c r="CE4">
        <v>1229</v>
      </c>
      <c r="CF4">
        <v>1065</v>
      </c>
      <c r="CG4">
        <v>1285</v>
      </c>
      <c r="CH4">
        <v>1371</v>
      </c>
      <c r="CI4">
        <v>1408</v>
      </c>
      <c r="CJ4">
        <v>1428</v>
      </c>
      <c r="CK4">
        <v>1521</v>
      </c>
      <c r="CL4">
        <v>1523</v>
      </c>
      <c r="CM4">
        <v>1591</v>
      </c>
      <c r="CN4">
        <v>1504</v>
      </c>
      <c r="CO4">
        <v>1600</v>
      </c>
      <c r="CP4">
        <v>1672</v>
      </c>
      <c r="CQ4">
        <v>1689</v>
      </c>
      <c r="CR4">
        <v>1712</v>
      </c>
      <c r="CS4">
        <v>1610</v>
      </c>
      <c r="CT4">
        <v>1804</v>
      </c>
      <c r="CU4">
        <v>1782</v>
      </c>
      <c r="CV4">
        <v>1672</v>
      </c>
      <c r="CW4">
        <v>1600</v>
      </c>
      <c r="CX4">
        <v>1668</v>
      </c>
      <c r="CY4">
        <v>1613</v>
      </c>
      <c r="CZ4">
        <v>1680</v>
      </c>
      <c r="DA4">
        <v>1779</v>
      </c>
      <c r="DB4">
        <v>1780</v>
      </c>
      <c r="DC4">
        <v>1783</v>
      </c>
      <c r="DD4">
        <v>1624</v>
      </c>
      <c r="DE4">
        <v>1672</v>
      </c>
      <c r="DF4">
        <v>1530</v>
      </c>
      <c r="DG4">
        <v>1647</v>
      </c>
      <c r="DH4">
        <v>1466</v>
      </c>
      <c r="DI4">
        <v>1389</v>
      </c>
      <c r="DJ4">
        <v>1320</v>
      </c>
      <c r="DK4">
        <v>1379</v>
      </c>
      <c r="DL4">
        <v>1238</v>
      </c>
      <c r="DM4">
        <v>1102</v>
      </c>
      <c r="DN4">
        <v>1107</v>
      </c>
      <c r="DO4">
        <v>1136</v>
      </c>
      <c r="DP4">
        <v>1035</v>
      </c>
      <c r="DQ4">
        <v>990</v>
      </c>
      <c r="DR4">
        <v>935</v>
      </c>
      <c r="DS4">
        <v>921</v>
      </c>
      <c r="DT4">
        <v>901</v>
      </c>
      <c r="DU4">
        <v>777</v>
      </c>
      <c r="DV4">
        <v>888</v>
      </c>
      <c r="DW4">
        <v>761</v>
      </c>
      <c r="DX4">
        <v>764</v>
      </c>
      <c r="DY4">
        <v>663</v>
      </c>
      <c r="DZ4">
        <v>647</v>
      </c>
      <c r="EA4">
        <v>558</v>
      </c>
      <c r="EB4">
        <v>475</v>
      </c>
      <c r="EC4">
        <v>487</v>
      </c>
    </row>
    <row r="5" spans="1:147" x14ac:dyDescent="0.25">
      <c r="A5">
        <f>+A4+1</f>
        <v>5</v>
      </c>
      <c r="B5" t="s">
        <v>1373</v>
      </c>
      <c r="C5" t="s">
        <v>24</v>
      </c>
      <c r="D5" t="s">
        <v>1429</v>
      </c>
      <c r="G5" s="30">
        <f t="shared" si="0"/>
        <v>86510</v>
      </c>
      <c r="H5" s="30"/>
      <c r="I5" s="29">
        <f>SUM(AK5:AN5)</f>
        <v>24431</v>
      </c>
      <c r="J5" s="29">
        <f>SUM(AO5:AR5)</f>
        <v>38981</v>
      </c>
      <c r="K5" s="29">
        <f>SUM(AS5:AV5)</f>
        <v>17188</v>
      </c>
      <c r="L5" s="29">
        <f>SUM(AW5:AZ5)</f>
        <v>5910</v>
      </c>
      <c r="M5" s="29">
        <f>SUM(BA5:BD5)</f>
        <v>0</v>
      </c>
      <c r="N5" s="29">
        <f>SUM(BE5:BH5)</f>
        <v>0</v>
      </c>
      <c r="O5" s="29">
        <f>SUM(BI5:BL5)</f>
        <v>0</v>
      </c>
      <c r="P5" s="29">
        <f t="shared" si="1"/>
        <v>0</v>
      </c>
      <c r="Q5" s="29">
        <f t="shared" si="2"/>
        <v>0</v>
      </c>
      <c r="R5" s="29">
        <f t="shared" si="3"/>
        <v>0</v>
      </c>
      <c r="S5" s="29">
        <f t="shared" si="4"/>
        <v>0</v>
      </c>
      <c r="T5" s="29">
        <f t="shared" si="5"/>
        <v>0</v>
      </c>
      <c r="U5" s="29">
        <f t="shared" si="6"/>
        <v>0</v>
      </c>
      <c r="V5" s="29">
        <f t="shared" si="7"/>
        <v>0</v>
      </c>
      <c r="W5" s="29"/>
      <c r="X5" s="29"/>
      <c r="Y5" s="29"/>
      <c r="Z5" s="29"/>
      <c r="AA5" s="29"/>
      <c r="AK5" s="29">
        <v>154</v>
      </c>
      <c r="AL5" s="29">
        <v>3462</v>
      </c>
      <c r="AM5" s="29">
        <v>7838</v>
      </c>
      <c r="AN5" s="30">
        <v>12977</v>
      </c>
      <c r="AO5" s="30">
        <v>12504</v>
      </c>
      <c r="AP5" s="30">
        <v>13227</v>
      </c>
      <c r="AQ5" s="30">
        <v>8848</v>
      </c>
      <c r="AR5" s="30">
        <v>4402</v>
      </c>
      <c r="AS5" s="30">
        <v>11329</v>
      </c>
      <c r="AT5" s="30">
        <v>3064</v>
      </c>
      <c r="AU5">
        <v>1488</v>
      </c>
      <c r="AV5">
        <v>1307</v>
      </c>
      <c r="AW5">
        <v>5361</v>
      </c>
      <c r="AX5">
        <v>354</v>
      </c>
      <c r="AY5">
        <v>195</v>
      </c>
    </row>
    <row r="6" spans="1:147" s="24" customFormat="1" ht="13" x14ac:dyDescent="0.3">
      <c r="A6">
        <f>+A8+1</f>
        <v>10</v>
      </c>
      <c r="B6" t="s">
        <v>1367</v>
      </c>
      <c r="C6" t="s">
        <v>46</v>
      </c>
      <c r="D6" t="s">
        <v>1382</v>
      </c>
      <c r="E6"/>
      <c r="F6"/>
      <c r="G6" s="30">
        <f t="shared" si="0"/>
        <v>50224</v>
      </c>
      <c r="H6" s="30"/>
      <c r="I6" s="29">
        <f>SUM(AK6:AN6)</f>
        <v>1184</v>
      </c>
      <c r="J6" s="29">
        <f>SUM(AO6:AR6)</f>
        <v>4738</v>
      </c>
      <c r="K6" s="29">
        <f>SUM(AS6:AV6)</f>
        <v>7259</v>
      </c>
      <c r="L6" s="29">
        <f>SUM(AW6:AZ6)</f>
        <v>8624</v>
      </c>
      <c r="M6" s="29">
        <f>SUM(BA6:BD6)</f>
        <v>10391</v>
      </c>
      <c r="N6" s="29">
        <f>SUM(BE6:BH6)</f>
        <v>11850</v>
      </c>
      <c r="O6" s="29">
        <f>SUM(BI6:BL6)</f>
        <v>6178</v>
      </c>
      <c r="P6" s="29">
        <f t="shared" si="1"/>
        <v>0</v>
      </c>
      <c r="Q6" s="29">
        <f t="shared" si="2"/>
        <v>0</v>
      </c>
      <c r="R6" s="29">
        <f t="shared" si="3"/>
        <v>0</v>
      </c>
      <c r="S6" s="29">
        <f t="shared" si="4"/>
        <v>0</v>
      </c>
      <c r="T6" s="29">
        <f t="shared" si="5"/>
        <v>0</v>
      </c>
      <c r="U6" s="29">
        <f t="shared" si="6"/>
        <v>0</v>
      </c>
      <c r="V6" s="29">
        <f t="shared" si="7"/>
        <v>0</v>
      </c>
      <c r="W6" s="29"/>
      <c r="X6" s="29"/>
      <c r="Y6" s="29"/>
      <c r="Z6" s="29"/>
      <c r="AA6" s="29"/>
      <c r="AB6"/>
      <c r="AC6"/>
      <c r="AD6"/>
      <c r="AE6"/>
      <c r="AF6"/>
      <c r="AG6"/>
      <c r="AH6"/>
      <c r="AI6"/>
      <c r="AJ6"/>
      <c r="AK6" s="29">
        <v>35</v>
      </c>
      <c r="AL6" s="29">
        <v>185</v>
      </c>
      <c r="AM6" s="29">
        <v>386</v>
      </c>
      <c r="AN6" s="30">
        <v>578</v>
      </c>
      <c r="AO6" s="30">
        <v>793</v>
      </c>
      <c r="AP6" s="30">
        <v>1116</v>
      </c>
      <c r="AQ6" s="30">
        <v>1259</v>
      </c>
      <c r="AR6" s="30">
        <v>1570</v>
      </c>
      <c r="AS6" s="30">
        <v>1693</v>
      </c>
      <c r="AT6">
        <v>1604</v>
      </c>
      <c r="AU6">
        <v>1891</v>
      </c>
      <c r="AV6">
        <v>2071</v>
      </c>
      <c r="AW6">
        <v>1824</v>
      </c>
      <c r="AX6">
        <v>1994</v>
      </c>
      <c r="AY6">
        <v>2276</v>
      </c>
      <c r="AZ6">
        <v>2530</v>
      </c>
      <c r="BA6">
        <v>2151</v>
      </c>
      <c r="BB6">
        <v>2556</v>
      </c>
      <c r="BC6">
        <v>2766</v>
      </c>
      <c r="BD6">
        <v>2918</v>
      </c>
      <c r="BE6">
        <v>2677</v>
      </c>
      <c r="BF6">
        <v>2979</v>
      </c>
      <c r="BG6">
        <v>3085</v>
      </c>
      <c r="BH6">
        <v>3109</v>
      </c>
      <c r="BI6">
        <v>2946</v>
      </c>
      <c r="BJ6">
        <v>3232</v>
      </c>
      <c r="BK6"/>
      <c r="BL6"/>
      <c r="BM6"/>
      <c r="BN6" s="30"/>
      <c r="BO6" s="30"/>
      <c r="BP6" s="30"/>
      <c r="BQ6" s="30"/>
      <c r="BR6" s="30"/>
      <c r="BS6" s="30"/>
      <c r="BT6" s="30"/>
      <c r="BU6" s="30"/>
      <c r="BV6" s="30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</row>
    <row r="7" spans="1:147" x14ac:dyDescent="0.25">
      <c r="A7">
        <f>+A11+1</f>
        <v>19</v>
      </c>
      <c r="B7" t="s">
        <v>1372</v>
      </c>
      <c r="C7" t="s">
        <v>46</v>
      </c>
      <c r="D7" t="s">
        <v>1404</v>
      </c>
      <c r="G7" s="30">
        <f t="shared" si="0"/>
        <v>31975</v>
      </c>
      <c r="H7" s="30"/>
      <c r="I7" s="29">
        <f>SUM(AK7:AN7)</f>
        <v>9314</v>
      </c>
      <c r="J7" s="29">
        <f>SUM(AO7:AR7)</f>
        <v>12258</v>
      </c>
      <c r="K7" s="29">
        <f>SUM(AS7:AV7)</f>
        <v>6253</v>
      </c>
      <c r="L7" s="29">
        <f>SUM(AW7:AZ7)</f>
        <v>2296</v>
      </c>
      <c r="M7" s="29">
        <f>SUM(BA7:BD7)</f>
        <v>961</v>
      </c>
      <c r="N7" s="29">
        <f>SUM(BE7:BH7)</f>
        <v>404</v>
      </c>
      <c r="O7" s="29">
        <f>SUM(BI7:BL7)</f>
        <v>211</v>
      </c>
      <c r="P7" s="29">
        <f t="shared" si="1"/>
        <v>152</v>
      </c>
      <c r="Q7" s="29">
        <f t="shared" si="2"/>
        <v>86</v>
      </c>
      <c r="R7" s="29">
        <f t="shared" si="3"/>
        <v>40</v>
      </c>
      <c r="S7" s="29">
        <f t="shared" si="4"/>
        <v>0</v>
      </c>
      <c r="T7" s="29">
        <f t="shared" si="5"/>
        <v>0</v>
      </c>
      <c r="U7" s="29">
        <f t="shared" si="6"/>
        <v>0</v>
      </c>
      <c r="V7" s="29">
        <f t="shared" si="7"/>
        <v>0</v>
      </c>
      <c r="W7" s="29"/>
      <c r="X7" s="29"/>
      <c r="Y7" s="29"/>
      <c r="Z7" s="29"/>
      <c r="AA7" s="29"/>
      <c r="AK7" s="29">
        <v>20</v>
      </c>
      <c r="AL7" s="29">
        <v>2107</v>
      </c>
      <c r="AM7" s="29">
        <v>3579</v>
      </c>
      <c r="AN7" s="30">
        <v>3608</v>
      </c>
      <c r="AO7" s="30">
        <v>3332</v>
      </c>
      <c r="AP7" s="30">
        <v>3345</v>
      </c>
      <c r="AQ7" s="30">
        <v>3017</v>
      </c>
      <c r="AR7" s="30">
        <v>2564</v>
      </c>
      <c r="AS7" s="30">
        <v>1860</v>
      </c>
      <c r="AT7">
        <v>1640</v>
      </c>
      <c r="AU7">
        <v>1371</v>
      </c>
      <c r="AV7">
        <v>1382</v>
      </c>
      <c r="AW7">
        <v>973</v>
      </c>
      <c r="AX7">
        <v>644</v>
      </c>
      <c r="AY7">
        <v>348</v>
      </c>
      <c r="AZ7">
        <v>331</v>
      </c>
      <c r="BA7">
        <v>311</v>
      </c>
      <c r="BB7">
        <v>232</v>
      </c>
      <c r="BC7">
        <v>225</v>
      </c>
      <c r="BD7">
        <v>193</v>
      </c>
      <c r="BE7">
        <v>124</v>
      </c>
      <c r="BF7">
        <v>101</v>
      </c>
      <c r="BG7">
        <v>112</v>
      </c>
      <c r="BH7">
        <v>67</v>
      </c>
      <c r="BI7">
        <v>84</v>
      </c>
      <c r="BJ7">
        <v>9</v>
      </c>
      <c r="BK7">
        <v>56</v>
      </c>
      <c r="BL7">
        <v>62</v>
      </c>
      <c r="BM7">
        <v>45</v>
      </c>
      <c r="BN7" s="30">
        <v>49</v>
      </c>
      <c r="BO7" s="30">
        <v>35</v>
      </c>
      <c r="BP7" s="30">
        <v>23</v>
      </c>
      <c r="BQ7" s="30">
        <v>25</v>
      </c>
      <c r="BR7" s="30">
        <v>31</v>
      </c>
      <c r="BS7" s="30">
        <v>15</v>
      </c>
      <c r="BT7" s="30">
        <v>15</v>
      </c>
      <c r="BU7" s="30">
        <v>23</v>
      </c>
      <c r="BV7" s="30">
        <v>17</v>
      </c>
    </row>
    <row r="8" spans="1:147" s="24" customFormat="1" ht="13" x14ac:dyDescent="0.3">
      <c r="A8">
        <f>+A16+1</f>
        <v>9</v>
      </c>
      <c r="B8" t="s">
        <v>1091</v>
      </c>
      <c r="C8" t="s">
        <v>32</v>
      </c>
      <c r="D8" t="s">
        <v>1379</v>
      </c>
      <c r="E8">
        <v>1</v>
      </c>
      <c r="G8" s="30">
        <f t="shared" si="0"/>
        <v>59847</v>
      </c>
      <c r="H8" s="30"/>
      <c r="I8" s="26">
        <v>942</v>
      </c>
      <c r="J8" s="26">
        <v>3774</v>
      </c>
      <c r="K8" s="26">
        <v>4948</v>
      </c>
      <c r="L8" s="26">
        <v>6735</v>
      </c>
      <c r="M8" s="26">
        <v>7204</v>
      </c>
      <c r="N8" s="26">
        <v>6992</v>
      </c>
      <c r="O8" s="26">
        <v>7523</v>
      </c>
      <c r="P8" s="26">
        <f t="shared" si="1"/>
        <v>7879</v>
      </c>
      <c r="Q8" s="29">
        <f t="shared" si="2"/>
        <v>8610</v>
      </c>
      <c r="R8" s="29">
        <f t="shared" si="3"/>
        <v>9127</v>
      </c>
      <c r="S8" s="29">
        <f t="shared" si="4"/>
        <v>0</v>
      </c>
      <c r="T8" s="29">
        <f t="shared" si="5"/>
        <v>0</v>
      </c>
      <c r="U8" s="29">
        <f t="shared" si="6"/>
        <v>0</v>
      </c>
      <c r="V8" s="29">
        <f t="shared" si="7"/>
        <v>0</v>
      </c>
      <c r="W8" s="29"/>
      <c r="X8" s="29"/>
      <c r="Y8" s="29"/>
      <c r="Z8" s="29"/>
      <c r="AA8" s="29"/>
      <c r="AK8" s="26">
        <v>1</v>
      </c>
      <c r="AL8" s="26">
        <v>5</v>
      </c>
      <c r="AM8" s="26">
        <v>40</v>
      </c>
      <c r="AN8" s="26">
        <v>122</v>
      </c>
      <c r="AO8" s="26">
        <v>305</v>
      </c>
      <c r="AP8" s="26">
        <v>475</v>
      </c>
      <c r="AQ8" s="26">
        <v>704</v>
      </c>
      <c r="AR8" s="26">
        <v>840</v>
      </c>
      <c r="AS8" s="26">
        <v>920</v>
      </c>
      <c r="AT8" s="26">
        <v>1310</v>
      </c>
      <c r="AU8" s="26">
        <v>1127</v>
      </c>
      <c r="AV8" s="26">
        <v>1195</v>
      </c>
      <c r="AW8" s="26">
        <v>1265</v>
      </c>
      <c r="AX8" s="26">
        <v>1361</v>
      </c>
      <c r="AY8" s="26">
        <v>1511</v>
      </c>
      <c r="AZ8" s="26">
        <v>1627</v>
      </c>
      <c r="BA8" s="26">
        <v>1793</v>
      </c>
      <c r="BB8" s="26">
        <v>1804</v>
      </c>
      <c r="BC8" s="26">
        <v>1801</v>
      </c>
      <c r="BD8" s="26">
        <v>1823</v>
      </c>
      <c r="BE8" s="26">
        <v>1817</v>
      </c>
      <c r="BF8" s="26">
        <v>1763</v>
      </c>
      <c r="BG8" s="26">
        <v>1766</v>
      </c>
      <c r="BH8" s="26">
        <v>1653</v>
      </c>
      <c r="BI8" s="26">
        <v>1780</v>
      </c>
      <c r="BJ8" s="26">
        <v>1793</v>
      </c>
      <c r="BK8" s="26">
        <v>1720</v>
      </c>
      <c r="BL8" s="26">
        <v>1910</v>
      </c>
      <c r="BM8" s="26">
        <v>1905</v>
      </c>
      <c r="BN8" s="26">
        <v>1988</v>
      </c>
      <c r="BO8" s="26">
        <v>1923</v>
      </c>
      <c r="BP8" s="26">
        <v>2063</v>
      </c>
      <c r="BQ8" s="26">
        <v>2047</v>
      </c>
      <c r="BR8" s="26">
        <v>2216</v>
      </c>
      <c r="BS8" s="26">
        <v>2202</v>
      </c>
      <c r="BT8" s="26">
        <v>2145</v>
      </c>
      <c r="BU8" s="26">
        <v>2275</v>
      </c>
      <c r="BV8" s="26">
        <v>2387</v>
      </c>
      <c r="BW8" s="26">
        <v>2078</v>
      </c>
      <c r="BX8" s="26">
        <v>2387</v>
      </c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</row>
    <row r="9" spans="1:147" x14ac:dyDescent="0.25">
      <c r="A9">
        <f>+A33+1</f>
        <v>23</v>
      </c>
      <c r="B9" t="s">
        <v>1370</v>
      </c>
      <c r="C9" t="s">
        <v>46</v>
      </c>
      <c r="D9" t="s">
        <v>1382</v>
      </c>
      <c r="G9" s="30">
        <f t="shared" si="0"/>
        <v>25283</v>
      </c>
      <c r="H9" s="30"/>
      <c r="I9" s="29">
        <f>SUM(AK9:AN9)</f>
        <v>966</v>
      </c>
      <c r="J9" s="29">
        <f>SUM(AO9:AR9)</f>
        <v>3177</v>
      </c>
      <c r="K9" s="29">
        <f>SUM(AS9:AV9)</f>
        <v>4478</v>
      </c>
      <c r="L9" s="29">
        <f>SUM(AW9:AZ9)</f>
        <v>4179</v>
      </c>
      <c r="M9" s="29">
        <f>SUM(BA9:BD9)</f>
        <v>3444</v>
      </c>
      <c r="N9" s="29">
        <f>SUM(BE9:BH9)</f>
        <v>2975</v>
      </c>
      <c r="O9" s="29">
        <f>SUM(BI9:BL9)</f>
        <v>2520</v>
      </c>
      <c r="P9" s="29">
        <f t="shared" si="1"/>
        <v>2184</v>
      </c>
      <c r="Q9" s="29">
        <f t="shared" si="2"/>
        <v>1360</v>
      </c>
      <c r="R9" s="29">
        <f t="shared" si="3"/>
        <v>0</v>
      </c>
      <c r="S9" s="29">
        <f t="shared" si="4"/>
        <v>0</v>
      </c>
      <c r="T9" s="29">
        <f t="shared" si="5"/>
        <v>0</v>
      </c>
      <c r="U9" s="29">
        <f t="shared" si="6"/>
        <v>0</v>
      </c>
      <c r="V9" s="29">
        <f t="shared" si="7"/>
        <v>0</v>
      </c>
      <c r="W9" s="29"/>
      <c r="X9" s="29"/>
      <c r="Y9" s="29"/>
      <c r="Z9" s="29"/>
      <c r="AA9" s="29"/>
      <c r="AK9" s="29">
        <v>45</v>
      </c>
      <c r="AL9" s="29">
        <v>158</v>
      </c>
      <c r="AM9" s="29">
        <v>302</v>
      </c>
      <c r="AN9" s="30">
        <v>461</v>
      </c>
      <c r="AO9" s="30">
        <v>563</v>
      </c>
      <c r="AP9" s="30">
        <v>769</v>
      </c>
      <c r="AQ9" s="30">
        <v>857</v>
      </c>
      <c r="AR9" s="30">
        <v>988</v>
      </c>
      <c r="AS9" s="30">
        <v>1060</v>
      </c>
      <c r="AT9">
        <v>1082</v>
      </c>
      <c r="AU9">
        <v>1160</v>
      </c>
      <c r="AV9">
        <v>1176</v>
      </c>
      <c r="AW9">
        <v>1206</v>
      </c>
      <c r="AX9">
        <v>1015</v>
      </c>
      <c r="AY9">
        <v>980</v>
      </c>
      <c r="AZ9">
        <v>978</v>
      </c>
      <c r="BA9">
        <v>958</v>
      </c>
      <c r="BB9">
        <v>824</v>
      </c>
      <c r="BC9">
        <v>816</v>
      </c>
      <c r="BD9">
        <v>846</v>
      </c>
      <c r="BE9">
        <v>852</v>
      </c>
      <c r="BF9">
        <v>673</v>
      </c>
      <c r="BG9">
        <v>706</v>
      </c>
      <c r="BH9">
        <v>744</v>
      </c>
      <c r="BI9">
        <v>756</v>
      </c>
      <c r="BJ9">
        <v>582</v>
      </c>
      <c r="BK9">
        <v>582</v>
      </c>
      <c r="BL9">
        <v>600</v>
      </c>
      <c r="BM9">
        <v>640</v>
      </c>
      <c r="BN9" s="30">
        <v>501</v>
      </c>
      <c r="BO9" s="30">
        <v>540</v>
      </c>
      <c r="BP9" s="30">
        <v>503</v>
      </c>
      <c r="BQ9" s="30">
        <v>517</v>
      </c>
      <c r="BR9" s="30">
        <v>403</v>
      </c>
      <c r="BS9" s="30">
        <v>440</v>
      </c>
      <c r="BT9" s="30"/>
      <c r="BU9" s="30"/>
      <c r="BV9" s="30"/>
    </row>
    <row r="10" spans="1:147" x14ac:dyDescent="0.25">
      <c r="A10" s="27">
        <v>2</v>
      </c>
      <c r="B10" t="s">
        <v>1397</v>
      </c>
      <c r="C10" t="s">
        <v>24</v>
      </c>
      <c r="D10" t="s">
        <v>1380</v>
      </c>
      <c r="F10" t="s">
        <v>1398</v>
      </c>
      <c r="G10" s="30">
        <f t="shared" si="0"/>
        <v>146735</v>
      </c>
      <c r="H10" s="30"/>
      <c r="I10" s="29">
        <f>SUM(AK10:AN10)</f>
        <v>865</v>
      </c>
      <c r="J10" s="29">
        <f>SUM(AO10:AR10)</f>
        <v>2208</v>
      </c>
      <c r="K10" s="29">
        <f>SUM(AS10:AV10)</f>
        <v>3796</v>
      </c>
      <c r="L10" s="29">
        <f>SUM(AW10:AZ10)</f>
        <v>5031</v>
      </c>
      <c r="M10" s="29">
        <f>SUM(BA10:BD10)</f>
        <v>6449</v>
      </c>
      <c r="N10" s="29">
        <f>SUM(BE10:BH10)</f>
        <v>7972</v>
      </c>
      <c r="O10" s="29">
        <f>SUM(BI10:BL10)</f>
        <v>9230</v>
      </c>
      <c r="P10" s="29">
        <f t="shared" si="1"/>
        <v>10862</v>
      </c>
      <c r="Q10" s="29">
        <f t="shared" si="2"/>
        <v>12187</v>
      </c>
      <c r="R10" s="29">
        <f t="shared" si="3"/>
        <v>12886</v>
      </c>
      <c r="S10" s="29">
        <f t="shared" si="4"/>
        <v>12675</v>
      </c>
      <c r="T10" s="29">
        <f t="shared" si="5"/>
        <v>12401</v>
      </c>
      <c r="U10" s="29">
        <f t="shared" si="6"/>
        <v>11434</v>
      </c>
      <c r="V10" s="29">
        <f t="shared" si="7"/>
        <v>10733</v>
      </c>
      <c r="W10" s="29">
        <f>SUM(CO10:CR10)</f>
        <v>9577</v>
      </c>
      <c r="X10" s="29">
        <f>SUM(CS10:CV10)</f>
        <v>3948</v>
      </c>
      <c r="Y10" s="29"/>
      <c r="Z10" s="29"/>
      <c r="AA10" s="29"/>
      <c r="AB10" s="27"/>
      <c r="AC10" s="27"/>
      <c r="AD10" s="27"/>
      <c r="AE10" s="27"/>
      <c r="AF10" s="27"/>
      <c r="AG10" s="27"/>
      <c r="AH10" s="27"/>
      <c r="AI10" s="27"/>
      <c r="AJ10" s="27"/>
      <c r="AK10" s="27">
        <v>49</v>
      </c>
      <c r="AL10" s="27">
        <v>151</v>
      </c>
      <c r="AM10" s="27">
        <v>257</v>
      </c>
      <c r="AN10" s="27">
        <v>408</v>
      </c>
      <c r="AO10" s="27">
        <v>375</v>
      </c>
      <c r="AP10" s="27">
        <v>536</v>
      </c>
      <c r="AQ10" s="27">
        <v>578</v>
      </c>
      <c r="AR10" s="27">
        <v>719</v>
      </c>
      <c r="AS10" s="27">
        <v>767</v>
      </c>
      <c r="AT10" s="27">
        <v>900</v>
      </c>
      <c r="AU10" s="27">
        <v>995</v>
      </c>
      <c r="AV10" s="27">
        <v>1134</v>
      </c>
      <c r="AW10" s="27">
        <v>1119</v>
      </c>
      <c r="AX10" s="27">
        <v>1262</v>
      </c>
      <c r="AY10" s="27">
        <v>1216</v>
      </c>
      <c r="AZ10" s="27">
        <v>1434</v>
      </c>
      <c r="BA10" s="27">
        <v>1467</v>
      </c>
      <c r="BB10" s="27">
        <v>1439</v>
      </c>
      <c r="BC10" s="27">
        <v>1660</v>
      </c>
      <c r="BD10" s="27">
        <v>1883</v>
      </c>
      <c r="BE10" s="27">
        <v>1852</v>
      </c>
      <c r="BF10" s="27">
        <v>1783</v>
      </c>
      <c r="BG10" s="27">
        <v>2020</v>
      </c>
      <c r="BH10" s="27">
        <v>2317</v>
      </c>
      <c r="BI10" s="27">
        <v>2099</v>
      </c>
      <c r="BJ10" s="27">
        <v>2015</v>
      </c>
      <c r="BK10" s="27">
        <v>2468</v>
      </c>
      <c r="BL10" s="27">
        <v>2648</v>
      </c>
      <c r="BM10" s="27">
        <v>2497</v>
      </c>
      <c r="BN10">
        <v>2363</v>
      </c>
      <c r="BO10">
        <v>2738</v>
      </c>
      <c r="BP10">
        <v>3264</v>
      </c>
      <c r="BQ10">
        <v>3075</v>
      </c>
      <c r="BR10">
        <v>2858</v>
      </c>
      <c r="BS10">
        <v>2897</v>
      </c>
      <c r="BT10">
        <v>3357</v>
      </c>
      <c r="BU10">
        <v>3107</v>
      </c>
      <c r="BV10">
        <v>3123</v>
      </c>
      <c r="BW10">
        <v>3321</v>
      </c>
      <c r="BX10">
        <v>3335</v>
      </c>
      <c r="BY10">
        <v>3358</v>
      </c>
      <c r="BZ10">
        <v>2719</v>
      </c>
      <c r="CA10">
        <v>3170</v>
      </c>
      <c r="CB10">
        <v>3428</v>
      </c>
      <c r="CC10">
        <v>3137</v>
      </c>
      <c r="CD10">
        <v>2976</v>
      </c>
      <c r="CE10">
        <v>3142</v>
      </c>
      <c r="CF10">
        <v>3146</v>
      </c>
      <c r="CG10">
        <v>2721</v>
      </c>
      <c r="CH10">
        <v>2685</v>
      </c>
      <c r="CI10">
        <v>2853</v>
      </c>
      <c r="CJ10">
        <v>3175</v>
      </c>
      <c r="CK10">
        <v>2757</v>
      </c>
      <c r="CL10">
        <v>2813</v>
      </c>
      <c r="CM10">
        <v>2534</v>
      </c>
      <c r="CN10">
        <v>2629</v>
      </c>
      <c r="CO10">
        <v>2385</v>
      </c>
      <c r="CP10">
        <v>2591</v>
      </c>
      <c r="CQ10">
        <v>2602</v>
      </c>
      <c r="CR10">
        <v>1999</v>
      </c>
      <c r="CS10">
        <v>1395</v>
      </c>
      <c r="CT10">
        <v>1220</v>
      </c>
      <c r="CU10">
        <v>749</v>
      </c>
      <c r="CV10">
        <v>584</v>
      </c>
      <c r="CW10">
        <v>626</v>
      </c>
      <c r="CX10">
        <v>545</v>
      </c>
      <c r="CY10">
        <v>533</v>
      </c>
      <c r="CZ10">
        <v>611</v>
      </c>
      <c r="DA10">
        <v>457</v>
      </c>
      <c r="DB10">
        <v>543</v>
      </c>
      <c r="DC10">
        <v>490</v>
      </c>
      <c r="DD10">
        <v>572</v>
      </c>
      <c r="DE10">
        <v>441</v>
      </c>
      <c r="DF10">
        <v>509</v>
      </c>
      <c r="DG10">
        <v>454</v>
      </c>
      <c r="DH10">
        <v>456</v>
      </c>
      <c r="DI10">
        <v>411</v>
      </c>
      <c r="DJ10">
        <v>461</v>
      </c>
      <c r="DK10">
        <v>422</v>
      </c>
      <c r="DL10">
        <v>464</v>
      </c>
      <c r="DM10">
        <v>404</v>
      </c>
      <c r="DN10">
        <v>445</v>
      </c>
      <c r="DO10">
        <v>491</v>
      </c>
      <c r="DP10">
        <v>574</v>
      </c>
      <c r="DQ10">
        <v>511</v>
      </c>
      <c r="DR10">
        <v>521</v>
      </c>
      <c r="DS10">
        <v>507</v>
      </c>
      <c r="DT10">
        <v>524</v>
      </c>
      <c r="DU10">
        <v>622</v>
      </c>
      <c r="DV10">
        <v>107</v>
      </c>
      <c r="DW10">
        <v>476</v>
      </c>
      <c r="DX10">
        <v>468</v>
      </c>
      <c r="DY10">
        <v>405</v>
      </c>
      <c r="DZ10">
        <v>431</v>
      </c>
    </row>
    <row r="11" spans="1:147" x14ac:dyDescent="0.25">
      <c r="A11">
        <f>+A30+1</f>
        <v>18</v>
      </c>
      <c r="B11" t="s">
        <v>1046</v>
      </c>
      <c r="C11" t="s">
        <v>1047</v>
      </c>
      <c r="D11" t="s">
        <v>1383</v>
      </c>
      <c r="G11" s="30">
        <f t="shared" si="0"/>
        <v>32529.591836734697</v>
      </c>
      <c r="H11" s="30"/>
      <c r="I11" s="29">
        <f>SUM(AK11:AN11)</f>
        <v>769.97084548104954</v>
      </c>
      <c r="J11" s="29">
        <f>SUM(AO11:AR11)</f>
        <v>2489.5043731778424</v>
      </c>
      <c r="K11" s="29">
        <f>SUM(AS11:AV11)</f>
        <v>3748.8338192419824</v>
      </c>
      <c r="L11" s="29">
        <f>SUM(AW11:AZ11)</f>
        <v>6704.3731778425645</v>
      </c>
      <c r="M11" s="29">
        <f>SUM(BA11:BD11)</f>
        <v>10948.542274052477</v>
      </c>
      <c r="N11" s="29">
        <f>SUM(BE11:BH11)</f>
        <v>7868.367346938775</v>
      </c>
      <c r="O11" s="29">
        <f>SUM(BI11:BL11)</f>
        <v>0</v>
      </c>
      <c r="P11" s="29">
        <f t="shared" si="1"/>
        <v>0</v>
      </c>
      <c r="Q11" s="29">
        <f t="shared" si="2"/>
        <v>0</v>
      </c>
      <c r="R11" s="29">
        <f t="shared" si="3"/>
        <v>0</v>
      </c>
      <c r="S11" s="29">
        <f t="shared" si="4"/>
        <v>0</v>
      </c>
      <c r="T11" s="29">
        <f t="shared" si="5"/>
        <v>0</v>
      </c>
      <c r="U11" s="29">
        <f t="shared" si="6"/>
        <v>0</v>
      </c>
      <c r="V11" s="29">
        <f t="shared" si="7"/>
        <v>0</v>
      </c>
      <c r="W11" s="29"/>
      <c r="X11" s="29"/>
      <c r="Y11" s="29"/>
      <c r="Z11" s="29"/>
      <c r="AA11" s="29"/>
      <c r="AK11" s="29">
        <f>540/$C$71</f>
        <v>78.717201166180757</v>
      </c>
      <c r="AL11" s="29">
        <f>992/$C$71</f>
        <v>144.60641399416909</v>
      </c>
      <c r="AM11" s="30">
        <f>1425/$C$71</f>
        <v>207.72594752186589</v>
      </c>
      <c r="AN11" s="30">
        <f>2325/$C$71</f>
        <v>338.92128279883383</v>
      </c>
      <c r="AO11" s="30">
        <f>3122/$C$71</f>
        <v>455.10204081632651</v>
      </c>
      <c r="AP11" s="30">
        <f>4365/$C$71</f>
        <v>636.29737609329447</v>
      </c>
      <c r="AQ11" s="30">
        <f>4755/$C$71</f>
        <v>693.14868804664718</v>
      </c>
      <c r="AR11" s="30">
        <f>4836/$C$71</f>
        <v>704.95626822157431</v>
      </c>
      <c r="AS11" s="30">
        <f>5432/$C$71</f>
        <v>791.83673469387747</v>
      </c>
      <c r="AT11" s="30">
        <f>6188/$C$71</f>
        <v>902.0408163265306</v>
      </c>
      <c r="AU11" s="30">
        <f>6662/$C$71</f>
        <v>971.13702623906704</v>
      </c>
      <c r="AV11" s="30">
        <f>7435/$C$71</f>
        <v>1083.8192419825073</v>
      </c>
      <c r="AW11" s="30">
        <f>8892/$C$71</f>
        <v>1296.2099125364432</v>
      </c>
      <c r="AX11" s="30">
        <f>10716/$C$71</f>
        <v>1562.0991253644313</v>
      </c>
      <c r="AY11" s="30">
        <f>12035/$C$71</f>
        <v>1754.3731778425656</v>
      </c>
      <c r="AZ11" s="30">
        <f>14349/$C$71</f>
        <v>2091.690962099125</v>
      </c>
      <c r="BA11" s="30">
        <f>16390/$C$71</f>
        <v>2389.2128279883382</v>
      </c>
      <c r="BB11" s="30">
        <f>16976/$C$71</f>
        <v>2474.6355685131193</v>
      </c>
      <c r="BC11" s="30">
        <f>19640/$C$71</f>
        <v>2862.9737609329445</v>
      </c>
      <c r="BD11" s="30">
        <f>22101/C71</f>
        <v>3221.7201166180757</v>
      </c>
      <c r="BE11" s="30">
        <f>23912/C71</f>
        <v>3485.7142857142853</v>
      </c>
      <c r="BF11" s="30">
        <f>30065/C71</f>
        <v>4382.6530612244896</v>
      </c>
      <c r="BN11" s="30"/>
      <c r="BO11" s="30"/>
      <c r="BP11" s="30"/>
      <c r="BQ11" s="30"/>
      <c r="BR11" s="30"/>
      <c r="BS11" s="30"/>
      <c r="BT11" s="30"/>
      <c r="BU11" s="30"/>
      <c r="BV11" s="30"/>
    </row>
    <row r="12" spans="1:147" x14ac:dyDescent="0.25">
      <c r="A12" s="27">
        <v>3</v>
      </c>
      <c r="B12" t="s">
        <v>1388</v>
      </c>
      <c r="C12" t="s">
        <v>1389</v>
      </c>
      <c r="D12" t="s">
        <v>1380</v>
      </c>
      <c r="E12">
        <v>2</v>
      </c>
      <c r="F12" t="s">
        <v>1390</v>
      </c>
      <c r="G12" s="29">
        <f>+G78+G79</f>
        <v>118779</v>
      </c>
      <c r="H12" s="29"/>
      <c r="I12" s="29">
        <f t="shared" ref="I12:V12" si="8">+I78+I79</f>
        <v>412</v>
      </c>
      <c r="J12" s="29">
        <f t="shared" si="8"/>
        <v>1562</v>
      </c>
      <c r="K12" s="29">
        <f t="shared" si="8"/>
        <v>3260</v>
      </c>
      <c r="L12" s="29">
        <f t="shared" si="8"/>
        <v>5005</v>
      </c>
      <c r="M12" s="29">
        <f t="shared" si="8"/>
        <v>7395</v>
      </c>
      <c r="N12" s="29">
        <f t="shared" si="8"/>
        <v>9872</v>
      </c>
      <c r="O12" s="29">
        <f t="shared" si="8"/>
        <v>12149</v>
      </c>
      <c r="P12" s="29">
        <f t="shared" si="8"/>
        <v>13881</v>
      </c>
      <c r="Q12" s="29">
        <f t="shared" si="8"/>
        <v>16330</v>
      </c>
      <c r="R12" s="29">
        <f t="shared" si="8"/>
        <v>18253</v>
      </c>
      <c r="S12" s="29">
        <f t="shared" si="8"/>
        <v>18766</v>
      </c>
      <c r="T12" s="29">
        <f t="shared" si="8"/>
        <v>13927</v>
      </c>
      <c r="U12" s="29">
        <f t="shared" si="8"/>
        <v>0</v>
      </c>
      <c r="V12" s="29">
        <f t="shared" si="8"/>
        <v>0</v>
      </c>
      <c r="W12" s="29"/>
      <c r="X12" s="29"/>
      <c r="Y12" s="29"/>
      <c r="Z12" s="29"/>
      <c r="AA12" s="29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</row>
    <row r="13" spans="1:147" x14ac:dyDescent="0.25">
      <c r="A13">
        <f>+A27+1</f>
        <v>14</v>
      </c>
      <c r="B13" t="s">
        <v>1376</v>
      </c>
      <c r="C13" t="s">
        <v>24</v>
      </c>
      <c r="D13" t="s">
        <v>1379</v>
      </c>
      <c r="E13">
        <v>1</v>
      </c>
      <c r="G13" s="30">
        <f t="shared" ref="G13:G31" si="9">SUM(AK13:GH13)</f>
        <v>37946</v>
      </c>
      <c r="H13" s="30"/>
      <c r="I13" s="29">
        <f t="shared" ref="I13:I31" si="10">SUM(AK13:AN13)</f>
        <v>723</v>
      </c>
      <c r="J13" s="29">
        <f t="shared" ref="J13:J31" si="11">SUM(AO13:AR13)</f>
        <v>2136</v>
      </c>
      <c r="K13" s="29">
        <f t="shared" ref="K13:K18" si="12">SUM(AS13:AV13)</f>
        <v>3126</v>
      </c>
      <c r="L13" s="29">
        <f t="shared" ref="L13:L31" si="13">SUM(AW13:AZ13)</f>
        <v>4118</v>
      </c>
      <c r="M13" s="29">
        <f t="shared" ref="M13:M31" si="14">SUM(BA13:BD13)</f>
        <v>4960</v>
      </c>
      <c r="N13" s="29">
        <f t="shared" ref="N13:N18" si="15">SUM(BE13:BH13)</f>
        <v>5390</v>
      </c>
      <c r="O13" s="29">
        <f t="shared" ref="O13:O18" si="16">SUM(BI13:BL13)</f>
        <v>5437</v>
      </c>
      <c r="P13" s="29">
        <f t="shared" ref="P13:P18" si="17">SUM(BM13:BP13)</f>
        <v>5119</v>
      </c>
      <c r="Q13" s="29">
        <f t="shared" ref="Q13:Q18" si="18">SUM(BQ13:BT13)</f>
        <v>4753</v>
      </c>
      <c r="R13" s="29">
        <f t="shared" ref="R13:R18" si="19">SUM(BU13:BX13)</f>
        <v>2184</v>
      </c>
      <c r="S13" s="29">
        <f t="shared" ref="S13:S18" si="20">SUM(BY13:CB13)</f>
        <v>0</v>
      </c>
      <c r="T13" s="29">
        <f t="shared" ref="T13:T18" si="21">SUM(CC13:CF13)</f>
        <v>0</v>
      </c>
      <c r="U13" s="29">
        <f t="shared" ref="U13:U18" si="22">SUM(CG13:CJ13)</f>
        <v>0</v>
      </c>
      <c r="V13" s="29">
        <f t="shared" ref="V13:V18" si="23">SUM(CK13:CN13)</f>
        <v>0</v>
      </c>
      <c r="W13" s="29"/>
      <c r="X13" s="29"/>
      <c r="Y13" s="29"/>
      <c r="Z13" s="29"/>
      <c r="AA13" s="29"/>
      <c r="AK13" s="29">
        <v>38</v>
      </c>
      <c r="AL13" s="29">
        <v>140</v>
      </c>
      <c r="AM13" s="29">
        <v>230</v>
      </c>
      <c r="AN13" s="29">
        <v>315</v>
      </c>
      <c r="AO13" s="29">
        <v>429</v>
      </c>
      <c r="AP13" s="29">
        <v>514</v>
      </c>
      <c r="AQ13" s="29">
        <v>550</v>
      </c>
      <c r="AR13" s="29">
        <v>643</v>
      </c>
      <c r="AS13" s="29">
        <v>679</v>
      </c>
      <c r="AT13" s="29">
        <v>853</v>
      </c>
      <c r="AU13" s="29">
        <v>878</v>
      </c>
      <c r="AV13" s="29">
        <v>716</v>
      </c>
      <c r="AW13" s="29">
        <v>933</v>
      </c>
      <c r="AX13" s="29">
        <v>1027</v>
      </c>
      <c r="AY13" s="29">
        <v>1025</v>
      </c>
      <c r="AZ13" s="29">
        <v>1133</v>
      </c>
      <c r="BA13" s="29">
        <v>1133</v>
      </c>
      <c r="BB13" s="29">
        <v>1261</v>
      </c>
      <c r="BC13" s="29">
        <v>1283</v>
      </c>
      <c r="BD13" s="29">
        <v>1283</v>
      </c>
      <c r="BE13" s="29">
        <v>1248</v>
      </c>
      <c r="BF13" s="29">
        <v>1349</v>
      </c>
      <c r="BG13" s="29">
        <v>1357</v>
      </c>
      <c r="BH13" s="29">
        <v>1436</v>
      </c>
      <c r="BI13" s="29">
        <v>1254</v>
      </c>
      <c r="BJ13" s="29">
        <v>1404</v>
      </c>
      <c r="BK13" s="29">
        <v>1381</v>
      </c>
      <c r="BL13" s="29">
        <v>1398</v>
      </c>
      <c r="BM13" s="29">
        <v>1237</v>
      </c>
      <c r="BN13" s="29">
        <v>1320</v>
      </c>
      <c r="BO13" s="29">
        <v>1283</v>
      </c>
      <c r="BP13" s="29">
        <v>1279</v>
      </c>
      <c r="BQ13" s="29">
        <v>1144</v>
      </c>
      <c r="BR13" s="29">
        <v>1247</v>
      </c>
      <c r="BS13" s="29">
        <v>1244</v>
      </c>
      <c r="BT13" s="29">
        <v>1118</v>
      </c>
      <c r="BU13" s="29">
        <v>1054</v>
      </c>
      <c r="BV13" s="29">
        <v>1130</v>
      </c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</row>
    <row r="14" spans="1:147" s="24" customFormat="1" ht="13" x14ac:dyDescent="0.3">
      <c r="A14" s="27">
        <v>2</v>
      </c>
      <c r="B14" t="s">
        <v>653</v>
      </c>
      <c r="C14" t="s">
        <v>28</v>
      </c>
      <c r="D14" t="s">
        <v>1379</v>
      </c>
      <c r="E14">
        <v>2</v>
      </c>
      <c r="F14" t="s">
        <v>1778</v>
      </c>
      <c r="G14" s="30">
        <f>SUM(AK14:GH14)</f>
        <v>123247</v>
      </c>
      <c r="H14" s="30"/>
      <c r="I14" s="29">
        <f t="shared" si="10"/>
        <v>247</v>
      </c>
      <c r="J14" s="29">
        <f t="shared" si="11"/>
        <v>936</v>
      </c>
      <c r="K14" s="29">
        <f t="shared" si="12"/>
        <v>2304</v>
      </c>
      <c r="L14" s="29">
        <f t="shared" si="13"/>
        <v>5475</v>
      </c>
      <c r="M14" s="29">
        <f t="shared" si="14"/>
        <v>8943</v>
      </c>
      <c r="N14" s="29">
        <f t="shared" si="15"/>
        <v>12853</v>
      </c>
      <c r="O14" s="29">
        <f t="shared" si="16"/>
        <v>15783</v>
      </c>
      <c r="P14" s="29">
        <f t="shared" si="17"/>
        <v>19172</v>
      </c>
      <c r="Q14" s="29">
        <f t="shared" si="18"/>
        <v>22942</v>
      </c>
      <c r="R14" s="26">
        <f t="shared" si="19"/>
        <v>27163</v>
      </c>
      <c r="S14" s="29">
        <f t="shared" si="20"/>
        <v>7429</v>
      </c>
      <c r="T14" s="29">
        <f t="shared" si="21"/>
        <v>0</v>
      </c>
      <c r="U14" s="29">
        <f t="shared" si="22"/>
        <v>0</v>
      </c>
      <c r="V14" s="29">
        <f t="shared" si="23"/>
        <v>0</v>
      </c>
      <c r="W14" s="29"/>
      <c r="X14" s="29"/>
      <c r="Y14" s="29"/>
      <c r="Z14" s="29"/>
      <c r="AA14" s="29"/>
      <c r="AK14" s="29">
        <v>4</v>
      </c>
      <c r="AL14" s="29">
        <v>50</v>
      </c>
      <c r="AM14" s="29">
        <v>83</v>
      </c>
      <c r="AN14">
        <v>110</v>
      </c>
      <c r="AO14">
        <v>159</v>
      </c>
      <c r="AP14" s="30">
        <v>214</v>
      </c>
      <c r="AQ14" s="30">
        <v>249</v>
      </c>
      <c r="AR14" s="30">
        <v>314</v>
      </c>
      <c r="AS14" s="30">
        <v>356</v>
      </c>
      <c r="AT14" s="30">
        <v>483</v>
      </c>
      <c r="AU14">
        <v>584</v>
      </c>
      <c r="AV14">
        <v>881</v>
      </c>
      <c r="AW14" s="30">
        <v>1047</v>
      </c>
      <c r="AX14" s="30">
        <v>1297</v>
      </c>
      <c r="AY14" s="30">
        <v>1464</v>
      </c>
      <c r="AZ14" s="30">
        <v>1667</v>
      </c>
      <c r="BA14" s="30">
        <v>1889</v>
      </c>
      <c r="BB14" s="30">
        <v>2151</v>
      </c>
      <c r="BC14" s="30">
        <v>2269</v>
      </c>
      <c r="BD14" s="30">
        <v>2634</v>
      </c>
      <c r="BE14" s="30">
        <v>3070</v>
      </c>
      <c r="BF14" s="30">
        <v>3111</v>
      </c>
      <c r="BG14" s="30">
        <v>3284</v>
      </c>
      <c r="BH14" s="30">
        <v>3388</v>
      </c>
      <c r="BI14" s="30">
        <v>3715</v>
      </c>
      <c r="BJ14" s="30">
        <v>3993</v>
      </c>
      <c r="BK14" s="30">
        <v>3899</v>
      </c>
      <c r="BL14" s="30">
        <v>4176</v>
      </c>
      <c r="BM14" s="30">
        <v>4534</v>
      </c>
      <c r="BN14" s="30">
        <v>4577</v>
      </c>
      <c r="BO14" s="30">
        <v>4809</v>
      </c>
      <c r="BP14" s="30">
        <v>5252</v>
      </c>
      <c r="BQ14" s="30">
        <v>5426</v>
      </c>
      <c r="BR14" s="30">
        <v>5450</v>
      </c>
      <c r="BS14" s="30">
        <v>5795</v>
      </c>
      <c r="BT14" s="30">
        <v>6271</v>
      </c>
      <c r="BU14" s="30">
        <v>6338</v>
      </c>
      <c r="BV14" s="30">
        <v>6608</v>
      </c>
      <c r="BW14" s="30">
        <v>6947</v>
      </c>
      <c r="BX14" s="30">
        <v>7270</v>
      </c>
      <c r="BY14" s="30">
        <v>7429</v>
      </c>
    </row>
    <row r="15" spans="1:147" x14ac:dyDescent="0.25">
      <c r="A15">
        <f>+A32+1</f>
        <v>7</v>
      </c>
      <c r="B15" t="s">
        <v>657</v>
      </c>
      <c r="C15" t="s">
        <v>28</v>
      </c>
      <c r="D15" t="s">
        <v>1383</v>
      </c>
      <c r="E15">
        <v>1</v>
      </c>
      <c r="G15" s="30">
        <f t="shared" si="9"/>
        <v>74776.5</v>
      </c>
      <c r="H15" s="30"/>
      <c r="I15" s="29">
        <f t="shared" si="10"/>
        <v>589</v>
      </c>
      <c r="J15" s="29">
        <f t="shared" si="11"/>
        <v>1600.5</v>
      </c>
      <c r="K15" s="29">
        <f t="shared" si="12"/>
        <v>2095</v>
      </c>
      <c r="L15" s="29">
        <f t="shared" si="13"/>
        <v>3327</v>
      </c>
      <c r="M15" s="29">
        <f t="shared" si="14"/>
        <v>4488</v>
      </c>
      <c r="N15" s="29">
        <f t="shared" si="15"/>
        <v>5589</v>
      </c>
      <c r="O15" s="29">
        <f t="shared" si="16"/>
        <v>5912</v>
      </c>
      <c r="P15" s="29">
        <f t="shared" si="17"/>
        <v>6073</v>
      </c>
      <c r="Q15" s="29">
        <f t="shared" si="18"/>
        <v>6172</v>
      </c>
      <c r="R15" s="29">
        <f t="shared" si="19"/>
        <v>6087</v>
      </c>
      <c r="S15" s="29">
        <f t="shared" si="20"/>
        <v>5937</v>
      </c>
      <c r="T15" s="29">
        <f t="shared" si="21"/>
        <v>5907</v>
      </c>
      <c r="U15" s="29">
        <f t="shared" si="22"/>
        <v>5483</v>
      </c>
      <c r="V15" s="29">
        <f t="shared" si="23"/>
        <v>5346</v>
      </c>
      <c r="W15" s="29"/>
      <c r="X15" s="29"/>
      <c r="Y15" s="29"/>
      <c r="Z15" s="29"/>
      <c r="AA15" s="29"/>
      <c r="AK15" s="29">
        <f t="shared" ref="AK15:BP15" si="24">AK80+AK81</f>
        <v>66</v>
      </c>
      <c r="AL15" s="29">
        <f t="shared" si="24"/>
        <v>106</v>
      </c>
      <c r="AM15" s="29">
        <f t="shared" si="24"/>
        <v>174</v>
      </c>
      <c r="AN15" s="29">
        <f t="shared" si="24"/>
        <v>243</v>
      </c>
      <c r="AO15" s="29">
        <f t="shared" si="24"/>
        <v>272</v>
      </c>
      <c r="AP15" s="29">
        <f t="shared" si="24"/>
        <v>373</v>
      </c>
      <c r="AQ15" s="29">
        <f t="shared" si="24"/>
        <v>448.5</v>
      </c>
      <c r="AR15" s="29">
        <f t="shared" si="24"/>
        <v>507</v>
      </c>
      <c r="AS15" s="29">
        <f t="shared" si="24"/>
        <v>155</v>
      </c>
      <c r="AT15" s="29">
        <f t="shared" si="24"/>
        <v>584</v>
      </c>
      <c r="AU15" s="29">
        <f t="shared" si="24"/>
        <v>664</v>
      </c>
      <c r="AV15" s="29">
        <f t="shared" si="24"/>
        <v>692</v>
      </c>
      <c r="AW15" s="29">
        <f t="shared" si="24"/>
        <v>776</v>
      </c>
      <c r="AX15" s="29">
        <f t="shared" si="24"/>
        <v>758</v>
      </c>
      <c r="AY15" s="29">
        <f t="shared" si="24"/>
        <v>888</v>
      </c>
      <c r="AZ15" s="29">
        <f t="shared" si="24"/>
        <v>905</v>
      </c>
      <c r="BA15" s="29">
        <f t="shared" si="24"/>
        <v>996</v>
      </c>
      <c r="BB15" s="29">
        <f t="shared" si="24"/>
        <v>1089</v>
      </c>
      <c r="BC15" s="29">
        <f t="shared" si="24"/>
        <v>1165</v>
      </c>
      <c r="BD15" s="29">
        <f t="shared" si="24"/>
        <v>1238</v>
      </c>
      <c r="BE15" s="29">
        <f t="shared" si="24"/>
        <v>1371</v>
      </c>
      <c r="BF15" s="29">
        <f t="shared" si="24"/>
        <v>1324</v>
      </c>
      <c r="BG15" s="29">
        <f t="shared" si="24"/>
        <v>1510</v>
      </c>
      <c r="BH15" s="29">
        <f t="shared" si="24"/>
        <v>1384</v>
      </c>
      <c r="BI15" s="29">
        <f t="shared" si="24"/>
        <v>1608</v>
      </c>
      <c r="BJ15" s="29">
        <f t="shared" si="24"/>
        <v>1326</v>
      </c>
      <c r="BK15" s="29">
        <f t="shared" si="24"/>
        <v>1575</v>
      </c>
      <c r="BL15" s="29">
        <f t="shared" si="24"/>
        <v>1403</v>
      </c>
      <c r="BM15" s="29">
        <f t="shared" si="24"/>
        <v>1640</v>
      </c>
      <c r="BN15" s="29">
        <f t="shared" si="24"/>
        <v>1363</v>
      </c>
      <c r="BO15" s="29">
        <f t="shared" si="24"/>
        <v>1628</v>
      </c>
      <c r="BP15" s="29">
        <f t="shared" si="24"/>
        <v>1442</v>
      </c>
      <c r="BQ15" s="29">
        <f t="shared" ref="BQ15:CZ15" si="25">BQ80+BQ81</f>
        <v>1636</v>
      </c>
      <c r="BR15" s="29">
        <f t="shared" si="25"/>
        <v>1446</v>
      </c>
      <c r="BS15" s="29">
        <f t="shared" si="25"/>
        <v>1570</v>
      </c>
      <c r="BT15" s="29">
        <f t="shared" si="25"/>
        <v>1520</v>
      </c>
      <c r="BU15" s="29">
        <f t="shared" si="25"/>
        <v>1490</v>
      </c>
      <c r="BV15" s="29">
        <f t="shared" si="25"/>
        <v>1454</v>
      </c>
      <c r="BW15" s="29">
        <f t="shared" si="25"/>
        <v>1641</v>
      </c>
      <c r="BX15" s="29">
        <f t="shared" si="25"/>
        <v>1502</v>
      </c>
      <c r="BY15" s="29">
        <f t="shared" si="25"/>
        <v>1495</v>
      </c>
      <c r="BZ15" s="29">
        <f t="shared" si="25"/>
        <v>1352</v>
      </c>
      <c r="CA15" s="29">
        <f t="shared" si="25"/>
        <v>1534</v>
      </c>
      <c r="CB15" s="29">
        <f t="shared" si="25"/>
        <v>1556</v>
      </c>
      <c r="CC15" s="29">
        <f t="shared" si="25"/>
        <v>1523</v>
      </c>
      <c r="CD15" s="29">
        <f t="shared" si="25"/>
        <v>1443</v>
      </c>
      <c r="CE15" s="29">
        <f t="shared" si="25"/>
        <v>1484</v>
      </c>
      <c r="CF15" s="29">
        <f t="shared" si="25"/>
        <v>1457</v>
      </c>
      <c r="CG15" s="29">
        <f t="shared" si="25"/>
        <v>1463</v>
      </c>
      <c r="CH15" s="29">
        <f t="shared" si="25"/>
        <v>1327</v>
      </c>
      <c r="CI15" s="29">
        <f t="shared" si="25"/>
        <v>1383</v>
      </c>
      <c r="CJ15" s="29">
        <f t="shared" si="25"/>
        <v>1310</v>
      </c>
      <c r="CK15" s="29">
        <f t="shared" si="25"/>
        <v>1433</v>
      </c>
      <c r="CL15" s="29">
        <f t="shared" si="25"/>
        <v>1280</v>
      </c>
      <c r="CM15" s="29">
        <f t="shared" si="25"/>
        <v>1326</v>
      </c>
      <c r="CN15" s="29">
        <f t="shared" si="25"/>
        <v>1307</v>
      </c>
      <c r="CO15" s="29">
        <f t="shared" si="25"/>
        <v>1334</v>
      </c>
      <c r="CP15" s="29">
        <f t="shared" si="25"/>
        <v>1296</v>
      </c>
      <c r="CQ15" s="29">
        <f t="shared" si="25"/>
        <v>1298</v>
      </c>
      <c r="CR15" s="29">
        <f t="shared" si="25"/>
        <v>1306</v>
      </c>
      <c r="CS15" s="29">
        <f t="shared" si="25"/>
        <v>1354</v>
      </c>
      <c r="CT15" s="29">
        <f t="shared" si="25"/>
        <v>1196</v>
      </c>
      <c r="CU15" s="29">
        <f t="shared" si="25"/>
        <v>1109</v>
      </c>
      <c r="CV15" s="29">
        <f t="shared" si="25"/>
        <v>717</v>
      </c>
      <c r="CW15" s="29">
        <f t="shared" si="25"/>
        <v>561</v>
      </c>
      <c r="CX15" s="29">
        <f t="shared" si="25"/>
        <v>0</v>
      </c>
      <c r="CY15" s="29">
        <f t="shared" si="25"/>
        <v>0</v>
      </c>
      <c r="CZ15" s="29">
        <f t="shared" si="25"/>
        <v>0</v>
      </c>
    </row>
    <row r="16" spans="1:147" s="24" customFormat="1" ht="13" x14ac:dyDescent="0.3">
      <c r="A16">
        <f>+A15+1</f>
        <v>8</v>
      </c>
      <c r="B16" t="s">
        <v>1411</v>
      </c>
      <c r="C16" t="s">
        <v>20</v>
      </c>
      <c r="D16" t="s">
        <v>1385</v>
      </c>
      <c r="E16"/>
      <c r="F16"/>
      <c r="G16" s="30">
        <f t="shared" si="9"/>
        <v>63086.7</v>
      </c>
      <c r="H16" s="30"/>
      <c r="I16" s="29">
        <f t="shared" si="10"/>
        <v>550.20000000000005</v>
      </c>
      <c r="J16" s="29">
        <f t="shared" si="11"/>
        <v>1278</v>
      </c>
      <c r="K16" s="29">
        <f t="shared" si="12"/>
        <v>1726.1</v>
      </c>
      <c r="L16" s="29">
        <f t="shared" si="13"/>
        <v>2246.6</v>
      </c>
      <c r="M16" s="29">
        <f t="shared" si="14"/>
        <v>2882.3999999999996</v>
      </c>
      <c r="N16" s="29">
        <f t="shared" si="15"/>
        <v>3604.1000000000004</v>
      </c>
      <c r="O16" s="29">
        <f t="shared" si="16"/>
        <v>4128.1000000000004</v>
      </c>
      <c r="P16" s="29">
        <f t="shared" si="17"/>
        <v>4479.8</v>
      </c>
      <c r="Q16" s="29">
        <f t="shared" si="18"/>
        <v>4255.6000000000004</v>
      </c>
      <c r="R16" s="29">
        <f t="shared" si="19"/>
        <v>4239.3</v>
      </c>
      <c r="S16" s="29">
        <f t="shared" si="20"/>
        <v>4643.6000000000004</v>
      </c>
      <c r="T16" s="29">
        <f t="shared" si="21"/>
        <v>4823.3</v>
      </c>
      <c r="U16" s="29">
        <f t="shared" si="22"/>
        <v>4695.8999999999996</v>
      </c>
      <c r="V16" s="29">
        <f t="shared" si="23"/>
        <v>5057.1000000000004</v>
      </c>
      <c r="W16" s="29"/>
      <c r="X16" s="29"/>
      <c r="Y16" s="29"/>
      <c r="Z16" s="29"/>
      <c r="AA16" s="29"/>
      <c r="AB16"/>
      <c r="AC16"/>
      <c r="AD16"/>
      <c r="AE16"/>
      <c r="AF16"/>
      <c r="AG16"/>
      <c r="AH16"/>
      <c r="AI16"/>
      <c r="AJ16"/>
      <c r="AK16" s="29">
        <v>87</v>
      </c>
      <c r="AL16" s="29">
        <v>105.4</v>
      </c>
      <c r="AM16" s="29">
        <v>156</v>
      </c>
      <c r="AN16" s="30">
        <v>201.8</v>
      </c>
      <c r="AO16">
        <v>267.00000000000011</v>
      </c>
      <c r="AP16">
        <v>287</v>
      </c>
      <c r="AQ16">
        <v>328</v>
      </c>
      <c r="AR16">
        <v>396</v>
      </c>
      <c r="AS16">
        <v>429</v>
      </c>
      <c r="AT16">
        <v>401.2</v>
      </c>
      <c r="AU16">
        <v>393</v>
      </c>
      <c r="AV16">
        <v>502.9</v>
      </c>
      <c r="AW16">
        <v>592.89999999999986</v>
      </c>
      <c r="AX16">
        <v>458.1</v>
      </c>
      <c r="AY16">
        <v>550.70000000000005</v>
      </c>
      <c r="AZ16">
        <v>644.9</v>
      </c>
      <c r="BA16">
        <v>696.29999999999984</v>
      </c>
      <c r="BB16">
        <v>637</v>
      </c>
      <c r="BC16">
        <v>736.6</v>
      </c>
      <c r="BD16">
        <v>812.5</v>
      </c>
      <c r="BE16">
        <v>903.90000000000009</v>
      </c>
      <c r="BF16">
        <v>819.4</v>
      </c>
      <c r="BG16">
        <v>906.8</v>
      </c>
      <c r="BH16">
        <v>974</v>
      </c>
      <c r="BI16">
        <v>989.80000000000007</v>
      </c>
      <c r="BJ16">
        <v>958.3</v>
      </c>
      <c r="BK16">
        <v>1050</v>
      </c>
      <c r="BL16">
        <v>1130</v>
      </c>
      <c r="BM16">
        <v>1145.5</v>
      </c>
      <c r="BN16" s="30">
        <v>1098.3</v>
      </c>
      <c r="BO16" s="30">
        <v>1212.3</v>
      </c>
      <c r="BP16" s="30">
        <v>1023.7</v>
      </c>
      <c r="BQ16" s="30">
        <v>1085.5</v>
      </c>
      <c r="BR16" s="30">
        <v>1038.2</v>
      </c>
      <c r="BS16" s="30">
        <v>1096.8</v>
      </c>
      <c r="BT16" s="30">
        <v>1035.0999999999999</v>
      </c>
      <c r="BU16" s="30">
        <v>1032.2</v>
      </c>
      <c r="BV16" s="30">
        <v>1007.4</v>
      </c>
      <c r="BW16" s="30">
        <v>1115</v>
      </c>
      <c r="BX16" s="30">
        <v>1084.7</v>
      </c>
      <c r="BY16" s="30">
        <v>1156.5</v>
      </c>
      <c r="BZ16">
        <v>1108</v>
      </c>
      <c r="CA16">
        <v>1213</v>
      </c>
      <c r="CB16">
        <v>1166.0999999999999</v>
      </c>
      <c r="CC16">
        <v>1273.9000000000001</v>
      </c>
      <c r="CD16">
        <v>1120.2</v>
      </c>
      <c r="CE16">
        <v>1239.7</v>
      </c>
      <c r="CF16">
        <v>1189.5</v>
      </c>
      <c r="CG16">
        <v>1146.7</v>
      </c>
      <c r="CH16">
        <v>1123</v>
      </c>
      <c r="CI16">
        <v>1203.2</v>
      </c>
      <c r="CJ16">
        <v>1223</v>
      </c>
      <c r="CK16">
        <v>1366.5</v>
      </c>
      <c r="CL16">
        <v>1215</v>
      </c>
      <c r="CM16">
        <v>1262.9000000000001</v>
      </c>
      <c r="CN16">
        <v>1212.7</v>
      </c>
      <c r="CO16">
        <v>1335.8</v>
      </c>
      <c r="CP16">
        <v>1281.9000000000001</v>
      </c>
      <c r="CQ16">
        <v>1408.3</v>
      </c>
      <c r="CR16">
        <v>1182.3</v>
      </c>
      <c r="CS16">
        <v>749.6</v>
      </c>
      <c r="CT16">
        <v>562.70000000000005</v>
      </c>
      <c r="CU16">
        <v>379.5</v>
      </c>
      <c r="CV16">
        <v>374.5</v>
      </c>
      <c r="CW16">
        <v>384.8</v>
      </c>
      <c r="CX16">
        <v>284.8</v>
      </c>
      <c r="CY16">
        <v>283.2</v>
      </c>
      <c r="CZ16">
        <v>278.7</v>
      </c>
      <c r="DA16">
        <v>348.2</v>
      </c>
      <c r="DB16">
        <v>283.10000000000002</v>
      </c>
      <c r="DC16">
        <v>243.8</v>
      </c>
      <c r="DD16">
        <v>257.39999999999998</v>
      </c>
      <c r="DE16">
        <v>253.1</v>
      </c>
      <c r="DF16">
        <v>219.5</v>
      </c>
      <c r="DG16">
        <v>253.7</v>
      </c>
      <c r="DH16">
        <v>237.9</v>
      </c>
      <c r="DI16">
        <v>229.1</v>
      </c>
      <c r="DJ16">
        <v>212.8</v>
      </c>
      <c r="DK16">
        <v>210.7</v>
      </c>
      <c r="DL16">
        <v>148.9</v>
      </c>
      <c r="DM16">
        <v>153</v>
      </c>
      <c r="DN16">
        <v>147.5</v>
      </c>
      <c r="DO16">
        <v>140.80000000000001</v>
      </c>
      <c r="DP16">
        <v>140.6</v>
      </c>
      <c r="DQ16">
        <v>152.19999999999999</v>
      </c>
      <c r="DR16">
        <v>122.6</v>
      </c>
      <c r="DS16">
        <v>128</v>
      </c>
      <c r="DT16">
        <v>109.9</v>
      </c>
      <c r="DU16">
        <v>110.8</v>
      </c>
      <c r="DV16">
        <v>107.2</v>
      </c>
      <c r="DW16">
        <v>104.3</v>
      </c>
      <c r="DX16">
        <v>105.4</v>
      </c>
      <c r="DY16">
        <v>101.79999999999994</v>
      </c>
      <c r="DZ16">
        <v>98.4</v>
      </c>
      <c r="EA16">
        <v>96.6</v>
      </c>
      <c r="EB16">
        <v>112.7</v>
      </c>
      <c r="EC16">
        <v>98.900000000000034</v>
      </c>
      <c r="ED16" s="24">
        <v>95.8</v>
      </c>
      <c r="EE16" s="24">
        <v>95.4</v>
      </c>
      <c r="EF16" s="24">
        <v>101.7</v>
      </c>
      <c r="EG16" s="24">
        <v>137.40000000000003</v>
      </c>
      <c r="EH16" s="24">
        <v>93.1</v>
      </c>
      <c r="EI16" s="24">
        <v>87.3</v>
      </c>
      <c r="EJ16" s="24">
        <v>81.400000000000006</v>
      </c>
      <c r="EK16" s="24">
        <v>75.099999999999994</v>
      </c>
      <c r="EL16" s="24">
        <v>106.5</v>
      </c>
      <c r="EM16" s="24">
        <v>106.5</v>
      </c>
      <c r="EN16" s="24">
        <v>61.400000000000091</v>
      </c>
      <c r="EO16" s="24">
        <v>0</v>
      </c>
      <c r="EP16" s="24">
        <v>0</v>
      </c>
      <c r="EQ16" s="24">
        <v>0</v>
      </c>
    </row>
    <row r="17" spans="1:148" x14ac:dyDescent="0.25">
      <c r="A17">
        <f>+A23+1</f>
        <v>28</v>
      </c>
      <c r="B17" t="s">
        <v>1371</v>
      </c>
      <c r="C17" t="s">
        <v>46</v>
      </c>
      <c r="D17" t="s">
        <v>1404</v>
      </c>
      <c r="G17" s="30">
        <f t="shared" si="9"/>
        <v>20663.11</v>
      </c>
      <c r="H17" s="30"/>
      <c r="I17" s="29">
        <f t="shared" si="10"/>
        <v>8690.11</v>
      </c>
      <c r="J17" s="29">
        <f t="shared" si="11"/>
        <v>5461</v>
      </c>
      <c r="K17" s="29">
        <f t="shared" si="12"/>
        <v>5007</v>
      </c>
      <c r="L17" s="29">
        <f t="shared" si="13"/>
        <v>1388</v>
      </c>
      <c r="M17" s="29">
        <f t="shared" si="14"/>
        <v>117</v>
      </c>
      <c r="N17" s="29">
        <f t="shared" si="15"/>
        <v>0</v>
      </c>
      <c r="O17" s="29">
        <f t="shared" si="16"/>
        <v>0</v>
      </c>
      <c r="P17" s="29">
        <f t="shared" si="17"/>
        <v>0</v>
      </c>
      <c r="Q17" s="29">
        <f t="shared" si="18"/>
        <v>0</v>
      </c>
      <c r="R17" s="29">
        <f t="shared" si="19"/>
        <v>0</v>
      </c>
      <c r="S17" s="29">
        <f t="shared" si="20"/>
        <v>0</v>
      </c>
      <c r="T17" s="29">
        <f t="shared" si="21"/>
        <v>0</v>
      </c>
      <c r="U17" s="29">
        <f t="shared" si="22"/>
        <v>0</v>
      </c>
      <c r="V17" s="29">
        <f t="shared" si="23"/>
        <v>0</v>
      </c>
      <c r="W17" s="29"/>
      <c r="X17" s="29"/>
      <c r="Y17" s="29"/>
      <c r="Z17" s="29"/>
      <c r="AA17" s="29"/>
      <c r="AK17" s="29">
        <v>139.435</v>
      </c>
      <c r="AL17" s="29">
        <v>2274.3490000000002</v>
      </c>
      <c r="AM17" s="29">
        <v>3480.326</v>
      </c>
      <c r="AN17">
        <v>2796</v>
      </c>
      <c r="AO17">
        <v>1732</v>
      </c>
      <c r="AP17">
        <v>972</v>
      </c>
      <c r="AQ17">
        <v>1291</v>
      </c>
      <c r="AR17">
        <v>1466</v>
      </c>
      <c r="AS17">
        <v>1547</v>
      </c>
      <c r="AT17">
        <v>1277</v>
      </c>
      <c r="AU17">
        <v>1358</v>
      </c>
      <c r="AV17">
        <v>825</v>
      </c>
      <c r="AW17">
        <v>541</v>
      </c>
      <c r="AX17">
        <v>313</v>
      </c>
      <c r="AY17">
        <v>315</v>
      </c>
      <c r="AZ17">
        <v>219</v>
      </c>
      <c r="BA17">
        <v>117</v>
      </c>
    </row>
    <row r="18" spans="1:148" ht="13" x14ac:dyDescent="0.3">
      <c r="A18">
        <f>+A22+1</f>
        <v>25</v>
      </c>
      <c r="B18" t="s">
        <v>1409</v>
      </c>
      <c r="C18" t="s">
        <v>18</v>
      </c>
      <c r="D18" t="s">
        <v>1381</v>
      </c>
      <c r="G18" s="30">
        <f t="shared" si="9"/>
        <v>22547</v>
      </c>
      <c r="H18" s="30"/>
      <c r="I18" s="29">
        <f t="shared" si="10"/>
        <v>655</v>
      </c>
      <c r="J18" s="29">
        <f t="shared" si="11"/>
        <v>1864</v>
      </c>
      <c r="K18" s="29">
        <f t="shared" si="12"/>
        <v>3305</v>
      </c>
      <c r="L18" s="29">
        <f t="shared" si="13"/>
        <v>5585</v>
      </c>
      <c r="M18" s="29">
        <f t="shared" si="14"/>
        <v>8411</v>
      </c>
      <c r="N18" s="29">
        <f t="shared" si="15"/>
        <v>2727</v>
      </c>
      <c r="O18" s="29">
        <f t="shared" si="16"/>
        <v>0</v>
      </c>
      <c r="P18" s="29">
        <f t="shared" si="17"/>
        <v>0</v>
      </c>
      <c r="Q18" s="29">
        <f t="shared" si="18"/>
        <v>0</v>
      </c>
      <c r="R18" s="29">
        <f t="shared" si="19"/>
        <v>0</v>
      </c>
      <c r="S18" s="29">
        <f t="shared" si="20"/>
        <v>0</v>
      </c>
      <c r="T18" s="29">
        <f t="shared" si="21"/>
        <v>0</v>
      </c>
      <c r="U18" s="29">
        <f t="shared" si="22"/>
        <v>0</v>
      </c>
      <c r="V18" s="29">
        <f t="shared" si="23"/>
        <v>0</v>
      </c>
      <c r="W18" s="29"/>
      <c r="X18" s="29"/>
      <c r="Y18" s="29"/>
      <c r="Z18" s="29"/>
      <c r="AA18" s="29"/>
      <c r="AK18" s="29">
        <v>48</v>
      </c>
      <c r="AL18" s="35">
        <v>91</v>
      </c>
      <c r="AM18" s="29">
        <v>216</v>
      </c>
      <c r="AN18" s="32">
        <v>300</v>
      </c>
      <c r="AO18">
        <v>330</v>
      </c>
      <c r="AP18">
        <v>435</v>
      </c>
      <c r="AQ18">
        <v>525</v>
      </c>
      <c r="AR18">
        <v>574</v>
      </c>
      <c r="AS18">
        <v>674</v>
      </c>
      <c r="AT18">
        <v>796</v>
      </c>
      <c r="AU18">
        <v>895</v>
      </c>
      <c r="AV18">
        <v>940</v>
      </c>
      <c r="AW18">
        <v>1252</v>
      </c>
      <c r="AX18">
        <v>1397</v>
      </c>
      <c r="AY18">
        <v>1576</v>
      </c>
      <c r="AZ18">
        <v>1360</v>
      </c>
      <c r="BA18">
        <v>1883</v>
      </c>
      <c r="BB18">
        <v>2126</v>
      </c>
      <c r="BC18">
        <v>2394</v>
      </c>
      <c r="BD18">
        <v>2008</v>
      </c>
      <c r="BE18">
        <v>2727</v>
      </c>
    </row>
    <row r="19" spans="1:148" x14ac:dyDescent="0.25">
      <c r="A19">
        <f>+A40+1</f>
        <v>34</v>
      </c>
      <c r="B19" t="s">
        <v>1683</v>
      </c>
      <c r="C19" t="s">
        <v>64</v>
      </c>
      <c r="D19" t="s">
        <v>1381</v>
      </c>
      <c r="E19">
        <v>1</v>
      </c>
      <c r="G19" s="30">
        <f t="shared" si="9"/>
        <v>3777.482</v>
      </c>
      <c r="H19" s="30"/>
      <c r="I19" s="29">
        <f t="shared" si="10"/>
        <v>400.721</v>
      </c>
      <c r="J19" s="29">
        <f t="shared" si="11"/>
        <v>1190.761</v>
      </c>
      <c r="K19" s="29">
        <f t="shared" ref="K19" si="26">SUM(AS19:AV19)</f>
        <v>2186</v>
      </c>
      <c r="L19" s="29">
        <f t="shared" si="13"/>
        <v>0</v>
      </c>
      <c r="M19" s="29">
        <f t="shared" si="14"/>
        <v>0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K19" s="29">
        <v>21.163</v>
      </c>
      <c r="AL19" s="29">
        <v>74.832999999999998</v>
      </c>
      <c r="AM19" s="29">
        <v>131.32900000000001</v>
      </c>
      <c r="AN19" s="29">
        <v>173.39599999999999</v>
      </c>
      <c r="AO19" s="29">
        <v>218</v>
      </c>
      <c r="AP19" s="29">
        <v>269.31299999999999</v>
      </c>
      <c r="AQ19" s="29">
        <v>329.09699999999998</v>
      </c>
      <c r="AR19" s="29">
        <v>374.351</v>
      </c>
      <c r="AS19" s="29">
        <f>876-477.635</f>
        <v>398.36500000000001</v>
      </c>
      <c r="AT19" s="29">
        <f>876-AS19</f>
        <v>477.63499999999999</v>
      </c>
      <c r="AU19" s="29">
        <v>573</v>
      </c>
      <c r="AV19" s="29">
        <v>737</v>
      </c>
    </row>
    <row r="20" spans="1:148" x14ac:dyDescent="0.25">
      <c r="A20">
        <f>+A31+1</f>
        <v>21</v>
      </c>
      <c r="B20" t="s">
        <v>1310</v>
      </c>
      <c r="C20" t="s">
        <v>30</v>
      </c>
      <c r="D20" t="s">
        <v>1381</v>
      </c>
      <c r="F20" t="s">
        <v>1307</v>
      </c>
      <c r="G20" s="30">
        <f t="shared" si="9"/>
        <v>31129</v>
      </c>
      <c r="H20" s="30"/>
      <c r="I20" s="29">
        <f t="shared" si="10"/>
        <v>209</v>
      </c>
      <c r="J20" s="29">
        <f t="shared" si="11"/>
        <v>1128</v>
      </c>
      <c r="K20" s="29">
        <f t="shared" ref="K20:K31" si="27">SUM(AS20:AV20)</f>
        <v>2071</v>
      </c>
      <c r="L20" s="29">
        <f t="shared" si="13"/>
        <v>2837</v>
      </c>
      <c r="M20" s="29">
        <f t="shared" si="14"/>
        <v>3551</v>
      </c>
      <c r="N20" s="29">
        <f t="shared" ref="N20:N31" si="28">SUM(BE20:BH20)</f>
        <v>3995</v>
      </c>
      <c r="O20" s="29">
        <f t="shared" ref="O20:O31" si="29">SUM(BI20:BL20)</f>
        <v>4718</v>
      </c>
      <c r="P20" s="29">
        <f t="shared" ref="P20:P31" si="30">SUM(BM20:BP20)</f>
        <v>4788</v>
      </c>
      <c r="Q20" s="29">
        <f t="shared" ref="Q20:Q31" si="31">SUM(BQ20:BT20)</f>
        <v>4980</v>
      </c>
      <c r="R20" s="29">
        <f t="shared" ref="R20:R31" si="32">SUM(BU20:BX20)</f>
        <v>2852</v>
      </c>
      <c r="S20" s="29">
        <f t="shared" ref="S20:S31" si="33">SUM(BY20:CB20)</f>
        <v>0</v>
      </c>
      <c r="T20" s="29">
        <f t="shared" ref="T20:T31" si="34">SUM(CC20:CF20)</f>
        <v>0</v>
      </c>
      <c r="U20" s="29">
        <f t="shared" ref="U20:U31" si="35">SUM(CG20:CJ20)</f>
        <v>0</v>
      </c>
      <c r="V20" s="29">
        <f t="shared" ref="V20:V31" si="36">SUM(CK20:CN20)</f>
        <v>0</v>
      </c>
      <c r="W20" s="29"/>
      <c r="X20" s="29"/>
      <c r="Y20" s="29"/>
      <c r="Z20" s="29"/>
      <c r="AA20" s="29"/>
      <c r="AK20" s="29" t="s">
        <v>1308</v>
      </c>
      <c r="AL20" s="29" t="s">
        <v>1309</v>
      </c>
      <c r="AM20" s="29">
        <v>88</v>
      </c>
      <c r="AN20">
        <v>121</v>
      </c>
      <c r="AO20">
        <v>176</v>
      </c>
      <c r="AP20">
        <v>260</v>
      </c>
      <c r="AQ20">
        <v>301</v>
      </c>
      <c r="AR20">
        <v>391</v>
      </c>
      <c r="AS20">
        <v>410</v>
      </c>
      <c r="AT20">
        <v>490</v>
      </c>
      <c r="AU20">
        <v>556</v>
      </c>
      <c r="AV20">
        <v>615</v>
      </c>
      <c r="AW20">
        <v>580</v>
      </c>
      <c r="AX20">
        <v>701</v>
      </c>
      <c r="AY20">
        <v>750</v>
      </c>
      <c r="AZ20">
        <v>806</v>
      </c>
      <c r="BA20">
        <v>791</v>
      </c>
      <c r="BB20">
        <v>858</v>
      </c>
      <c r="BC20">
        <v>937</v>
      </c>
      <c r="BD20">
        <v>965</v>
      </c>
      <c r="BE20">
        <v>930</v>
      </c>
      <c r="BF20">
        <v>944</v>
      </c>
      <c r="BG20">
        <v>1012</v>
      </c>
      <c r="BH20">
        <v>1109</v>
      </c>
      <c r="BI20">
        <v>1053</v>
      </c>
      <c r="BJ20">
        <v>1175</v>
      </c>
      <c r="BK20">
        <v>1247</v>
      </c>
      <c r="BL20">
        <v>1243</v>
      </c>
      <c r="BM20">
        <v>1159</v>
      </c>
      <c r="BN20" s="30">
        <v>1275</v>
      </c>
      <c r="BO20" s="30">
        <v>1274</v>
      </c>
      <c r="BP20" s="30">
        <v>1080</v>
      </c>
      <c r="BQ20" s="30">
        <v>1076</v>
      </c>
      <c r="BR20" s="30">
        <v>1272</v>
      </c>
      <c r="BS20" s="30">
        <v>1329</v>
      </c>
      <c r="BT20" s="30">
        <v>1303</v>
      </c>
      <c r="BU20" s="30">
        <v>1326</v>
      </c>
      <c r="BV20" s="30">
        <v>1526</v>
      </c>
    </row>
    <row r="21" spans="1:148" x14ac:dyDescent="0.25">
      <c r="A21">
        <f>+A36+1</f>
        <v>31</v>
      </c>
      <c r="B21" t="s">
        <v>1410</v>
      </c>
      <c r="C21" t="s">
        <v>18</v>
      </c>
      <c r="D21" t="s">
        <v>1381</v>
      </c>
      <c r="G21" s="30">
        <f t="shared" si="9"/>
        <v>11443</v>
      </c>
      <c r="H21" s="30"/>
      <c r="I21" s="29">
        <f t="shared" si="10"/>
        <v>282</v>
      </c>
      <c r="J21" s="29">
        <f t="shared" si="11"/>
        <v>1177</v>
      </c>
      <c r="K21" s="29">
        <f t="shared" si="27"/>
        <v>2027</v>
      </c>
      <c r="L21" s="29">
        <f t="shared" si="13"/>
        <v>3069</v>
      </c>
      <c r="M21" s="29">
        <f t="shared" si="14"/>
        <v>4888</v>
      </c>
      <c r="N21" s="29">
        <f t="shared" si="28"/>
        <v>0</v>
      </c>
      <c r="O21" s="29">
        <f t="shared" si="29"/>
        <v>0</v>
      </c>
      <c r="P21" s="29">
        <f t="shared" si="30"/>
        <v>0</v>
      </c>
      <c r="Q21" s="29">
        <f t="shared" si="31"/>
        <v>0</v>
      </c>
      <c r="R21" s="29">
        <f t="shared" si="32"/>
        <v>0</v>
      </c>
      <c r="S21" s="29">
        <f t="shared" si="33"/>
        <v>0</v>
      </c>
      <c r="T21" s="29">
        <f t="shared" si="34"/>
        <v>0</v>
      </c>
      <c r="U21" s="29">
        <f t="shared" si="35"/>
        <v>0</v>
      </c>
      <c r="V21" s="29">
        <f t="shared" si="36"/>
        <v>0</v>
      </c>
      <c r="W21" s="29"/>
      <c r="X21" s="29"/>
      <c r="Y21" s="29"/>
      <c r="Z21" s="29"/>
      <c r="AA21" s="29"/>
      <c r="AK21" s="29">
        <v>14</v>
      </c>
      <c r="AL21" s="29">
        <v>33</v>
      </c>
      <c r="AM21" s="29">
        <v>86</v>
      </c>
      <c r="AN21" s="29">
        <v>149</v>
      </c>
      <c r="AO21" s="29">
        <v>215</v>
      </c>
      <c r="AP21" s="29">
        <v>281</v>
      </c>
      <c r="AQ21" s="29">
        <v>303</v>
      </c>
      <c r="AR21" s="29">
        <v>378</v>
      </c>
      <c r="AS21" s="29">
        <v>453</v>
      </c>
      <c r="AT21" s="29">
        <v>517</v>
      </c>
      <c r="AU21" s="29">
        <v>465</v>
      </c>
      <c r="AV21" s="29">
        <v>592</v>
      </c>
      <c r="AW21" s="29">
        <v>695</v>
      </c>
      <c r="AX21" s="29">
        <v>770</v>
      </c>
      <c r="AY21" s="29">
        <v>686</v>
      </c>
      <c r="AZ21" s="29">
        <v>918</v>
      </c>
      <c r="BA21" s="29">
        <v>1110</v>
      </c>
      <c r="BB21" s="29">
        <v>1255</v>
      </c>
      <c r="BC21" s="29">
        <v>1093</v>
      </c>
      <c r="BD21" s="29">
        <v>1430</v>
      </c>
      <c r="BE21" s="29"/>
      <c r="BF21" s="29"/>
    </row>
    <row r="22" spans="1:148" ht="13" x14ac:dyDescent="0.3">
      <c r="A22">
        <f>+A9+1</f>
        <v>24</v>
      </c>
      <c r="B22" t="s">
        <v>649</v>
      </c>
      <c r="C22" t="s">
        <v>15</v>
      </c>
      <c r="D22" t="s">
        <v>1379</v>
      </c>
      <c r="E22">
        <v>1</v>
      </c>
      <c r="G22" s="30">
        <f t="shared" si="9"/>
        <v>25264.5</v>
      </c>
      <c r="H22" s="30"/>
      <c r="I22" s="29">
        <f t="shared" si="10"/>
        <v>297.5</v>
      </c>
      <c r="J22" s="29">
        <f t="shared" si="11"/>
        <v>961</v>
      </c>
      <c r="K22" s="29">
        <f t="shared" si="27"/>
        <v>1698</v>
      </c>
      <c r="L22" s="29">
        <f t="shared" si="13"/>
        <v>2237</v>
      </c>
      <c r="M22" s="29">
        <f t="shared" si="14"/>
        <v>2231</v>
      </c>
      <c r="N22" s="29">
        <f t="shared" si="28"/>
        <v>2260</v>
      </c>
      <c r="O22" s="29">
        <f t="shared" si="29"/>
        <v>2505</v>
      </c>
      <c r="P22" s="29">
        <f t="shared" si="30"/>
        <v>3498</v>
      </c>
      <c r="Q22" s="29">
        <f t="shared" si="31"/>
        <v>2795</v>
      </c>
      <c r="R22" s="29">
        <f t="shared" si="32"/>
        <v>2470</v>
      </c>
      <c r="S22" s="29">
        <f t="shared" si="33"/>
        <v>2297</v>
      </c>
      <c r="T22" s="29">
        <f t="shared" si="34"/>
        <v>1770</v>
      </c>
      <c r="U22" s="29">
        <f t="shared" si="35"/>
        <v>245</v>
      </c>
      <c r="V22" s="29">
        <f t="shared" si="36"/>
        <v>0</v>
      </c>
      <c r="W22" s="29"/>
      <c r="X22" s="29"/>
      <c r="Y22" s="29"/>
      <c r="Z22" s="29"/>
      <c r="AA22" s="29"/>
      <c r="AK22" s="29">
        <v>5</v>
      </c>
      <c r="AL22" s="35">
        <f>AVERAGE(AK22,AM22)</f>
        <v>50</v>
      </c>
      <c r="AM22" s="29">
        <v>95</v>
      </c>
      <c r="AN22" s="32">
        <f>AVERAGE(AM22,AO22)</f>
        <v>147.5</v>
      </c>
      <c r="AO22">
        <v>200</v>
      </c>
      <c r="AP22">
        <v>232</v>
      </c>
      <c r="AQ22">
        <v>265</v>
      </c>
      <c r="AR22">
        <v>264</v>
      </c>
      <c r="AS22">
        <v>344</v>
      </c>
      <c r="AT22">
        <v>395</v>
      </c>
      <c r="AU22">
        <v>464</v>
      </c>
      <c r="AV22">
        <v>495</v>
      </c>
      <c r="AW22">
        <v>512</v>
      </c>
      <c r="AX22">
        <v>562</v>
      </c>
      <c r="AY22">
        <v>568</v>
      </c>
      <c r="AZ22">
        <v>595</v>
      </c>
      <c r="BA22">
        <v>556</v>
      </c>
      <c r="BB22">
        <v>546</v>
      </c>
      <c r="BC22">
        <v>548</v>
      </c>
      <c r="BD22">
        <v>581</v>
      </c>
      <c r="BE22">
        <v>558</v>
      </c>
      <c r="BF22">
        <v>601</v>
      </c>
      <c r="BG22">
        <v>582</v>
      </c>
      <c r="BH22">
        <v>519</v>
      </c>
      <c r="BI22">
        <v>523</v>
      </c>
      <c r="BJ22">
        <v>558</v>
      </c>
      <c r="BK22">
        <v>669</v>
      </c>
      <c r="BL22">
        <v>755</v>
      </c>
      <c r="BM22">
        <v>845</v>
      </c>
      <c r="BN22">
        <v>909</v>
      </c>
      <c r="BO22">
        <v>958</v>
      </c>
      <c r="BP22">
        <v>786</v>
      </c>
      <c r="BQ22">
        <v>679</v>
      </c>
      <c r="BR22">
        <v>698</v>
      </c>
      <c r="BS22">
        <v>741</v>
      </c>
      <c r="BT22">
        <v>677</v>
      </c>
      <c r="BU22">
        <v>690</v>
      </c>
      <c r="BV22">
        <v>568</v>
      </c>
      <c r="BW22">
        <v>590</v>
      </c>
      <c r="BX22">
        <v>622</v>
      </c>
      <c r="BY22">
        <v>638</v>
      </c>
      <c r="BZ22">
        <v>563</v>
      </c>
      <c r="CA22">
        <v>548</v>
      </c>
      <c r="CB22">
        <v>548</v>
      </c>
      <c r="CC22">
        <v>539</v>
      </c>
      <c r="CD22">
        <v>505</v>
      </c>
      <c r="CE22">
        <v>456</v>
      </c>
      <c r="CF22">
        <v>270</v>
      </c>
      <c r="CG22">
        <v>245</v>
      </c>
    </row>
    <row r="23" spans="1:148" x14ac:dyDescent="0.25">
      <c r="A23">
        <f>+A35+1</f>
        <v>27</v>
      </c>
      <c r="B23" t="s">
        <v>650</v>
      </c>
      <c r="C23" t="s">
        <v>15</v>
      </c>
      <c r="D23" t="s">
        <v>1379</v>
      </c>
      <c r="E23">
        <v>1</v>
      </c>
      <c r="G23" s="30">
        <f t="shared" si="9"/>
        <v>23168</v>
      </c>
      <c r="H23" s="30"/>
      <c r="I23" s="29">
        <f t="shared" si="10"/>
        <v>200</v>
      </c>
      <c r="J23" s="29">
        <f t="shared" si="11"/>
        <v>689</v>
      </c>
      <c r="K23" s="29">
        <f t="shared" si="27"/>
        <v>1251</v>
      </c>
      <c r="L23" s="29">
        <f t="shared" si="13"/>
        <v>1893</v>
      </c>
      <c r="M23" s="29">
        <f t="shared" si="14"/>
        <v>2615</v>
      </c>
      <c r="N23" s="29">
        <f t="shared" si="28"/>
        <v>3411</v>
      </c>
      <c r="O23" s="29">
        <f t="shared" si="29"/>
        <v>4128</v>
      </c>
      <c r="P23" s="29">
        <f t="shared" si="30"/>
        <v>4369</v>
      </c>
      <c r="Q23" s="29">
        <f t="shared" si="31"/>
        <v>3785</v>
      </c>
      <c r="R23" s="29">
        <f t="shared" si="32"/>
        <v>827</v>
      </c>
      <c r="S23" s="29">
        <f t="shared" si="33"/>
        <v>0</v>
      </c>
      <c r="T23" s="29">
        <f t="shared" si="34"/>
        <v>0</v>
      </c>
      <c r="U23" s="29">
        <f t="shared" si="35"/>
        <v>0</v>
      </c>
      <c r="V23" s="29">
        <f t="shared" si="36"/>
        <v>0</v>
      </c>
      <c r="W23" s="29"/>
      <c r="X23" s="29"/>
      <c r="Y23" s="29"/>
      <c r="Z23" s="29"/>
      <c r="AA23" s="29"/>
      <c r="AK23" s="29">
        <v>10</v>
      </c>
      <c r="AL23" s="29">
        <v>42</v>
      </c>
      <c r="AM23" s="29">
        <v>56</v>
      </c>
      <c r="AN23">
        <v>92</v>
      </c>
      <c r="AO23">
        <v>116</v>
      </c>
      <c r="AP23">
        <v>154</v>
      </c>
      <c r="AQ23">
        <v>184</v>
      </c>
      <c r="AR23">
        <v>235</v>
      </c>
      <c r="AS23">
        <v>261</v>
      </c>
      <c r="AT23">
        <v>295</v>
      </c>
      <c r="AU23">
        <v>349</v>
      </c>
      <c r="AV23">
        <v>346</v>
      </c>
      <c r="AW23">
        <v>409</v>
      </c>
      <c r="AX23">
        <v>450</v>
      </c>
      <c r="AY23">
        <v>512</v>
      </c>
      <c r="AZ23">
        <v>522</v>
      </c>
      <c r="BA23">
        <v>587</v>
      </c>
      <c r="BB23">
        <v>620</v>
      </c>
      <c r="BC23">
        <v>705</v>
      </c>
      <c r="BD23">
        <v>703</v>
      </c>
      <c r="BE23">
        <v>784</v>
      </c>
      <c r="BF23">
        <v>831</v>
      </c>
      <c r="BG23">
        <v>921</v>
      </c>
      <c r="BH23">
        <v>875</v>
      </c>
      <c r="BI23">
        <v>1031</v>
      </c>
      <c r="BJ23">
        <v>949</v>
      </c>
      <c r="BK23">
        <v>1031</v>
      </c>
      <c r="BL23">
        <v>1117</v>
      </c>
      <c r="BM23">
        <v>1125</v>
      </c>
      <c r="BN23">
        <v>1116</v>
      </c>
      <c r="BO23">
        <v>1066</v>
      </c>
      <c r="BP23">
        <v>1062</v>
      </c>
      <c r="BQ23">
        <v>1038</v>
      </c>
      <c r="BR23">
        <v>970</v>
      </c>
      <c r="BS23">
        <v>911</v>
      </c>
      <c r="BT23">
        <v>866</v>
      </c>
      <c r="BU23">
        <v>827</v>
      </c>
    </row>
    <row r="24" spans="1:148" x14ac:dyDescent="0.25">
      <c r="A24">
        <f>+A17+1</f>
        <v>29</v>
      </c>
      <c r="B24" t="s">
        <v>660</v>
      </c>
      <c r="C24" t="s">
        <v>28</v>
      </c>
      <c r="D24" t="s">
        <v>1382</v>
      </c>
      <c r="G24" s="30">
        <f t="shared" si="9"/>
        <v>16856</v>
      </c>
      <c r="H24" s="30"/>
      <c r="I24" s="29">
        <f t="shared" si="10"/>
        <v>348</v>
      </c>
      <c r="J24" s="29">
        <f t="shared" si="11"/>
        <v>751</v>
      </c>
      <c r="K24" s="29">
        <f t="shared" si="27"/>
        <v>1090</v>
      </c>
      <c r="L24" s="29">
        <f t="shared" si="13"/>
        <v>1359</v>
      </c>
      <c r="M24" s="29">
        <f t="shared" si="14"/>
        <v>1515</v>
      </c>
      <c r="N24" s="29">
        <f t="shared" si="28"/>
        <v>1643</v>
      </c>
      <c r="O24" s="29">
        <f t="shared" si="29"/>
        <v>1673</v>
      </c>
      <c r="P24" s="29">
        <f t="shared" si="30"/>
        <v>1511</v>
      </c>
      <c r="Q24" s="29">
        <f t="shared" si="31"/>
        <v>1387</v>
      </c>
      <c r="R24" s="29">
        <f t="shared" si="32"/>
        <v>1205</v>
      </c>
      <c r="S24" s="29">
        <f t="shared" si="33"/>
        <v>1141</v>
      </c>
      <c r="T24" s="29">
        <f t="shared" si="34"/>
        <v>975</v>
      </c>
      <c r="U24" s="29">
        <f t="shared" si="35"/>
        <v>857</v>
      </c>
      <c r="V24" s="29">
        <f t="shared" si="36"/>
        <v>768</v>
      </c>
      <c r="W24" s="29"/>
      <c r="X24" s="29"/>
      <c r="Y24" s="29"/>
      <c r="Z24" s="29"/>
      <c r="AA24" s="29"/>
      <c r="AK24" s="29">
        <v>47</v>
      </c>
      <c r="AL24" s="29">
        <v>77</v>
      </c>
      <c r="AM24" s="29">
        <v>107</v>
      </c>
      <c r="AN24">
        <v>117</v>
      </c>
      <c r="AO24">
        <v>148</v>
      </c>
      <c r="AP24">
        <v>172</v>
      </c>
      <c r="AQ24">
        <v>197</v>
      </c>
      <c r="AR24">
        <v>234</v>
      </c>
      <c r="AS24">
        <v>232</v>
      </c>
      <c r="AT24">
        <v>267</v>
      </c>
      <c r="AU24">
        <v>278</v>
      </c>
      <c r="AV24">
        <v>313</v>
      </c>
      <c r="AW24">
        <v>292</v>
      </c>
      <c r="AX24">
        <v>337</v>
      </c>
      <c r="AY24">
        <v>343</v>
      </c>
      <c r="AZ24">
        <v>387</v>
      </c>
      <c r="BA24">
        <v>337</v>
      </c>
      <c r="BB24">
        <v>398</v>
      </c>
      <c r="BC24">
        <v>399</v>
      </c>
      <c r="BD24">
        <v>381</v>
      </c>
      <c r="BE24">
        <v>362</v>
      </c>
      <c r="BF24">
        <v>412</v>
      </c>
      <c r="BG24">
        <v>427</v>
      </c>
      <c r="BH24">
        <v>442</v>
      </c>
      <c r="BI24">
        <v>390</v>
      </c>
      <c r="BJ24">
        <v>453</v>
      </c>
      <c r="BK24">
        <v>412</v>
      </c>
      <c r="BL24">
        <v>418</v>
      </c>
      <c r="BM24">
        <v>385</v>
      </c>
      <c r="BN24">
        <v>375</v>
      </c>
      <c r="BO24">
        <v>377</v>
      </c>
      <c r="BP24">
        <v>374</v>
      </c>
      <c r="BQ24">
        <v>340</v>
      </c>
      <c r="BR24">
        <v>338</v>
      </c>
      <c r="BS24">
        <v>372</v>
      </c>
      <c r="BT24">
        <v>337</v>
      </c>
      <c r="BU24">
        <v>305</v>
      </c>
      <c r="BV24">
        <v>282</v>
      </c>
      <c r="BW24">
        <v>310</v>
      </c>
      <c r="BX24">
        <v>308</v>
      </c>
      <c r="BY24">
        <v>281</v>
      </c>
      <c r="BZ24">
        <v>305</v>
      </c>
      <c r="CA24">
        <v>275</v>
      </c>
      <c r="CB24">
        <v>280</v>
      </c>
      <c r="CC24">
        <v>255</v>
      </c>
      <c r="CD24">
        <v>247</v>
      </c>
      <c r="CE24">
        <v>250</v>
      </c>
      <c r="CF24">
        <v>223</v>
      </c>
      <c r="CG24">
        <v>245</v>
      </c>
      <c r="CH24">
        <v>196</v>
      </c>
      <c r="CI24">
        <v>205</v>
      </c>
      <c r="CJ24">
        <v>211</v>
      </c>
      <c r="CK24">
        <v>209</v>
      </c>
      <c r="CL24">
        <v>192</v>
      </c>
      <c r="CM24">
        <v>189</v>
      </c>
      <c r="CN24">
        <v>178</v>
      </c>
      <c r="CO24">
        <v>158</v>
      </c>
      <c r="CP24">
        <v>147</v>
      </c>
      <c r="CQ24">
        <v>161</v>
      </c>
      <c r="CR24">
        <v>167</v>
      </c>
    </row>
    <row r="25" spans="1:148" x14ac:dyDescent="0.25">
      <c r="A25">
        <f>+A6+1</f>
        <v>11</v>
      </c>
      <c r="B25" t="s">
        <v>1415</v>
      </c>
      <c r="C25" t="s">
        <v>20</v>
      </c>
      <c r="D25" t="s">
        <v>1383</v>
      </c>
      <c r="G25" s="30">
        <f t="shared" si="9"/>
        <v>48471.866666666661</v>
      </c>
      <c r="H25" s="30"/>
      <c r="I25" s="29">
        <f t="shared" si="10"/>
        <v>11</v>
      </c>
      <c r="J25" s="29">
        <f t="shared" si="11"/>
        <v>80</v>
      </c>
      <c r="K25" s="29">
        <f t="shared" si="27"/>
        <v>167.5</v>
      </c>
      <c r="L25" s="29">
        <f t="shared" si="13"/>
        <v>280.40000000000003</v>
      </c>
      <c r="M25" s="29">
        <f t="shared" si="14"/>
        <v>472.20000000000005</v>
      </c>
      <c r="N25" s="29">
        <f t="shared" si="28"/>
        <v>739.2</v>
      </c>
      <c r="O25" s="29">
        <f t="shared" si="29"/>
        <v>954.9</v>
      </c>
      <c r="P25" s="29">
        <f t="shared" si="30"/>
        <v>1069.5999999999999</v>
      </c>
      <c r="Q25" s="29">
        <f t="shared" si="31"/>
        <v>1131.6000000000001</v>
      </c>
      <c r="R25" s="29">
        <f t="shared" si="32"/>
        <v>1241.7666666666667</v>
      </c>
      <c r="S25" s="29">
        <f t="shared" si="33"/>
        <v>1372.1</v>
      </c>
      <c r="T25" s="29">
        <f t="shared" si="34"/>
        <v>1622</v>
      </c>
      <c r="U25" s="29">
        <f t="shared" si="35"/>
        <v>1818.6</v>
      </c>
      <c r="V25" s="29">
        <f t="shared" si="36"/>
        <v>2042</v>
      </c>
      <c r="W25" s="29">
        <f>SUM(CO25:CR25)</f>
        <v>2155.4</v>
      </c>
      <c r="X25" s="29">
        <f>SUM(CS25:CV25)</f>
        <v>2458.9</v>
      </c>
      <c r="Y25" s="29">
        <f>SUM(CW25:CZ25)</f>
        <v>2453.1</v>
      </c>
      <c r="Z25" s="29">
        <f>SUM(DA25:DD25)</f>
        <v>2700</v>
      </c>
      <c r="AA25" s="29">
        <f>SUM(DE25:DH25)</f>
        <v>2773.5</v>
      </c>
      <c r="AK25" s="29">
        <v>1</v>
      </c>
      <c r="AL25" s="29">
        <v>2</v>
      </c>
      <c r="AM25" s="29">
        <v>3</v>
      </c>
      <c r="AN25">
        <v>5</v>
      </c>
      <c r="AO25">
        <v>10</v>
      </c>
      <c r="AP25">
        <v>15</v>
      </c>
      <c r="AQ25">
        <v>25</v>
      </c>
      <c r="AR25">
        <v>30</v>
      </c>
      <c r="AS25">
        <v>32</v>
      </c>
      <c r="AT25">
        <v>42.599999999999994</v>
      </c>
      <c r="AU25">
        <v>42.5</v>
      </c>
      <c r="AV25">
        <v>50.4</v>
      </c>
      <c r="AW25">
        <v>58.7</v>
      </c>
      <c r="AX25">
        <v>72.900000000000006</v>
      </c>
      <c r="AY25">
        <v>72.099999999999994</v>
      </c>
      <c r="AZ25">
        <v>76.7</v>
      </c>
      <c r="BA25">
        <v>90.6</v>
      </c>
      <c r="BB25">
        <v>110.80000000000004</v>
      </c>
      <c r="BC25">
        <v>125.2</v>
      </c>
      <c r="BD25">
        <v>145.6</v>
      </c>
      <c r="BE25">
        <v>164.3</v>
      </c>
      <c r="BF25">
        <v>192.7</v>
      </c>
      <c r="BG25">
        <v>177.4</v>
      </c>
      <c r="BH25">
        <v>204.8</v>
      </c>
      <c r="BI25">
        <v>214.1</v>
      </c>
      <c r="BJ25">
        <v>237.9</v>
      </c>
      <c r="BK25">
        <v>248.8</v>
      </c>
      <c r="BL25">
        <v>254.1</v>
      </c>
      <c r="BM25">
        <v>240.2</v>
      </c>
      <c r="BN25" s="30">
        <v>276.89999999999992</v>
      </c>
      <c r="BO25" s="30">
        <v>267.2</v>
      </c>
      <c r="BP25" s="30">
        <v>285.3</v>
      </c>
      <c r="BQ25" s="30">
        <v>264.60000000000002</v>
      </c>
      <c r="BR25" s="30">
        <v>284.60000000000002</v>
      </c>
      <c r="BS25" s="30">
        <v>286.2</v>
      </c>
      <c r="BT25" s="30">
        <v>296.2</v>
      </c>
      <c r="BU25" s="30">
        <v>306.66666666666663</v>
      </c>
      <c r="BV25" s="30">
        <v>309.10000000000002</v>
      </c>
      <c r="BW25">
        <v>305</v>
      </c>
      <c r="BX25">
        <v>321</v>
      </c>
      <c r="BY25">
        <v>322</v>
      </c>
      <c r="BZ25">
        <v>352.2</v>
      </c>
      <c r="CA25">
        <v>339.5</v>
      </c>
      <c r="CB25">
        <v>358.4</v>
      </c>
      <c r="CC25">
        <v>362.5</v>
      </c>
      <c r="CD25">
        <v>414.2</v>
      </c>
      <c r="CE25">
        <v>407.4</v>
      </c>
      <c r="CF25">
        <v>437.9</v>
      </c>
      <c r="CG25">
        <v>432.6</v>
      </c>
      <c r="CH25">
        <v>457.9</v>
      </c>
      <c r="CI25">
        <v>450.6</v>
      </c>
      <c r="CJ25">
        <v>477.5</v>
      </c>
      <c r="CK25">
        <v>500.2</v>
      </c>
      <c r="CL25">
        <v>530.79999999999995</v>
      </c>
      <c r="CM25">
        <v>506.4</v>
      </c>
      <c r="CN25">
        <v>504.6</v>
      </c>
      <c r="CO25">
        <v>494</v>
      </c>
      <c r="CP25">
        <v>549.1</v>
      </c>
      <c r="CQ25">
        <v>525.4</v>
      </c>
      <c r="CR25">
        <v>586.9</v>
      </c>
      <c r="CS25">
        <v>593.20000000000005</v>
      </c>
      <c r="CT25">
        <v>662</v>
      </c>
      <c r="CU25">
        <v>590.29999999999995</v>
      </c>
      <c r="CV25">
        <v>613.4</v>
      </c>
      <c r="CW25">
        <v>575.79999999999995</v>
      </c>
      <c r="CX25">
        <v>616</v>
      </c>
      <c r="CY25">
        <v>632.70000000000005</v>
      </c>
      <c r="CZ25">
        <v>628.6</v>
      </c>
      <c r="DA25">
        <v>616</v>
      </c>
      <c r="DB25">
        <v>733.9</v>
      </c>
      <c r="DC25">
        <v>650</v>
      </c>
      <c r="DD25">
        <v>700.1</v>
      </c>
      <c r="DE25">
        <v>706.1</v>
      </c>
      <c r="DF25">
        <v>729.1</v>
      </c>
      <c r="DG25">
        <v>684</v>
      </c>
      <c r="DH25">
        <v>654.29999999999995</v>
      </c>
      <c r="DI25">
        <v>705</v>
      </c>
      <c r="DJ25">
        <v>798.7</v>
      </c>
      <c r="DK25">
        <v>606.29999999999995</v>
      </c>
      <c r="DL25">
        <v>701.9</v>
      </c>
      <c r="DM25">
        <v>640.79999999999995</v>
      </c>
      <c r="DN25">
        <v>819.8</v>
      </c>
      <c r="DO25">
        <v>708.4</v>
      </c>
      <c r="DP25">
        <v>678.4</v>
      </c>
      <c r="DQ25">
        <v>696.2</v>
      </c>
      <c r="DR25">
        <v>782.2</v>
      </c>
      <c r="DS25">
        <v>791.7</v>
      </c>
      <c r="DT25">
        <v>769.8</v>
      </c>
      <c r="DU25">
        <v>664.6</v>
      </c>
      <c r="DV25">
        <v>770.4</v>
      </c>
      <c r="DW25">
        <v>730.8</v>
      </c>
      <c r="DX25">
        <v>677.6</v>
      </c>
      <c r="DY25">
        <v>648.9</v>
      </c>
      <c r="DZ25">
        <v>763.4</v>
      </c>
      <c r="EA25">
        <v>695.8</v>
      </c>
      <c r="EB25">
        <v>555.1</v>
      </c>
      <c r="EC25">
        <v>656.9</v>
      </c>
      <c r="ED25">
        <v>718.1</v>
      </c>
      <c r="EE25">
        <v>617.09999999999991</v>
      </c>
      <c r="EF25">
        <v>607.6</v>
      </c>
      <c r="EG25">
        <v>626.70000000000005</v>
      </c>
      <c r="EH25">
        <v>601.70000000000005</v>
      </c>
      <c r="EI25">
        <v>618.20000000000005</v>
      </c>
      <c r="EJ25">
        <v>447.1</v>
      </c>
      <c r="EK25">
        <v>447</v>
      </c>
      <c r="EL25">
        <v>548.29999999999995</v>
      </c>
      <c r="EM25">
        <v>460.9</v>
      </c>
      <c r="EN25">
        <v>440.4</v>
      </c>
      <c r="EO25">
        <v>395.4</v>
      </c>
      <c r="EP25">
        <v>366.6</v>
      </c>
      <c r="EQ25">
        <v>538.70000000000005</v>
      </c>
      <c r="ER25">
        <v>631.6</v>
      </c>
    </row>
    <row r="26" spans="1:148" s="24" customFormat="1" ht="13" x14ac:dyDescent="0.3">
      <c r="A26">
        <f>+A25+1</f>
        <v>12</v>
      </c>
      <c r="B26" t="s">
        <v>651</v>
      </c>
      <c r="C26" t="s">
        <v>15</v>
      </c>
      <c r="D26" t="s">
        <v>1379</v>
      </c>
      <c r="E26">
        <v>1</v>
      </c>
      <c r="F26"/>
      <c r="G26" s="30">
        <f t="shared" si="9"/>
        <v>43368</v>
      </c>
      <c r="H26" s="30"/>
      <c r="I26" s="29">
        <f t="shared" si="10"/>
        <v>383</v>
      </c>
      <c r="J26" s="29">
        <f t="shared" si="11"/>
        <v>1071</v>
      </c>
      <c r="K26" s="29">
        <f t="shared" si="27"/>
        <v>1812</v>
      </c>
      <c r="L26" s="29">
        <f t="shared" si="13"/>
        <v>2752</v>
      </c>
      <c r="M26" s="29">
        <f t="shared" si="14"/>
        <v>3767</v>
      </c>
      <c r="N26" s="29">
        <f t="shared" si="28"/>
        <v>5631</v>
      </c>
      <c r="O26" s="29">
        <f t="shared" si="29"/>
        <v>7539</v>
      </c>
      <c r="P26" s="29">
        <f t="shared" si="30"/>
        <v>9277</v>
      </c>
      <c r="Q26" s="29">
        <f t="shared" si="31"/>
        <v>11136</v>
      </c>
      <c r="R26" s="29">
        <f t="shared" si="32"/>
        <v>0</v>
      </c>
      <c r="S26" s="29">
        <f t="shared" si="33"/>
        <v>0</v>
      </c>
      <c r="T26" s="29">
        <f t="shared" si="34"/>
        <v>0</v>
      </c>
      <c r="U26" s="29">
        <f t="shared" si="35"/>
        <v>0</v>
      </c>
      <c r="V26" s="29">
        <f t="shared" si="36"/>
        <v>0</v>
      </c>
      <c r="W26" s="29"/>
      <c r="X26" s="29"/>
      <c r="Y26" s="29"/>
      <c r="Z26" s="29"/>
      <c r="AA26" s="29"/>
      <c r="AB26"/>
      <c r="AC26"/>
      <c r="AD26"/>
      <c r="AE26"/>
      <c r="AF26"/>
      <c r="AG26"/>
      <c r="AH26"/>
      <c r="AI26"/>
      <c r="AJ26"/>
      <c r="AK26" s="29">
        <v>20</v>
      </c>
      <c r="AL26" s="29">
        <v>101</v>
      </c>
      <c r="AM26" s="29">
        <v>108</v>
      </c>
      <c r="AN26" s="33">
        <f>AVERAGE(AM26,AO26)</f>
        <v>154</v>
      </c>
      <c r="AO26">
        <v>200</v>
      </c>
      <c r="AP26">
        <v>255</v>
      </c>
      <c r="AQ26">
        <v>299</v>
      </c>
      <c r="AR26">
        <v>317</v>
      </c>
      <c r="AS26">
        <v>371</v>
      </c>
      <c r="AT26">
        <v>432</v>
      </c>
      <c r="AU26">
        <v>511</v>
      </c>
      <c r="AV26">
        <v>498</v>
      </c>
      <c r="AW26">
        <v>584</v>
      </c>
      <c r="AX26">
        <v>629</v>
      </c>
      <c r="AY26">
        <v>774</v>
      </c>
      <c r="AZ26">
        <v>765</v>
      </c>
      <c r="BA26">
        <v>830</v>
      </c>
      <c r="BB26">
        <v>937</v>
      </c>
      <c r="BC26">
        <v>901</v>
      </c>
      <c r="BD26">
        <v>1099</v>
      </c>
      <c r="BE26">
        <v>1253</v>
      </c>
      <c r="BF26">
        <v>1365</v>
      </c>
      <c r="BG26">
        <v>1433</v>
      </c>
      <c r="BH26">
        <v>1580</v>
      </c>
      <c r="BI26">
        <v>1645</v>
      </c>
      <c r="BJ26">
        <v>1856</v>
      </c>
      <c r="BK26">
        <v>1986</v>
      </c>
      <c r="BL26">
        <v>2052</v>
      </c>
      <c r="BM26">
        <v>2083</v>
      </c>
      <c r="BN26" s="30">
        <v>2264</v>
      </c>
      <c r="BO26" s="29">
        <v>2431</v>
      </c>
      <c r="BP26" s="29">
        <v>2499</v>
      </c>
      <c r="BQ26" s="29">
        <v>2550</v>
      </c>
      <c r="BR26" s="29">
        <v>2692</v>
      </c>
      <c r="BS26" s="29">
        <v>2878</v>
      </c>
      <c r="BT26" s="29">
        <v>3016</v>
      </c>
      <c r="BU26" s="30"/>
      <c r="BV26" s="30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</row>
    <row r="27" spans="1:148" ht="13" x14ac:dyDescent="0.3">
      <c r="A27">
        <f>+A26+1</f>
        <v>13</v>
      </c>
      <c r="B27" t="s">
        <v>654</v>
      </c>
      <c r="C27" t="s">
        <v>28</v>
      </c>
      <c r="D27" t="s">
        <v>1384</v>
      </c>
      <c r="E27" s="24">
        <v>1</v>
      </c>
      <c r="G27" s="30">
        <f t="shared" si="9"/>
        <v>41658</v>
      </c>
      <c r="H27" s="30"/>
      <c r="I27" s="29">
        <f t="shared" si="10"/>
        <v>600</v>
      </c>
      <c r="J27" s="29">
        <f t="shared" si="11"/>
        <v>1616</v>
      </c>
      <c r="K27" s="29">
        <f t="shared" si="27"/>
        <v>1400</v>
      </c>
      <c r="L27" s="29">
        <f t="shared" si="13"/>
        <v>1089</v>
      </c>
      <c r="M27" s="29">
        <f t="shared" si="14"/>
        <v>970</v>
      </c>
      <c r="N27" s="29">
        <f t="shared" si="28"/>
        <v>1280</v>
      </c>
      <c r="O27" s="29">
        <f t="shared" si="29"/>
        <v>1737</v>
      </c>
      <c r="P27" s="29">
        <f t="shared" si="30"/>
        <v>1825</v>
      </c>
      <c r="Q27" s="29">
        <f t="shared" si="31"/>
        <v>1714</v>
      </c>
      <c r="R27" s="29">
        <f t="shared" si="32"/>
        <v>1927</v>
      </c>
      <c r="S27" s="29">
        <f t="shared" si="33"/>
        <v>2327</v>
      </c>
      <c r="T27" s="29">
        <f t="shared" si="34"/>
        <v>2437</v>
      </c>
      <c r="U27" s="29">
        <f t="shared" si="35"/>
        <v>3329</v>
      </c>
      <c r="V27" s="29">
        <f t="shared" si="36"/>
        <v>3996</v>
      </c>
      <c r="W27" s="29"/>
      <c r="X27" s="29"/>
      <c r="Y27" s="29"/>
      <c r="Z27" s="29"/>
      <c r="AA27" s="29"/>
      <c r="AK27" s="29">
        <v>10</v>
      </c>
      <c r="AL27" s="29">
        <v>70</v>
      </c>
      <c r="AM27" s="29">
        <v>155</v>
      </c>
      <c r="AN27">
        <v>365</v>
      </c>
      <c r="AO27">
        <v>358</v>
      </c>
      <c r="AP27">
        <v>418</v>
      </c>
      <c r="AQ27">
        <v>450</v>
      </c>
      <c r="AR27">
        <v>390</v>
      </c>
      <c r="AS27">
        <v>326</v>
      </c>
      <c r="AT27">
        <v>401</v>
      </c>
      <c r="AU27">
        <v>411</v>
      </c>
      <c r="AV27">
        <v>262</v>
      </c>
      <c r="AW27">
        <v>268</v>
      </c>
      <c r="AX27">
        <v>311</v>
      </c>
      <c r="AY27">
        <v>277</v>
      </c>
      <c r="AZ27">
        <v>233</v>
      </c>
      <c r="BA27">
        <v>219</v>
      </c>
      <c r="BB27">
        <v>316</v>
      </c>
      <c r="BC27">
        <v>221</v>
      </c>
      <c r="BD27">
        <v>214</v>
      </c>
      <c r="BE27">
        <v>277</v>
      </c>
      <c r="BF27">
        <v>445</v>
      </c>
      <c r="BG27">
        <v>274</v>
      </c>
      <c r="BH27">
        <v>284</v>
      </c>
      <c r="BI27">
        <v>324</v>
      </c>
      <c r="BJ27">
        <v>581</v>
      </c>
      <c r="BK27">
        <v>442</v>
      </c>
      <c r="BL27">
        <v>390</v>
      </c>
      <c r="BM27">
        <v>383</v>
      </c>
      <c r="BN27" s="30">
        <v>665</v>
      </c>
      <c r="BO27" s="30">
        <v>394</v>
      </c>
      <c r="BP27" s="30">
        <v>383</v>
      </c>
      <c r="BQ27" s="30">
        <v>409</v>
      </c>
      <c r="BR27" s="30">
        <v>590</v>
      </c>
      <c r="BS27" s="30">
        <v>356</v>
      </c>
      <c r="BT27" s="30">
        <v>359</v>
      </c>
      <c r="BU27" s="30">
        <v>427</v>
      </c>
      <c r="BV27" s="30">
        <v>625</v>
      </c>
      <c r="BW27">
        <v>497</v>
      </c>
      <c r="BX27">
        <v>378</v>
      </c>
      <c r="BY27">
        <v>393</v>
      </c>
      <c r="BZ27">
        <v>860</v>
      </c>
      <c r="CA27">
        <v>542</v>
      </c>
      <c r="CB27">
        <v>532</v>
      </c>
      <c r="CC27">
        <v>469</v>
      </c>
      <c r="CD27">
        <v>675</v>
      </c>
      <c r="CE27">
        <v>633</v>
      </c>
      <c r="CF27">
        <v>660</v>
      </c>
      <c r="CG27">
        <v>608</v>
      </c>
      <c r="CH27">
        <v>1048</v>
      </c>
      <c r="CI27">
        <v>835</v>
      </c>
      <c r="CJ27">
        <v>838</v>
      </c>
      <c r="CK27">
        <v>886</v>
      </c>
      <c r="CL27">
        <v>1320</v>
      </c>
      <c r="CM27">
        <v>693</v>
      </c>
      <c r="CN27">
        <v>1097</v>
      </c>
      <c r="CO27">
        <v>656</v>
      </c>
      <c r="CP27">
        <v>1187</v>
      </c>
      <c r="CQ27">
        <v>998</v>
      </c>
      <c r="CR27">
        <v>917</v>
      </c>
      <c r="CS27">
        <v>1234</v>
      </c>
      <c r="CT27">
        <v>1993</v>
      </c>
      <c r="CU27">
        <v>1528</v>
      </c>
      <c r="CV27">
        <v>1460</v>
      </c>
      <c r="CW27">
        <v>1674</v>
      </c>
      <c r="CX27">
        <v>2294</v>
      </c>
      <c r="CY27">
        <v>1470</v>
      </c>
    </row>
    <row r="28" spans="1:148" x14ac:dyDescent="0.25">
      <c r="A28">
        <f>+A13+1</f>
        <v>15</v>
      </c>
      <c r="B28" t="s">
        <v>1403</v>
      </c>
      <c r="C28" t="s">
        <v>24</v>
      </c>
      <c r="D28" t="s">
        <v>1380</v>
      </c>
      <c r="E28">
        <v>1</v>
      </c>
      <c r="G28" s="30">
        <f t="shared" si="9"/>
        <v>34660</v>
      </c>
      <c r="H28" s="30"/>
      <c r="I28" s="29">
        <f t="shared" si="10"/>
        <v>963</v>
      </c>
      <c r="J28" s="29">
        <f t="shared" si="11"/>
        <v>1155</v>
      </c>
      <c r="K28" s="29">
        <f t="shared" si="27"/>
        <v>1393</v>
      </c>
      <c r="L28" s="29">
        <f t="shared" si="13"/>
        <v>1563</v>
      </c>
      <c r="M28" s="29">
        <f t="shared" si="14"/>
        <v>1788</v>
      </c>
      <c r="N28" s="29">
        <f t="shared" si="28"/>
        <v>1820</v>
      </c>
      <c r="O28" s="29">
        <f t="shared" si="29"/>
        <v>1699</v>
      </c>
      <c r="P28" s="29">
        <f t="shared" si="30"/>
        <v>1597</v>
      </c>
      <c r="Q28" s="29">
        <f t="shared" si="31"/>
        <v>1701</v>
      </c>
      <c r="R28" s="29">
        <f t="shared" si="32"/>
        <v>1790</v>
      </c>
      <c r="S28" s="29">
        <f t="shared" si="33"/>
        <v>1928</v>
      </c>
      <c r="T28" s="29">
        <f t="shared" si="34"/>
        <v>1917</v>
      </c>
      <c r="U28" s="29">
        <f t="shared" si="35"/>
        <v>1919</v>
      </c>
      <c r="V28" s="29">
        <f t="shared" si="36"/>
        <v>2007</v>
      </c>
      <c r="W28" s="29">
        <f>SUM(CO28:CR28)</f>
        <v>2016</v>
      </c>
      <c r="X28" s="29">
        <f>SUM(CS28:CV28)</f>
        <v>2130</v>
      </c>
      <c r="Y28" s="29"/>
      <c r="Z28" s="29"/>
      <c r="AA28" s="29"/>
      <c r="AK28" s="29">
        <v>402</v>
      </c>
      <c r="AL28" s="29">
        <v>138</v>
      </c>
      <c r="AM28" s="29">
        <v>233</v>
      </c>
      <c r="AN28">
        <v>190</v>
      </c>
      <c r="AO28">
        <v>305</v>
      </c>
      <c r="AP28">
        <v>245</v>
      </c>
      <c r="AQ28">
        <v>277</v>
      </c>
      <c r="AR28">
        <v>328</v>
      </c>
      <c r="AS28">
        <v>304</v>
      </c>
      <c r="AT28">
        <v>332</v>
      </c>
      <c r="AU28">
        <v>380</v>
      </c>
      <c r="AV28">
        <v>377</v>
      </c>
      <c r="AW28">
        <v>351</v>
      </c>
      <c r="AX28">
        <v>375</v>
      </c>
      <c r="AY28">
        <v>415</v>
      </c>
      <c r="AZ28">
        <v>422</v>
      </c>
      <c r="BA28">
        <v>385</v>
      </c>
      <c r="BB28">
        <v>437</v>
      </c>
      <c r="BC28">
        <v>491</v>
      </c>
      <c r="BD28">
        <v>475</v>
      </c>
      <c r="BE28">
        <v>419</v>
      </c>
      <c r="BF28">
        <v>476</v>
      </c>
      <c r="BG28">
        <v>509</v>
      </c>
      <c r="BH28">
        <v>416</v>
      </c>
      <c r="BI28">
        <v>389</v>
      </c>
      <c r="BJ28">
        <v>403</v>
      </c>
      <c r="BK28">
        <v>469</v>
      </c>
      <c r="BL28">
        <v>438</v>
      </c>
      <c r="BM28">
        <v>391</v>
      </c>
      <c r="BN28" s="30">
        <v>386</v>
      </c>
      <c r="BO28" s="30">
        <v>430</v>
      </c>
      <c r="BP28" s="30">
        <v>390</v>
      </c>
      <c r="BQ28" s="30">
        <v>394</v>
      </c>
      <c r="BR28" s="30">
        <v>423</v>
      </c>
      <c r="BS28" s="30">
        <v>450</v>
      </c>
      <c r="BT28" s="30">
        <v>434</v>
      </c>
      <c r="BU28" s="30">
        <v>382</v>
      </c>
      <c r="BV28" s="30">
        <v>450</v>
      </c>
      <c r="BW28">
        <v>498</v>
      </c>
      <c r="BX28">
        <v>460</v>
      </c>
      <c r="BY28">
        <v>463</v>
      </c>
      <c r="BZ28">
        <v>509</v>
      </c>
      <c r="CA28">
        <v>502</v>
      </c>
      <c r="CB28">
        <v>454</v>
      </c>
      <c r="CC28">
        <v>423</v>
      </c>
      <c r="CD28">
        <v>466</v>
      </c>
      <c r="CE28">
        <v>549</v>
      </c>
      <c r="CF28">
        <v>479</v>
      </c>
      <c r="CG28">
        <v>491</v>
      </c>
      <c r="CH28">
        <v>459</v>
      </c>
      <c r="CI28">
        <v>499</v>
      </c>
      <c r="CJ28">
        <v>470</v>
      </c>
      <c r="CK28">
        <v>495</v>
      </c>
      <c r="CL28">
        <v>493</v>
      </c>
      <c r="CM28">
        <v>523</v>
      </c>
      <c r="CN28">
        <v>496</v>
      </c>
      <c r="CO28">
        <v>485</v>
      </c>
      <c r="CP28">
        <v>517</v>
      </c>
      <c r="CQ28">
        <v>553</v>
      </c>
      <c r="CR28">
        <v>461</v>
      </c>
      <c r="CS28">
        <v>484</v>
      </c>
      <c r="CT28">
        <v>460</v>
      </c>
      <c r="CU28">
        <v>812</v>
      </c>
      <c r="CV28">
        <v>374</v>
      </c>
      <c r="CW28">
        <v>427</v>
      </c>
      <c r="CX28">
        <v>427</v>
      </c>
      <c r="CY28">
        <v>464</v>
      </c>
      <c r="CZ28">
        <v>396</v>
      </c>
      <c r="DA28">
        <v>448</v>
      </c>
      <c r="DB28">
        <v>430</v>
      </c>
      <c r="DC28">
        <v>434</v>
      </c>
      <c r="DD28">
        <v>396</v>
      </c>
      <c r="DE28">
        <v>401</v>
      </c>
      <c r="DF28">
        <v>386</v>
      </c>
      <c r="DG28">
        <v>381</v>
      </c>
      <c r="DH28">
        <v>338</v>
      </c>
      <c r="DI28">
        <v>348</v>
      </c>
      <c r="DJ28">
        <v>308</v>
      </c>
      <c r="DK28">
        <v>265</v>
      </c>
      <c r="DL28">
        <v>249</v>
      </c>
      <c r="DM28">
        <v>193</v>
      </c>
      <c r="DN28">
        <v>137</v>
      </c>
      <c r="DO28">
        <v>127</v>
      </c>
      <c r="DP28">
        <v>145</v>
      </c>
      <c r="DQ28">
        <v>114</v>
      </c>
      <c r="DR28">
        <v>120</v>
      </c>
      <c r="DS28">
        <v>119</v>
      </c>
      <c r="DT28">
        <v>127</v>
      </c>
      <c r="DU28">
        <v>94</v>
      </c>
    </row>
    <row r="29" spans="1:148" x14ac:dyDescent="0.25">
      <c r="A29">
        <f>+A28+1</f>
        <v>16</v>
      </c>
      <c r="B29" t="s">
        <v>646</v>
      </c>
      <c r="C29" t="s">
        <v>20</v>
      </c>
      <c r="D29" t="s">
        <v>1379</v>
      </c>
      <c r="G29" s="30">
        <f t="shared" si="9"/>
        <v>34155.5</v>
      </c>
      <c r="H29" s="30"/>
      <c r="I29" s="29">
        <f t="shared" si="10"/>
        <v>142.5</v>
      </c>
      <c r="J29" s="29">
        <f t="shared" si="11"/>
        <v>463.20000000000005</v>
      </c>
      <c r="K29" s="29">
        <f t="shared" si="27"/>
        <v>611.4</v>
      </c>
      <c r="L29" s="29">
        <f t="shared" si="13"/>
        <v>854</v>
      </c>
      <c r="M29" s="29">
        <f t="shared" si="14"/>
        <v>1154.8</v>
      </c>
      <c r="N29" s="29">
        <f t="shared" si="28"/>
        <v>1706.1</v>
      </c>
      <c r="O29" s="29">
        <f t="shared" si="29"/>
        <v>2208.5</v>
      </c>
      <c r="P29" s="29">
        <f t="shared" si="30"/>
        <v>2461.1</v>
      </c>
      <c r="Q29" s="29">
        <f t="shared" si="31"/>
        <v>2594.1999999999998</v>
      </c>
      <c r="R29" s="29">
        <f t="shared" si="32"/>
        <v>2702.8999999999996</v>
      </c>
      <c r="S29" s="29">
        <f t="shared" si="33"/>
        <v>2792</v>
      </c>
      <c r="T29" s="29">
        <f t="shared" si="34"/>
        <v>2493</v>
      </c>
      <c r="U29" s="29">
        <f t="shared" si="35"/>
        <v>2283.3000000000002</v>
      </c>
      <c r="V29" s="29">
        <f t="shared" si="36"/>
        <v>2062.5</v>
      </c>
      <c r="W29" s="29"/>
      <c r="X29" s="29"/>
      <c r="Y29" s="29"/>
      <c r="Z29" s="29"/>
      <c r="AA29" s="29"/>
      <c r="AK29" s="29">
        <v>11.6</v>
      </c>
      <c r="AL29" s="29">
        <v>17.8</v>
      </c>
      <c r="AM29" s="29">
        <v>40</v>
      </c>
      <c r="AN29" s="29">
        <v>73.099999999999994</v>
      </c>
      <c r="AO29" s="29">
        <v>93.9</v>
      </c>
      <c r="AP29" s="29">
        <v>111.2</v>
      </c>
      <c r="AQ29" s="29">
        <v>122.3</v>
      </c>
      <c r="AR29" s="29">
        <v>135.80000000000001</v>
      </c>
      <c r="AS29" s="29">
        <v>130</v>
      </c>
      <c r="AT29" s="29">
        <v>153</v>
      </c>
      <c r="AU29" s="29">
        <v>157</v>
      </c>
      <c r="AV29" s="29">
        <v>171.4</v>
      </c>
      <c r="AW29" s="29">
        <v>187.8</v>
      </c>
      <c r="AX29" s="29">
        <v>207.1</v>
      </c>
      <c r="AY29" s="29">
        <v>215</v>
      </c>
      <c r="AZ29" s="29">
        <v>244.1</v>
      </c>
      <c r="BA29" s="29">
        <v>247.2</v>
      </c>
      <c r="BB29" s="29">
        <v>275</v>
      </c>
      <c r="BC29" s="29">
        <v>313.89999999999998</v>
      </c>
      <c r="BD29" s="29">
        <v>318.7</v>
      </c>
      <c r="BE29" s="29">
        <v>335.3</v>
      </c>
      <c r="BF29" s="29">
        <v>385.3</v>
      </c>
      <c r="BG29" s="29">
        <v>461.9</v>
      </c>
      <c r="BH29" s="29">
        <v>523.6</v>
      </c>
      <c r="BI29" s="29">
        <v>527.4</v>
      </c>
      <c r="BJ29" s="29">
        <v>551.79999999999995</v>
      </c>
      <c r="BK29" s="29">
        <v>560.29999999999995</v>
      </c>
      <c r="BL29" s="29">
        <v>569</v>
      </c>
      <c r="BM29" s="29">
        <v>579.9</v>
      </c>
      <c r="BN29" s="29">
        <v>613.4</v>
      </c>
      <c r="BO29" s="29">
        <v>629.70000000000005</v>
      </c>
      <c r="BP29" s="29">
        <v>638.1</v>
      </c>
      <c r="BQ29" s="29">
        <v>606.79999999999995</v>
      </c>
      <c r="BR29" s="29">
        <v>659.5</v>
      </c>
      <c r="BS29" s="29">
        <v>643.6</v>
      </c>
      <c r="BT29" s="29">
        <v>684.3</v>
      </c>
      <c r="BU29" s="29">
        <v>616.79999999999995</v>
      </c>
      <c r="BV29" s="29">
        <v>669.4</v>
      </c>
      <c r="BW29" s="29">
        <v>690.5</v>
      </c>
      <c r="BX29" s="29">
        <v>726.2</v>
      </c>
      <c r="BY29" s="29">
        <v>632</v>
      </c>
      <c r="BZ29" s="29">
        <v>711.6</v>
      </c>
      <c r="CA29" s="29">
        <v>723.4</v>
      </c>
      <c r="CB29" s="29">
        <v>725</v>
      </c>
      <c r="CC29" s="29">
        <v>573</v>
      </c>
      <c r="CD29" s="29">
        <v>664.3</v>
      </c>
      <c r="CE29" s="29">
        <v>628.5</v>
      </c>
      <c r="CF29" s="29">
        <v>627.20000000000005</v>
      </c>
      <c r="CG29" s="29">
        <v>564.20000000000005</v>
      </c>
      <c r="CH29" s="29">
        <v>607.1</v>
      </c>
      <c r="CI29" s="29">
        <v>570.4</v>
      </c>
      <c r="CJ29" s="29">
        <v>541.6</v>
      </c>
      <c r="CK29" s="29">
        <v>489.9</v>
      </c>
      <c r="CL29" s="29">
        <v>532.9</v>
      </c>
      <c r="CM29" s="29">
        <v>514.5</v>
      </c>
      <c r="CN29" s="29">
        <v>525.20000000000005</v>
      </c>
      <c r="CO29" s="29">
        <v>499.6</v>
      </c>
      <c r="CP29" s="29">
        <v>555.9</v>
      </c>
      <c r="CQ29" s="29">
        <v>520.5</v>
      </c>
      <c r="CR29" s="29">
        <v>556.9</v>
      </c>
      <c r="CS29" s="29">
        <v>499.2</v>
      </c>
      <c r="CT29" s="29">
        <v>577.79999999999995</v>
      </c>
      <c r="CU29" s="29">
        <v>508.2</v>
      </c>
      <c r="CV29" s="29">
        <v>530.70000000000005</v>
      </c>
      <c r="CW29" s="29">
        <v>560.1</v>
      </c>
      <c r="CX29" s="29">
        <v>539.1</v>
      </c>
      <c r="CY29" s="29">
        <v>578</v>
      </c>
      <c r="CZ29" s="29">
        <v>652.70000000000005</v>
      </c>
      <c r="DA29" s="29">
        <v>559</v>
      </c>
      <c r="DB29" s="29">
        <v>610.6</v>
      </c>
      <c r="DC29" s="29">
        <v>457</v>
      </c>
      <c r="DD29" s="29">
        <v>434.9</v>
      </c>
      <c r="DE29" s="29">
        <v>343.9</v>
      </c>
      <c r="DF29" s="29">
        <v>227.7</v>
      </c>
      <c r="DG29" s="29">
        <v>119.4</v>
      </c>
      <c r="DH29" s="29">
        <v>236.6</v>
      </c>
      <c r="DI29" s="29">
        <v>58.2</v>
      </c>
    </row>
    <row r="30" spans="1:148" x14ac:dyDescent="0.25">
      <c r="A30">
        <f>+A29+1</f>
        <v>17</v>
      </c>
      <c r="B30" t="s">
        <v>647</v>
      </c>
      <c r="C30" t="s">
        <v>20</v>
      </c>
      <c r="D30" t="s">
        <v>1385</v>
      </c>
      <c r="E30">
        <v>2</v>
      </c>
      <c r="G30" s="30">
        <f t="shared" si="9"/>
        <v>32887.399999999994</v>
      </c>
      <c r="H30" s="30"/>
      <c r="I30" s="29">
        <f t="shared" si="10"/>
        <v>362</v>
      </c>
      <c r="J30" s="29">
        <f t="shared" si="11"/>
        <v>954.6</v>
      </c>
      <c r="K30" s="29">
        <f t="shared" si="27"/>
        <v>1734.4</v>
      </c>
      <c r="L30" s="29">
        <f t="shared" si="13"/>
        <v>2401</v>
      </c>
      <c r="M30" s="29">
        <f t="shared" si="14"/>
        <v>2891.2999999999997</v>
      </c>
      <c r="N30" s="29">
        <f t="shared" si="28"/>
        <v>3291.8999999999996</v>
      </c>
      <c r="O30" s="29">
        <f t="shared" si="29"/>
        <v>3722.1</v>
      </c>
      <c r="P30" s="29">
        <f t="shared" si="30"/>
        <v>4587.3</v>
      </c>
      <c r="Q30" s="29">
        <f t="shared" si="31"/>
        <v>5481.5999999999995</v>
      </c>
      <c r="R30" s="29">
        <f t="shared" si="32"/>
        <v>3138.5</v>
      </c>
      <c r="S30" s="29">
        <f t="shared" si="33"/>
        <v>1296.4000000000001</v>
      </c>
      <c r="T30" s="29">
        <f t="shared" si="34"/>
        <v>901.7</v>
      </c>
      <c r="U30" s="29">
        <f t="shared" si="35"/>
        <v>876.5</v>
      </c>
      <c r="V30" s="29">
        <f t="shared" si="36"/>
        <v>727.5</v>
      </c>
      <c r="W30" s="29"/>
      <c r="X30" s="29"/>
      <c r="Y30" s="29"/>
      <c r="Z30" s="29"/>
      <c r="AA30" s="29"/>
      <c r="AK30" s="29">
        <v>32.5</v>
      </c>
      <c r="AL30" s="29">
        <v>61.3</v>
      </c>
      <c r="AM30" s="29">
        <v>106.8</v>
      </c>
      <c r="AN30" s="29">
        <v>161.4</v>
      </c>
      <c r="AO30" s="29">
        <v>182.8</v>
      </c>
      <c r="AP30" s="29">
        <v>228.8</v>
      </c>
      <c r="AQ30" s="29">
        <v>233</v>
      </c>
      <c r="AR30" s="29">
        <v>310</v>
      </c>
      <c r="AS30" s="29">
        <v>349</v>
      </c>
      <c r="AT30" s="29">
        <v>424.1</v>
      </c>
      <c r="AU30" s="29">
        <v>441.8</v>
      </c>
      <c r="AV30" s="29">
        <v>519.5</v>
      </c>
      <c r="AW30" s="29">
        <v>513.20000000000005</v>
      </c>
      <c r="AX30" s="29">
        <v>628.29999999999995</v>
      </c>
      <c r="AY30" s="29">
        <v>605.1</v>
      </c>
      <c r="AZ30" s="29">
        <v>654.4</v>
      </c>
      <c r="BA30" s="29">
        <v>716.4</v>
      </c>
      <c r="BB30" s="29">
        <v>721.2</v>
      </c>
      <c r="BC30" s="29">
        <v>709.3</v>
      </c>
      <c r="BD30" s="29">
        <v>744.4</v>
      </c>
      <c r="BE30" s="29">
        <v>790.2</v>
      </c>
      <c r="BF30" s="29">
        <v>830.8</v>
      </c>
      <c r="BG30" s="29">
        <v>803.2</v>
      </c>
      <c r="BH30" s="29">
        <v>867.7</v>
      </c>
      <c r="BI30" s="29">
        <v>825.3</v>
      </c>
      <c r="BJ30" s="29">
        <v>984.6</v>
      </c>
      <c r="BK30" s="29">
        <v>908.8</v>
      </c>
      <c r="BL30" s="29">
        <v>1003.4</v>
      </c>
      <c r="BM30" s="29">
        <v>1068.5999999999999</v>
      </c>
      <c r="BN30" s="29">
        <v>1180.7</v>
      </c>
      <c r="BO30" s="29">
        <v>1114.9000000000001</v>
      </c>
      <c r="BP30" s="29">
        <v>1223.0999999999999</v>
      </c>
      <c r="BQ30" s="29">
        <v>1235.8</v>
      </c>
      <c r="BR30" s="29">
        <v>1420.4</v>
      </c>
      <c r="BS30" s="29">
        <v>1328.2</v>
      </c>
      <c r="BT30" s="29">
        <v>1497.2</v>
      </c>
      <c r="BU30" s="29">
        <v>1375.8</v>
      </c>
      <c r="BV30" s="29">
        <v>883.2</v>
      </c>
      <c r="BW30" s="29">
        <v>478.2</v>
      </c>
      <c r="BX30" s="29">
        <v>401.3</v>
      </c>
      <c r="BY30" s="29">
        <v>368</v>
      </c>
      <c r="BZ30" s="29">
        <v>367.3</v>
      </c>
      <c r="CA30" s="29">
        <v>287</v>
      </c>
      <c r="CB30" s="29">
        <v>274.10000000000002</v>
      </c>
      <c r="CC30" s="29">
        <v>242.9</v>
      </c>
      <c r="CD30" s="29">
        <v>223.6</v>
      </c>
      <c r="CE30" s="29">
        <v>198.7</v>
      </c>
      <c r="CF30" s="29">
        <v>236.5</v>
      </c>
      <c r="CG30" s="29">
        <v>313.5</v>
      </c>
      <c r="CH30" s="29">
        <v>181.8</v>
      </c>
      <c r="CI30" s="29">
        <v>174.6</v>
      </c>
      <c r="CJ30" s="29">
        <v>206.6</v>
      </c>
      <c r="CK30" s="29">
        <v>183.2</v>
      </c>
      <c r="CL30" s="29">
        <v>192.8</v>
      </c>
      <c r="CM30" s="29">
        <v>169.6</v>
      </c>
      <c r="CN30" s="29">
        <v>181.9</v>
      </c>
      <c r="CO30" s="29">
        <v>172</v>
      </c>
      <c r="CP30" s="29">
        <v>184.5</v>
      </c>
      <c r="CQ30" s="29">
        <v>164.1</v>
      </c>
    </row>
    <row r="31" spans="1:148" x14ac:dyDescent="0.25">
      <c r="A31">
        <f>+A7+1</f>
        <v>20</v>
      </c>
      <c r="B31" t="s">
        <v>641</v>
      </c>
      <c r="C31" t="s">
        <v>20</v>
      </c>
      <c r="D31" t="s">
        <v>1383</v>
      </c>
      <c r="G31" s="30">
        <f t="shared" si="9"/>
        <v>31498</v>
      </c>
      <c r="H31" s="30"/>
      <c r="I31" s="29">
        <f t="shared" si="10"/>
        <v>146.5</v>
      </c>
      <c r="J31" s="29">
        <f t="shared" si="11"/>
        <v>701</v>
      </c>
      <c r="K31" s="29">
        <f t="shared" si="27"/>
        <v>1717.8</v>
      </c>
      <c r="L31" s="29">
        <f t="shared" si="13"/>
        <v>2923.3</v>
      </c>
      <c r="M31" s="29">
        <f t="shared" si="14"/>
        <v>3844.4</v>
      </c>
      <c r="N31" s="29">
        <f t="shared" si="28"/>
        <v>4773.8999999999996</v>
      </c>
      <c r="O31" s="29">
        <f t="shared" si="29"/>
        <v>6090.5</v>
      </c>
      <c r="P31" s="29">
        <f t="shared" si="30"/>
        <v>7387.2999999999993</v>
      </c>
      <c r="Q31" s="29">
        <f t="shared" si="31"/>
        <v>3913.3</v>
      </c>
      <c r="R31" s="29">
        <f t="shared" si="32"/>
        <v>0</v>
      </c>
      <c r="S31" s="29">
        <f t="shared" si="33"/>
        <v>0</v>
      </c>
      <c r="T31" s="29">
        <f t="shared" si="34"/>
        <v>0</v>
      </c>
      <c r="U31" s="29">
        <f t="shared" si="35"/>
        <v>0</v>
      </c>
      <c r="V31" s="29">
        <f t="shared" si="36"/>
        <v>0</v>
      </c>
      <c r="W31" s="29"/>
      <c r="X31" s="29"/>
      <c r="Y31" s="29"/>
      <c r="Z31" s="29"/>
      <c r="AA31" s="29"/>
      <c r="AK31" s="28">
        <v>10.199999999999999</v>
      </c>
      <c r="AL31" s="28">
        <v>18.3</v>
      </c>
      <c r="AM31" s="28">
        <v>44.3</v>
      </c>
      <c r="AN31" s="28">
        <v>73.7</v>
      </c>
      <c r="AO31" s="28">
        <v>112.5</v>
      </c>
      <c r="AP31" s="28">
        <v>143.6</v>
      </c>
      <c r="AQ31" s="28">
        <v>201.3</v>
      </c>
      <c r="AR31" s="28">
        <v>243.6</v>
      </c>
      <c r="AS31" s="28">
        <v>337</v>
      </c>
      <c r="AT31" s="28">
        <v>372.9</v>
      </c>
      <c r="AU31" s="28">
        <v>480.2</v>
      </c>
      <c r="AV31" s="28">
        <v>527.70000000000005</v>
      </c>
      <c r="AW31" s="28">
        <v>649</v>
      </c>
      <c r="AX31" s="28">
        <v>678.3</v>
      </c>
      <c r="AY31" s="28">
        <v>779.8</v>
      </c>
      <c r="AZ31" s="28">
        <v>816.2</v>
      </c>
      <c r="BA31" s="28">
        <v>924.7</v>
      </c>
      <c r="BB31" s="28">
        <v>879.7</v>
      </c>
      <c r="BC31" s="28">
        <v>1028.5</v>
      </c>
      <c r="BD31" s="28">
        <v>1011.5</v>
      </c>
      <c r="BE31" s="28">
        <v>1208.0999999999999</v>
      </c>
      <c r="BF31" s="28">
        <v>1229.4000000000001</v>
      </c>
      <c r="BG31" s="28">
        <v>1229.8</v>
      </c>
      <c r="BH31" s="28">
        <v>1106.5999999999999</v>
      </c>
      <c r="BI31" s="28">
        <v>1502.4</v>
      </c>
      <c r="BJ31" s="28">
        <v>1452.4</v>
      </c>
      <c r="BK31" s="28">
        <v>1535.6</v>
      </c>
      <c r="BL31" s="28">
        <v>1600.1</v>
      </c>
      <c r="BM31" s="28">
        <v>1883.7</v>
      </c>
      <c r="BN31" s="28">
        <v>1741.3</v>
      </c>
      <c r="BO31" s="28">
        <v>1911.9</v>
      </c>
      <c r="BP31" s="28">
        <v>1850.4</v>
      </c>
      <c r="BQ31" s="28">
        <v>1936.2</v>
      </c>
      <c r="BR31" s="28">
        <v>1977.1</v>
      </c>
      <c r="BS31" s="30"/>
      <c r="BT31" s="30"/>
      <c r="BU31" s="30"/>
      <c r="BV31" s="30"/>
    </row>
    <row r="32" spans="1:148" x14ac:dyDescent="0.25">
      <c r="A32">
        <f>+A5+1</f>
        <v>6</v>
      </c>
      <c r="B32" t="s">
        <v>1428</v>
      </c>
      <c r="C32" t="s">
        <v>24</v>
      </c>
      <c r="D32" t="s">
        <v>1429</v>
      </c>
      <c r="G32" s="30">
        <f>SUM(I32:BN32)</f>
        <v>82695.364999999991</v>
      </c>
      <c r="H32" s="30"/>
      <c r="I32" s="29">
        <v>460.6</v>
      </c>
      <c r="J32" s="29">
        <v>798.2</v>
      </c>
      <c r="K32" s="29">
        <v>647.5</v>
      </c>
      <c r="L32" s="29">
        <v>945.6</v>
      </c>
      <c r="M32" s="29">
        <v>1053.5999999999999</v>
      </c>
      <c r="N32" s="29">
        <v>1508.3</v>
      </c>
      <c r="O32" s="29">
        <v>1961.3</v>
      </c>
      <c r="P32" s="29" t="s">
        <v>1430</v>
      </c>
      <c r="Q32" s="29" t="s">
        <v>1431</v>
      </c>
      <c r="R32" s="29">
        <v>1825.2649999999999</v>
      </c>
      <c r="S32" s="29">
        <v>3669</v>
      </c>
      <c r="T32" s="29">
        <v>4145</v>
      </c>
      <c r="U32" s="29">
        <v>4117</v>
      </c>
      <c r="V32" s="29">
        <v>3974</v>
      </c>
      <c r="W32" s="29">
        <v>4464</v>
      </c>
      <c r="X32" s="29">
        <v>6247</v>
      </c>
      <c r="Y32" s="29">
        <v>5719</v>
      </c>
      <c r="Z32" s="29">
        <v>5601</v>
      </c>
      <c r="AA32" s="29">
        <v>5802</v>
      </c>
      <c r="AB32" s="30">
        <v>5847</v>
      </c>
      <c r="AC32" s="29">
        <v>5850</v>
      </c>
      <c r="AD32" s="29">
        <v>5274</v>
      </c>
      <c r="AE32" s="29">
        <v>6337</v>
      </c>
      <c r="AF32" s="30">
        <v>6449</v>
      </c>
      <c r="AG32" s="28"/>
      <c r="AH32" s="28"/>
    </row>
    <row r="33" spans="1:122" x14ac:dyDescent="0.25">
      <c r="A33">
        <f>+A20+1</f>
        <v>22</v>
      </c>
      <c r="B33" t="s">
        <v>1419</v>
      </c>
      <c r="C33" t="s">
        <v>20</v>
      </c>
      <c r="D33" t="s">
        <v>1380</v>
      </c>
      <c r="E33">
        <v>2</v>
      </c>
      <c r="G33" s="30">
        <f t="shared" ref="G33:G66" si="37">SUM(AK33:GH33)</f>
        <v>28918.500000000007</v>
      </c>
      <c r="H33" s="30"/>
      <c r="I33" s="29">
        <f t="shared" ref="I33:I66" si="38">SUM(AK33:AN33)</f>
        <v>203.3</v>
      </c>
      <c r="J33" s="29">
        <f t="shared" ref="J33:J66" si="39">SUM(AO33:AR33)</f>
        <v>540.09999999999991</v>
      </c>
      <c r="K33" s="29">
        <f t="shared" ref="K33:K66" si="40">SUM(AS33:AV33)</f>
        <v>690.4</v>
      </c>
      <c r="L33" s="29">
        <f t="shared" ref="L33:L66" si="41">SUM(AW33:AZ33)</f>
        <v>943.3</v>
      </c>
      <c r="M33" s="29">
        <f t="shared" ref="M33:M66" si="42">SUM(BA33:BD33)</f>
        <v>1216.3</v>
      </c>
      <c r="N33" s="29">
        <f t="shared" ref="N33:N66" si="43">SUM(BE33:BH33)</f>
        <v>1444.4999999999998</v>
      </c>
      <c r="O33" s="29">
        <f t="shared" ref="O33:O66" si="44">SUM(BI33:BL33)</f>
        <v>1559.1000000000001</v>
      </c>
      <c r="P33" s="29">
        <f t="shared" ref="P33:P45" si="45">SUM(BM33:BP33)</f>
        <v>1699.4</v>
      </c>
      <c r="Q33" s="29">
        <f t="shared" ref="Q33:Q45" si="46">SUM(BQ33:BT33)</f>
        <v>1875.6</v>
      </c>
      <c r="R33" s="29">
        <f t="shared" ref="R33:R45" si="47">SUM(BU33:BX33)</f>
        <v>1926.8000000000002</v>
      </c>
      <c r="S33" s="29">
        <f t="shared" ref="S33:S45" si="48">SUM(BY33:CB33)</f>
        <v>2159.4</v>
      </c>
      <c r="T33" s="29">
        <f t="shared" ref="T33:T45" si="49">SUM(CC33:CF33)</f>
        <v>2291</v>
      </c>
      <c r="U33" s="29">
        <f>SUM(CG33:CJ33)</f>
        <v>2310.6999999999998</v>
      </c>
      <c r="V33" s="29">
        <f>SUM(CK33:CN33)</f>
        <v>2471.6999999999998</v>
      </c>
      <c r="W33" s="29"/>
      <c r="X33" s="29"/>
      <c r="Y33" s="29"/>
      <c r="Z33" s="29"/>
      <c r="AA33" s="29"/>
      <c r="AK33" s="29">
        <v>21.5</v>
      </c>
      <c r="AL33" s="29">
        <v>37.5</v>
      </c>
      <c r="AM33" s="29">
        <v>50.2</v>
      </c>
      <c r="AN33" s="29">
        <v>94.100000000000023</v>
      </c>
      <c r="AO33" s="29">
        <v>108.3</v>
      </c>
      <c r="AP33" s="29">
        <v>125</v>
      </c>
      <c r="AQ33" s="29">
        <v>154.1</v>
      </c>
      <c r="AR33" s="29">
        <v>152.69999999999999</v>
      </c>
      <c r="AS33" s="29">
        <v>150.1</v>
      </c>
      <c r="AT33" s="29">
        <v>165.1</v>
      </c>
      <c r="AU33" s="29">
        <v>180.1</v>
      </c>
      <c r="AV33" s="29">
        <v>195.1</v>
      </c>
      <c r="AW33" s="29">
        <v>210.1</v>
      </c>
      <c r="AX33" s="29">
        <v>225.1</v>
      </c>
      <c r="AY33" s="29">
        <v>240.1</v>
      </c>
      <c r="AZ33" s="29">
        <v>268</v>
      </c>
      <c r="BA33" s="29">
        <v>266</v>
      </c>
      <c r="BB33" s="29">
        <v>293.10000000000002</v>
      </c>
      <c r="BC33" s="29">
        <v>311</v>
      </c>
      <c r="BD33" s="29">
        <v>346.2</v>
      </c>
      <c r="BE33" s="29">
        <v>336.9</v>
      </c>
      <c r="BF33" s="27">
        <v>362.2</v>
      </c>
      <c r="BG33" s="27">
        <v>376.6</v>
      </c>
      <c r="BH33" s="27">
        <v>368.8</v>
      </c>
      <c r="BI33" s="27">
        <v>358.8</v>
      </c>
      <c r="BJ33" s="27">
        <v>363.6</v>
      </c>
      <c r="BK33" s="27">
        <v>397.2</v>
      </c>
      <c r="BL33" s="27">
        <v>439.5</v>
      </c>
      <c r="BM33" s="27">
        <v>408.3</v>
      </c>
      <c r="BN33" s="29">
        <v>418.7</v>
      </c>
      <c r="BO33" s="29">
        <v>406.5</v>
      </c>
      <c r="BP33" s="29">
        <v>465.9</v>
      </c>
      <c r="BQ33" s="29">
        <v>434.4</v>
      </c>
      <c r="BR33" s="29">
        <v>477.2</v>
      </c>
      <c r="BS33" s="29">
        <v>469.8</v>
      </c>
      <c r="BT33" s="29">
        <v>494.2</v>
      </c>
      <c r="BU33" s="29">
        <v>461.8</v>
      </c>
      <c r="BV33" s="29">
        <v>469.5</v>
      </c>
      <c r="BW33" s="27">
        <v>482.1</v>
      </c>
      <c r="BX33" s="27">
        <v>513.4</v>
      </c>
      <c r="BY33" s="27">
        <v>515</v>
      </c>
      <c r="BZ33" s="27">
        <v>529.4</v>
      </c>
      <c r="CA33" s="27">
        <v>526.70000000000005</v>
      </c>
      <c r="CB33" s="27">
        <v>588.29999999999995</v>
      </c>
      <c r="CC33" s="27">
        <v>532.4</v>
      </c>
      <c r="CD33" s="27">
        <v>567.79999999999995</v>
      </c>
      <c r="CE33" s="27">
        <v>568.4</v>
      </c>
      <c r="CF33" s="27">
        <v>622.4</v>
      </c>
      <c r="CG33" s="27">
        <v>538.29999999999995</v>
      </c>
      <c r="CH33" s="27">
        <v>567.9</v>
      </c>
      <c r="CI33" s="27">
        <v>566.1</v>
      </c>
      <c r="CJ33" s="27">
        <v>638.4</v>
      </c>
      <c r="CK33" s="27">
        <v>576.70000000000005</v>
      </c>
      <c r="CL33" s="27">
        <v>630.5</v>
      </c>
      <c r="CM33" s="27">
        <v>588.20000000000005</v>
      </c>
      <c r="CN33" s="27">
        <v>676.3</v>
      </c>
      <c r="CO33" s="27">
        <v>533.6</v>
      </c>
      <c r="CP33" s="27">
        <v>627.29999999999995</v>
      </c>
      <c r="CQ33" s="27">
        <v>564.9</v>
      </c>
      <c r="CR33" s="27">
        <v>597.4</v>
      </c>
      <c r="CS33" s="27">
        <v>495.4</v>
      </c>
      <c r="CT33" s="27">
        <v>538.70000000000005</v>
      </c>
      <c r="CU33" s="27">
        <v>467.1</v>
      </c>
      <c r="CV33">
        <v>350.7</v>
      </c>
      <c r="CW33">
        <v>308.2</v>
      </c>
      <c r="CX33">
        <v>200.2</v>
      </c>
      <c r="CY33">
        <v>184.3</v>
      </c>
      <c r="CZ33">
        <v>197.80000000000007</v>
      </c>
      <c r="DA33">
        <v>193</v>
      </c>
      <c r="DB33">
        <v>130.69999999999999</v>
      </c>
      <c r="DC33">
        <v>162.5</v>
      </c>
      <c r="DD33">
        <v>120.90000000000003</v>
      </c>
      <c r="DE33">
        <v>126.8</v>
      </c>
      <c r="DF33">
        <v>281</v>
      </c>
      <c r="DG33">
        <v>130.9</v>
      </c>
      <c r="DH33">
        <v>179.7</v>
      </c>
      <c r="DI33">
        <v>217.7</v>
      </c>
      <c r="DJ33">
        <v>147</v>
      </c>
      <c r="DK33">
        <v>115.7</v>
      </c>
      <c r="DL33">
        <v>106.89999999999998</v>
      </c>
      <c r="DM33">
        <v>100.3</v>
      </c>
      <c r="DN33">
        <v>115.6</v>
      </c>
      <c r="DO33">
        <v>86.8</v>
      </c>
      <c r="DP33">
        <v>78.8</v>
      </c>
      <c r="DQ33">
        <v>139.30000000000001</v>
      </c>
      <c r="DR33">
        <v>87.7</v>
      </c>
    </row>
    <row r="34" spans="1:122" x14ac:dyDescent="0.25">
      <c r="A34">
        <f>+A22+1</f>
        <v>25</v>
      </c>
      <c r="B34" t="s">
        <v>1311</v>
      </c>
      <c r="C34" t="s">
        <v>30</v>
      </c>
      <c r="D34" t="s">
        <v>1380</v>
      </c>
      <c r="E34">
        <v>1</v>
      </c>
      <c r="G34" s="30">
        <f t="shared" si="37"/>
        <v>23953</v>
      </c>
      <c r="H34" s="30"/>
      <c r="I34" s="29">
        <f t="shared" si="38"/>
        <v>70</v>
      </c>
      <c r="J34" s="29">
        <f t="shared" si="39"/>
        <v>315</v>
      </c>
      <c r="K34" s="29">
        <f t="shared" si="40"/>
        <v>752</v>
      </c>
      <c r="L34" s="29">
        <f t="shared" si="41"/>
        <v>1367</v>
      </c>
      <c r="M34" s="29">
        <f t="shared" si="42"/>
        <v>2097</v>
      </c>
      <c r="N34" s="29">
        <f t="shared" si="43"/>
        <v>3023</v>
      </c>
      <c r="O34" s="29">
        <f t="shared" si="44"/>
        <v>4091</v>
      </c>
      <c r="P34" s="29">
        <f t="shared" si="45"/>
        <v>5341</v>
      </c>
      <c r="Q34" s="29">
        <f t="shared" si="46"/>
        <v>6897</v>
      </c>
      <c r="R34" s="29">
        <f t="shared" si="47"/>
        <v>0</v>
      </c>
      <c r="S34" s="29">
        <f t="shared" si="48"/>
        <v>0</v>
      </c>
      <c r="T34" s="29">
        <f t="shared" si="49"/>
        <v>0</v>
      </c>
      <c r="U34" s="29">
        <f>SUM(CG34:CJ34)</f>
        <v>0</v>
      </c>
      <c r="V34" s="29">
        <f>SUM(CK34:CN34)</f>
        <v>0</v>
      </c>
      <c r="W34" s="29"/>
      <c r="X34" s="29"/>
      <c r="Y34" s="29"/>
      <c r="Z34" s="29"/>
      <c r="AA34" s="29"/>
      <c r="AK34" s="29">
        <v>16</v>
      </c>
      <c r="AL34" s="29">
        <v>5</v>
      </c>
      <c r="AM34" s="29">
        <v>17</v>
      </c>
      <c r="AN34">
        <v>32</v>
      </c>
      <c r="AO34">
        <v>53</v>
      </c>
      <c r="AP34">
        <v>68</v>
      </c>
      <c r="AQ34">
        <v>84</v>
      </c>
      <c r="AR34">
        <v>110</v>
      </c>
      <c r="AS34">
        <v>128</v>
      </c>
      <c r="AT34">
        <v>185</v>
      </c>
      <c r="AU34">
        <v>200</v>
      </c>
      <c r="AV34">
        <v>239</v>
      </c>
      <c r="AW34">
        <v>271</v>
      </c>
      <c r="AX34">
        <v>318</v>
      </c>
      <c r="AY34">
        <v>357</v>
      </c>
      <c r="AZ34">
        <v>421</v>
      </c>
      <c r="BA34">
        <v>430</v>
      </c>
      <c r="BB34">
        <v>518</v>
      </c>
      <c r="BC34">
        <v>569</v>
      </c>
      <c r="BD34">
        <v>580</v>
      </c>
      <c r="BE34">
        <v>632</v>
      </c>
      <c r="BF34">
        <v>716</v>
      </c>
      <c r="BG34">
        <v>789</v>
      </c>
      <c r="BH34">
        <v>886</v>
      </c>
      <c r="BI34">
        <v>924</v>
      </c>
      <c r="BJ34">
        <v>949</v>
      </c>
      <c r="BK34">
        <v>1093</v>
      </c>
      <c r="BL34">
        <v>1125</v>
      </c>
      <c r="BM34">
        <v>1135</v>
      </c>
      <c r="BN34">
        <v>1291</v>
      </c>
      <c r="BO34">
        <v>1399</v>
      </c>
      <c r="BP34">
        <v>1516</v>
      </c>
      <c r="BQ34">
        <v>1485</v>
      </c>
      <c r="BR34">
        <v>1635</v>
      </c>
      <c r="BS34">
        <v>1879</v>
      </c>
      <c r="BT34">
        <v>1898</v>
      </c>
    </row>
    <row r="35" spans="1:122" x14ac:dyDescent="0.25">
      <c r="A35">
        <f>+A34+1</f>
        <v>26</v>
      </c>
      <c r="B35" t="s">
        <v>1374</v>
      </c>
      <c r="C35" t="s">
        <v>24</v>
      </c>
      <c r="D35" t="s">
        <v>1378</v>
      </c>
      <c r="E35">
        <v>1</v>
      </c>
      <c r="G35" s="30">
        <f t="shared" si="37"/>
        <v>22574</v>
      </c>
      <c r="H35" s="30"/>
      <c r="I35" s="29">
        <f t="shared" si="38"/>
        <v>17175</v>
      </c>
      <c r="J35" s="29">
        <f t="shared" si="39"/>
        <v>6248</v>
      </c>
      <c r="K35" s="29">
        <f t="shared" si="40"/>
        <v>-849</v>
      </c>
      <c r="L35" s="29">
        <f t="shared" si="41"/>
        <v>0</v>
      </c>
      <c r="M35" s="29">
        <f t="shared" si="42"/>
        <v>0</v>
      </c>
      <c r="N35" s="29">
        <f t="shared" si="43"/>
        <v>0</v>
      </c>
      <c r="O35" s="29">
        <f t="shared" si="44"/>
        <v>0</v>
      </c>
      <c r="P35" s="29">
        <f t="shared" si="45"/>
        <v>0</v>
      </c>
      <c r="Q35" s="29">
        <f t="shared" si="46"/>
        <v>0</v>
      </c>
      <c r="R35" s="29">
        <f t="shared" si="47"/>
        <v>0</v>
      </c>
      <c r="S35" s="29">
        <f t="shared" si="48"/>
        <v>0</v>
      </c>
      <c r="T35" s="29">
        <f t="shared" si="49"/>
        <v>0</v>
      </c>
      <c r="U35" s="29">
        <f>SUM(CG35:CJ35)</f>
        <v>0</v>
      </c>
      <c r="V35" s="29">
        <f>SUM(CK35:CN35)</f>
        <v>0</v>
      </c>
      <c r="W35" s="29"/>
      <c r="X35" s="29"/>
      <c r="Y35" s="29"/>
      <c r="Z35" s="29"/>
      <c r="AA35" s="29"/>
      <c r="AK35" s="29">
        <v>76</v>
      </c>
      <c r="AL35" s="29">
        <v>1470</v>
      </c>
      <c r="AM35" s="29">
        <v>8115</v>
      </c>
      <c r="AN35" s="30">
        <v>7514</v>
      </c>
      <c r="AO35" s="30">
        <v>1834</v>
      </c>
      <c r="AP35" s="30">
        <v>4069</v>
      </c>
      <c r="AQ35">
        <v>143</v>
      </c>
      <c r="AR35">
        <v>202</v>
      </c>
      <c r="AS35">
        <v>-3135</v>
      </c>
      <c r="AT35">
        <v>2035</v>
      </c>
      <c r="AU35">
        <v>251</v>
      </c>
    </row>
    <row r="36" spans="1:122" x14ac:dyDescent="0.25">
      <c r="A36">
        <f>+A24+1</f>
        <v>30</v>
      </c>
      <c r="B36" t="s">
        <v>1396</v>
      </c>
      <c r="C36" t="s">
        <v>24</v>
      </c>
      <c r="D36" t="s">
        <v>1381</v>
      </c>
      <c r="G36" s="30">
        <f t="shared" si="37"/>
        <v>16115</v>
      </c>
      <c r="H36" s="30"/>
      <c r="I36" s="29">
        <f t="shared" si="38"/>
        <v>63</v>
      </c>
      <c r="J36" s="29">
        <f t="shared" si="39"/>
        <v>251</v>
      </c>
      <c r="K36" s="29">
        <f t="shared" si="40"/>
        <v>455</v>
      </c>
      <c r="L36" s="29">
        <f t="shared" si="41"/>
        <v>821</v>
      </c>
      <c r="M36" s="29">
        <f t="shared" si="42"/>
        <v>1212</v>
      </c>
      <c r="N36" s="29">
        <f t="shared" si="43"/>
        <v>1631</v>
      </c>
      <c r="O36" s="29">
        <f t="shared" si="44"/>
        <v>2188</v>
      </c>
      <c r="P36" s="29">
        <f t="shared" si="45"/>
        <v>2347</v>
      </c>
      <c r="Q36" s="29">
        <f t="shared" si="46"/>
        <v>2430</v>
      </c>
      <c r="R36" s="29">
        <f t="shared" si="47"/>
        <v>2025</v>
      </c>
      <c r="S36" s="29">
        <f t="shared" si="48"/>
        <v>1702</v>
      </c>
      <c r="T36" s="29">
        <f t="shared" si="49"/>
        <v>990</v>
      </c>
      <c r="U36" s="29">
        <f>SUM(CG36:CJ36)</f>
        <v>0</v>
      </c>
      <c r="V36" s="29">
        <f>SUM(CK36:CN36)</f>
        <v>0</v>
      </c>
      <c r="W36" s="29"/>
      <c r="X36" s="29"/>
      <c r="Y36" s="29"/>
      <c r="Z36" s="29"/>
      <c r="AA36" s="29"/>
      <c r="AK36" s="29">
        <v>6</v>
      </c>
      <c r="AL36" s="29">
        <v>0</v>
      </c>
      <c r="AM36" s="29">
        <v>22</v>
      </c>
      <c r="AN36">
        <v>35</v>
      </c>
      <c r="AO36">
        <v>46</v>
      </c>
      <c r="AP36">
        <v>52</v>
      </c>
      <c r="AQ36">
        <v>68</v>
      </c>
      <c r="AR36">
        <v>85</v>
      </c>
      <c r="AS36">
        <v>104</v>
      </c>
      <c r="AT36">
        <v>96</v>
      </c>
      <c r="AU36">
        <v>128</v>
      </c>
      <c r="AV36">
        <v>127</v>
      </c>
      <c r="AW36">
        <v>172</v>
      </c>
      <c r="AX36">
        <v>197</v>
      </c>
      <c r="AY36">
        <v>217</v>
      </c>
      <c r="AZ36">
        <v>235</v>
      </c>
      <c r="BA36">
        <v>278</v>
      </c>
      <c r="BB36">
        <v>250</v>
      </c>
      <c r="BC36">
        <v>336</v>
      </c>
      <c r="BD36">
        <v>348</v>
      </c>
      <c r="BE36">
        <v>410</v>
      </c>
      <c r="BF36">
        <v>326</v>
      </c>
      <c r="BG36">
        <v>463</v>
      </c>
      <c r="BH36">
        <v>432</v>
      </c>
      <c r="BI36">
        <v>553</v>
      </c>
      <c r="BJ36">
        <v>423</v>
      </c>
      <c r="BK36">
        <v>613</v>
      </c>
      <c r="BL36">
        <v>599</v>
      </c>
      <c r="BM36">
        <v>607</v>
      </c>
      <c r="BN36">
        <v>451</v>
      </c>
      <c r="BO36">
        <v>635</v>
      </c>
      <c r="BP36">
        <v>654</v>
      </c>
      <c r="BQ36">
        <v>696</v>
      </c>
      <c r="BR36">
        <v>538</v>
      </c>
      <c r="BS36">
        <v>586</v>
      </c>
      <c r="BT36">
        <v>610</v>
      </c>
      <c r="BU36">
        <v>721</v>
      </c>
      <c r="BV36">
        <v>372</v>
      </c>
      <c r="BW36">
        <v>430</v>
      </c>
      <c r="BX36">
        <v>502</v>
      </c>
      <c r="BY36">
        <v>493</v>
      </c>
      <c r="BZ36">
        <v>237</v>
      </c>
      <c r="CA36">
        <v>469</v>
      </c>
      <c r="CB36">
        <v>503</v>
      </c>
      <c r="CC36">
        <v>493</v>
      </c>
      <c r="CD36">
        <v>194</v>
      </c>
      <c r="CE36">
        <v>303</v>
      </c>
    </row>
    <row r="37" spans="1:122" x14ac:dyDescent="0.25">
      <c r="A37">
        <f>+A24+1</f>
        <v>30</v>
      </c>
      <c r="B37" t="s">
        <v>1368</v>
      </c>
      <c r="C37" t="s">
        <v>46</v>
      </c>
      <c r="D37" t="s">
        <v>1382</v>
      </c>
      <c r="G37" s="30">
        <f t="shared" si="37"/>
        <v>12925</v>
      </c>
      <c r="H37" s="30"/>
      <c r="I37" s="29">
        <f t="shared" si="38"/>
        <v>549</v>
      </c>
      <c r="J37" s="29">
        <f t="shared" si="39"/>
        <v>1328</v>
      </c>
      <c r="K37" s="29">
        <f t="shared" si="40"/>
        <v>1562</v>
      </c>
      <c r="L37" s="29">
        <f t="shared" si="41"/>
        <v>1616</v>
      </c>
      <c r="M37" s="29">
        <f t="shared" si="42"/>
        <v>1762</v>
      </c>
      <c r="N37" s="29">
        <f t="shared" si="43"/>
        <v>1715</v>
      </c>
      <c r="O37" s="29">
        <f t="shared" si="44"/>
        <v>1946</v>
      </c>
      <c r="P37" s="29">
        <f t="shared" si="45"/>
        <v>1962</v>
      </c>
      <c r="Q37" s="29">
        <f t="shared" si="46"/>
        <v>485</v>
      </c>
      <c r="R37" s="29">
        <f t="shared" si="47"/>
        <v>0</v>
      </c>
      <c r="S37" s="29">
        <f t="shared" si="48"/>
        <v>0</v>
      </c>
      <c r="T37" s="29">
        <f t="shared" si="49"/>
        <v>0</v>
      </c>
      <c r="U37" s="29">
        <f>SUM(CG37:CJ37)</f>
        <v>0</v>
      </c>
      <c r="V37" s="29">
        <f>SUM(CK37:CN37)</f>
        <v>0</v>
      </c>
      <c r="W37" s="29"/>
      <c r="X37" s="29"/>
      <c r="Y37" s="29"/>
      <c r="Z37" s="29"/>
      <c r="AA37" s="29"/>
      <c r="AK37" s="29">
        <v>61</v>
      </c>
      <c r="AL37" s="29">
        <v>88</v>
      </c>
      <c r="AM37" s="29">
        <v>149</v>
      </c>
      <c r="AN37" s="29">
        <v>251</v>
      </c>
      <c r="AO37" s="29">
        <v>286</v>
      </c>
      <c r="AP37" s="29">
        <v>316</v>
      </c>
      <c r="AQ37" s="29">
        <v>365</v>
      </c>
      <c r="AR37" s="29">
        <v>361</v>
      </c>
      <c r="AS37" s="29">
        <v>403</v>
      </c>
      <c r="AT37" s="29">
        <v>406</v>
      </c>
      <c r="AU37" s="29">
        <v>411</v>
      </c>
      <c r="AV37" s="29">
        <v>342</v>
      </c>
      <c r="AW37" s="29">
        <v>358</v>
      </c>
      <c r="AX37" s="29">
        <v>363</v>
      </c>
      <c r="AY37" s="29">
        <v>437</v>
      </c>
      <c r="AZ37" s="29">
        <v>458</v>
      </c>
      <c r="BA37" s="29">
        <v>417</v>
      </c>
      <c r="BB37" s="29">
        <v>508</v>
      </c>
      <c r="BC37" s="29">
        <v>478</v>
      </c>
      <c r="BD37" s="29">
        <v>359</v>
      </c>
      <c r="BE37" s="29">
        <v>435</v>
      </c>
      <c r="BF37" s="29">
        <v>433</v>
      </c>
      <c r="BG37">
        <v>473</v>
      </c>
      <c r="BH37">
        <v>374</v>
      </c>
      <c r="BI37">
        <v>460</v>
      </c>
      <c r="BJ37">
        <v>500</v>
      </c>
      <c r="BK37">
        <v>537</v>
      </c>
      <c r="BL37">
        <v>449</v>
      </c>
      <c r="BM37">
        <v>516</v>
      </c>
      <c r="BN37">
        <v>511</v>
      </c>
      <c r="BO37">
        <v>509</v>
      </c>
      <c r="BP37">
        <v>426</v>
      </c>
      <c r="BQ37">
        <v>485</v>
      </c>
    </row>
    <row r="38" spans="1:122" x14ac:dyDescent="0.25">
      <c r="A38">
        <f>+A37+1</f>
        <v>31</v>
      </c>
      <c r="B38" t="s">
        <v>1375</v>
      </c>
      <c r="C38" t="s">
        <v>24</v>
      </c>
      <c r="D38" t="s">
        <v>1395</v>
      </c>
      <c r="E38">
        <v>1</v>
      </c>
      <c r="G38" s="30">
        <f t="shared" si="37"/>
        <v>12080</v>
      </c>
      <c r="H38" s="30"/>
      <c r="I38" s="29">
        <f t="shared" si="38"/>
        <v>180</v>
      </c>
      <c r="J38" s="29">
        <f t="shared" si="39"/>
        <v>877</v>
      </c>
      <c r="K38" s="29">
        <f t="shared" si="40"/>
        <v>1734</v>
      </c>
      <c r="L38" s="29">
        <f t="shared" si="41"/>
        <v>2226</v>
      </c>
      <c r="M38" s="29">
        <f t="shared" si="42"/>
        <v>2750</v>
      </c>
      <c r="N38" s="29">
        <f t="shared" si="43"/>
        <v>4313</v>
      </c>
      <c r="O38" s="29">
        <f t="shared" si="44"/>
        <v>0</v>
      </c>
      <c r="P38" s="29">
        <f t="shared" si="45"/>
        <v>0</v>
      </c>
      <c r="Q38" s="29">
        <f t="shared" si="46"/>
        <v>0</v>
      </c>
      <c r="R38" s="29">
        <f t="shared" si="47"/>
        <v>0</v>
      </c>
      <c r="S38" s="29">
        <f t="shared" si="48"/>
        <v>0</v>
      </c>
      <c r="T38" s="29">
        <f t="shared" si="49"/>
        <v>0</v>
      </c>
      <c r="U38" s="29"/>
      <c r="V38" s="29"/>
      <c r="W38" s="29"/>
      <c r="X38" s="29"/>
      <c r="Y38" s="29"/>
      <c r="Z38" s="29"/>
      <c r="AA38" s="29"/>
      <c r="AK38" s="29">
        <v>37</v>
      </c>
      <c r="AL38" s="29">
        <v>39</v>
      </c>
      <c r="AM38" s="29">
        <v>41</v>
      </c>
      <c r="AN38" s="29">
        <v>63</v>
      </c>
      <c r="AO38" s="29">
        <v>156</v>
      </c>
      <c r="AP38" s="29">
        <v>213</v>
      </c>
      <c r="AQ38" s="29">
        <v>231</v>
      </c>
      <c r="AR38" s="29">
        <v>277</v>
      </c>
      <c r="AS38" s="29">
        <v>351</v>
      </c>
      <c r="AT38" s="29">
        <v>429</v>
      </c>
      <c r="AU38" s="29">
        <v>453</v>
      </c>
      <c r="AV38" s="29">
        <v>501</v>
      </c>
      <c r="AW38" s="29">
        <v>501</v>
      </c>
      <c r="AX38" s="29">
        <v>561</v>
      </c>
      <c r="AY38" s="29">
        <v>612</v>
      </c>
      <c r="AZ38" s="29">
        <v>552</v>
      </c>
      <c r="BA38" s="29">
        <v>602</v>
      </c>
      <c r="BB38" s="29">
        <v>680</v>
      </c>
      <c r="BC38" s="29">
        <v>686</v>
      </c>
      <c r="BD38" s="29">
        <v>782</v>
      </c>
      <c r="BE38" s="29">
        <v>892</v>
      </c>
      <c r="BF38" s="29">
        <v>961</v>
      </c>
      <c r="BG38">
        <v>1137</v>
      </c>
      <c r="BH38">
        <v>1323</v>
      </c>
    </row>
    <row r="39" spans="1:122" x14ac:dyDescent="0.25">
      <c r="A39">
        <f>+A38+1</f>
        <v>32</v>
      </c>
      <c r="B39" t="s">
        <v>639</v>
      </c>
      <c r="C39" t="s">
        <v>20</v>
      </c>
      <c r="D39" t="s">
        <v>1381</v>
      </c>
      <c r="G39" s="30">
        <f t="shared" si="37"/>
        <v>9986.4</v>
      </c>
      <c r="H39" s="30"/>
      <c r="I39" s="29">
        <f t="shared" si="38"/>
        <v>209.7</v>
      </c>
      <c r="J39" s="29">
        <f t="shared" si="39"/>
        <v>609</v>
      </c>
      <c r="K39" s="29">
        <f t="shared" si="40"/>
        <v>1043.5</v>
      </c>
      <c r="L39" s="29">
        <f t="shared" si="41"/>
        <v>1557.4</v>
      </c>
      <c r="M39" s="29">
        <f t="shared" si="42"/>
        <v>1748.2</v>
      </c>
      <c r="N39" s="29">
        <f t="shared" si="43"/>
        <v>2297.6999999999998</v>
      </c>
      <c r="O39" s="29">
        <f t="shared" si="44"/>
        <v>2520.8999999999996</v>
      </c>
      <c r="P39" s="29">
        <f t="shared" si="45"/>
        <v>0</v>
      </c>
      <c r="Q39" s="29">
        <f t="shared" si="46"/>
        <v>0</v>
      </c>
      <c r="R39" s="29">
        <f t="shared" si="47"/>
        <v>0</v>
      </c>
      <c r="S39" s="29">
        <f t="shared" si="48"/>
        <v>0</v>
      </c>
      <c r="T39" s="29">
        <f t="shared" si="49"/>
        <v>0</v>
      </c>
      <c r="U39" s="29"/>
      <c r="V39" s="29"/>
      <c r="W39" s="29"/>
      <c r="X39" s="29"/>
      <c r="Y39" s="29"/>
      <c r="Z39" s="29"/>
      <c r="AA39" s="29"/>
      <c r="AK39" s="28">
        <v>19.3</v>
      </c>
      <c r="AL39" s="28">
        <v>32.5</v>
      </c>
      <c r="AM39" s="28">
        <v>61.3</v>
      </c>
      <c r="AN39" s="28">
        <v>96.6</v>
      </c>
      <c r="AO39" s="28">
        <v>138.69999999999999</v>
      </c>
      <c r="AP39" s="28">
        <v>151.30000000000001</v>
      </c>
      <c r="AQ39" s="28">
        <v>172.5</v>
      </c>
      <c r="AR39" s="28">
        <v>146.5</v>
      </c>
      <c r="AS39" s="28">
        <v>220.1</v>
      </c>
      <c r="AT39" s="28">
        <v>263.89999999999998</v>
      </c>
      <c r="AU39" s="28">
        <v>307</v>
      </c>
      <c r="AV39" s="28">
        <v>252.5</v>
      </c>
      <c r="AW39" s="28">
        <v>353.8</v>
      </c>
      <c r="AX39" s="28">
        <v>340</v>
      </c>
      <c r="AY39" s="28">
        <v>420.1</v>
      </c>
      <c r="AZ39" s="28">
        <v>443.5</v>
      </c>
      <c r="BA39" s="28">
        <v>395.2</v>
      </c>
      <c r="BB39" s="28">
        <v>454.5</v>
      </c>
      <c r="BC39" s="28">
        <v>495.3</v>
      </c>
      <c r="BD39" s="28">
        <v>403.2</v>
      </c>
      <c r="BE39" s="28">
        <v>569.1</v>
      </c>
      <c r="BF39" s="28">
        <v>593.1</v>
      </c>
      <c r="BG39" s="28">
        <v>647.4</v>
      </c>
      <c r="BH39" s="28">
        <v>488.1</v>
      </c>
      <c r="BI39" s="28">
        <v>606.20000000000005</v>
      </c>
      <c r="BJ39" s="28">
        <v>679.9</v>
      </c>
      <c r="BK39" s="28">
        <v>707.8</v>
      </c>
      <c r="BL39" s="28">
        <v>527</v>
      </c>
    </row>
    <row r="40" spans="1:122" x14ac:dyDescent="0.25">
      <c r="A40">
        <f>+A39+1</f>
        <v>33</v>
      </c>
      <c r="B40" t="s">
        <v>658</v>
      </c>
      <c r="C40" t="s">
        <v>659</v>
      </c>
      <c r="G40" s="30">
        <f t="shared" si="37"/>
        <v>9091</v>
      </c>
      <c r="H40" s="30"/>
      <c r="I40" s="29">
        <f t="shared" si="38"/>
        <v>200</v>
      </c>
      <c r="J40" s="29">
        <f t="shared" si="39"/>
        <v>261</v>
      </c>
      <c r="K40" s="29">
        <f t="shared" si="40"/>
        <v>289</v>
      </c>
      <c r="L40" s="29">
        <f t="shared" si="41"/>
        <v>340</v>
      </c>
      <c r="M40" s="29">
        <f t="shared" si="42"/>
        <v>353</v>
      </c>
      <c r="N40" s="29">
        <f t="shared" si="43"/>
        <v>481</v>
      </c>
      <c r="O40" s="29">
        <f t="shared" si="44"/>
        <v>705</v>
      </c>
      <c r="P40" s="29">
        <f t="shared" si="45"/>
        <v>917</v>
      </c>
      <c r="Q40" s="29">
        <f t="shared" si="46"/>
        <v>1130</v>
      </c>
      <c r="R40" s="29">
        <f t="shared" si="47"/>
        <v>1198</v>
      </c>
      <c r="S40" s="29">
        <f t="shared" si="48"/>
        <v>1532</v>
      </c>
      <c r="T40" s="29">
        <f t="shared" si="49"/>
        <v>1685</v>
      </c>
      <c r="U40" s="29"/>
      <c r="V40" s="29"/>
      <c r="W40" s="29"/>
      <c r="X40" s="29"/>
      <c r="Y40" s="29"/>
      <c r="Z40" s="29"/>
      <c r="AA40" s="29"/>
      <c r="AK40" s="27">
        <v>41</v>
      </c>
      <c r="AL40" s="27">
        <v>47</v>
      </c>
      <c r="AM40" s="27">
        <v>52</v>
      </c>
      <c r="AN40">
        <v>60</v>
      </c>
      <c r="AO40">
        <v>58</v>
      </c>
      <c r="AP40">
        <v>60</v>
      </c>
      <c r="AQ40">
        <v>68</v>
      </c>
      <c r="AR40">
        <v>75</v>
      </c>
      <c r="AS40">
        <v>63</v>
      </c>
      <c r="AT40">
        <v>69</v>
      </c>
      <c r="AU40">
        <v>75</v>
      </c>
      <c r="AV40">
        <v>82</v>
      </c>
      <c r="AW40">
        <v>73</v>
      </c>
      <c r="AX40">
        <v>82</v>
      </c>
      <c r="AY40">
        <v>90</v>
      </c>
      <c r="AZ40">
        <v>95</v>
      </c>
      <c r="BA40">
        <v>85</v>
      </c>
      <c r="BB40">
        <v>87</v>
      </c>
      <c r="BC40">
        <v>89</v>
      </c>
      <c r="BD40">
        <v>92</v>
      </c>
      <c r="BE40">
        <v>90</v>
      </c>
      <c r="BF40">
        <v>113</v>
      </c>
      <c r="BG40">
        <v>139</v>
      </c>
      <c r="BH40">
        <v>139</v>
      </c>
      <c r="BI40">
        <v>148</v>
      </c>
      <c r="BJ40">
        <v>163</v>
      </c>
      <c r="BK40">
        <v>185</v>
      </c>
      <c r="BL40">
        <v>209</v>
      </c>
      <c r="BM40">
        <v>204</v>
      </c>
      <c r="BN40">
        <v>240</v>
      </c>
      <c r="BO40">
        <v>217</v>
      </c>
      <c r="BP40">
        <v>256</v>
      </c>
      <c r="BQ40">
        <v>255</v>
      </c>
      <c r="BR40">
        <v>278</v>
      </c>
      <c r="BS40">
        <v>284</v>
      </c>
      <c r="BT40">
        <v>313</v>
      </c>
      <c r="BU40">
        <v>299</v>
      </c>
      <c r="BV40">
        <v>224</v>
      </c>
      <c r="BW40">
        <v>320</v>
      </c>
      <c r="BX40">
        <v>355</v>
      </c>
      <c r="BY40">
        <v>340</v>
      </c>
      <c r="BZ40">
        <v>387</v>
      </c>
      <c r="CA40">
        <v>369</v>
      </c>
      <c r="CB40">
        <v>436</v>
      </c>
      <c r="CC40">
        <v>395</v>
      </c>
      <c r="CD40">
        <v>426</v>
      </c>
      <c r="CE40">
        <v>423</v>
      </c>
      <c r="CF40">
        <v>441</v>
      </c>
    </row>
    <row r="41" spans="1:122" x14ac:dyDescent="0.25">
      <c r="A41">
        <f>+A19+1</f>
        <v>35</v>
      </c>
      <c r="B41" t="s">
        <v>652</v>
      </c>
      <c r="C41" t="s">
        <v>15</v>
      </c>
      <c r="G41" s="30">
        <f t="shared" si="37"/>
        <v>8385</v>
      </c>
      <c r="H41" s="30"/>
      <c r="I41" s="29">
        <f t="shared" si="38"/>
        <v>416</v>
      </c>
      <c r="J41" s="29">
        <f t="shared" si="39"/>
        <v>917</v>
      </c>
      <c r="K41" s="29">
        <f t="shared" si="40"/>
        <v>1235</v>
      </c>
      <c r="L41" s="29">
        <f t="shared" si="41"/>
        <v>1816</v>
      </c>
      <c r="M41" s="29">
        <f t="shared" si="42"/>
        <v>2609</v>
      </c>
      <c r="N41" s="29">
        <f t="shared" si="43"/>
        <v>1392</v>
      </c>
      <c r="O41" s="29">
        <f t="shared" si="44"/>
        <v>0</v>
      </c>
      <c r="P41" s="29">
        <f t="shared" si="45"/>
        <v>0</v>
      </c>
      <c r="Q41" s="29">
        <f t="shared" si="46"/>
        <v>0</v>
      </c>
      <c r="R41" s="29">
        <f t="shared" si="47"/>
        <v>0</v>
      </c>
      <c r="S41" s="29">
        <f t="shared" si="48"/>
        <v>0</v>
      </c>
      <c r="T41" s="29">
        <f t="shared" si="49"/>
        <v>0</v>
      </c>
      <c r="U41" s="29"/>
      <c r="V41" s="29"/>
      <c r="W41" s="29"/>
      <c r="X41" s="29"/>
      <c r="Y41" s="29"/>
      <c r="Z41" s="29"/>
      <c r="AA41" s="29"/>
      <c r="AK41" s="29">
        <v>47</v>
      </c>
      <c r="AL41" s="29">
        <v>72</v>
      </c>
      <c r="AM41" s="29">
        <v>126</v>
      </c>
      <c r="AN41" s="29">
        <v>171</v>
      </c>
      <c r="AO41" s="29">
        <v>175</v>
      </c>
      <c r="AP41" s="29">
        <v>217</v>
      </c>
      <c r="AQ41" s="29">
        <v>235</v>
      </c>
      <c r="AR41" s="29">
        <v>290</v>
      </c>
      <c r="AS41" s="29">
        <v>270</v>
      </c>
      <c r="AT41" s="29">
        <v>296</v>
      </c>
      <c r="AU41" s="29">
        <v>342</v>
      </c>
      <c r="AV41" s="29">
        <v>327</v>
      </c>
      <c r="AW41" s="29">
        <v>382</v>
      </c>
      <c r="AX41" s="29">
        <v>418</v>
      </c>
      <c r="AY41" s="29">
        <v>479</v>
      </c>
      <c r="AZ41" s="29">
        <v>537</v>
      </c>
      <c r="BA41" s="29">
        <v>693</v>
      </c>
      <c r="BB41" s="29">
        <v>590</v>
      </c>
      <c r="BC41" s="29">
        <v>597</v>
      </c>
      <c r="BD41" s="29">
        <v>729</v>
      </c>
      <c r="BE41" s="29">
        <v>752</v>
      </c>
      <c r="BF41" s="29">
        <v>640</v>
      </c>
    </row>
    <row r="42" spans="1:122" x14ac:dyDescent="0.25">
      <c r="A42">
        <f t="shared" ref="A42:A66" si="50">+A41+1</f>
        <v>36</v>
      </c>
      <c r="B42" t="s">
        <v>642</v>
      </c>
      <c r="C42" t="s">
        <v>20</v>
      </c>
      <c r="G42" s="30">
        <f t="shared" si="37"/>
        <v>7600.5999999999995</v>
      </c>
      <c r="H42" s="30"/>
      <c r="I42" s="29">
        <f t="shared" si="38"/>
        <v>60.4</v>
      </c>
      <c r="J42" s="29">
        <f t="shared" si="39"/>
        <v>201.9</v>
      </c>
      <c r="K42" s="29">
        <f t="shared" si="40"/>
        <v>447.59999999999997</v>
      </c>
      <c r="L42" s="29">
        <f t="shared" si="41"/>
        <v>658.3</v>
      </c>
      <c r="M42" s="29">
        <f t="shared" si="42"/>
        <v>944.2</v>
      </c>
      <c r="N42" s="29">
        <f t="shared" si="43"/>
        <v>1153.9000000000001</v>
      </c>
      <c r="O42" s="29">
        <f t="shared" si="44"/>
        <v>1490.8000000000002</v>
      </c>
      <c r="P42" s="29">
        <f t="shared" si="45"/>
        <v>2066</v>
      </c>
      <c r="Q42" s="29">
        <f t="shared" si="46"/>
        <v>577.5</v>
      </c>
      <c r="R42" s="29">
        <f t="shared" si="47"/>
        <v>0</v>
      </c>
      <c r="S42" s="29">
        <f t="shared" si="48"/>
        <v>0</v>
      </c>
      <c r="T42" s="29">
        <f t="shared" si="49"/>
        <v>0</v>
      </c>
      <c r="U42" s="29"/>
      <c r="V42" s="29"/>
      <c r="W42" s="29"/>
      <c r="X42" s="29"/>
      <c r="Y42" s="29"/>
      <c r="Z42" s="29"/>
      <c r="AA42" s="29"/>
      <c r="AK42" s="29">
        <v>19.3</v>
      </c>
      <c r="AL42" s="29">
        <v>11.1</v>
      </c>
      <c r="AM42" s="29">
        <v>15.4</v>
      </c>
      <c r="AN42" s="29">
        <v>14.6</v>
      </c>
      <c r="AO42" s="29">
        <v>38.200000000000003</v>
      </c>
      <c r="AP42" s="29">
        <v>40.1</v>
      </c>
      <c r="AQ42" s="29">
        <v>47.5</v>
      </c>
      <c r="AR42" s="29">
        <v>76.099999999999994</v>
      </c>
      <c r="AS42" s="29">
        <v>74</v>
      </c>
      <c r="AT42" s="29">
        <v>103.2</v>
      </c>
      <c r="AU42" s="29">
        <v>127.2</v>
      </c>
      <c r="AV42" s="29">
        <v>143.19999999999999</v>
      </c>
      <c r="AW42" s="29">
        <v>151</v>
      </c>
      <c r="AX42" s="29">
        <v>147.19999999999999</v>
      </c>
      <c r="AY42" s="29">
        <v>166.9</v>
      </c>
      <c r="AZ42" s="29">
        <v>193.2</v>
      </c>
      <c r="BA42" s="29">
        <v>203.6</v>
      </c>
      <c r="BB42" s="29">
        <v>231.9</v>
      </c>
      <c r="BC42" s="29">
        <v>240.7</v>
      </c>
      <c r="BD42" s="29">
        <v>268</v>
      </c>
      <c r="BE42" s="29">
        <v>267.5</v>
      </c>
      <c r="BF42" s="29">
        <v>262</v>
      </c>
      <c r="BG42" s="29">
        <v>310.8</v>
      </c>
      <c r="BH42" s="29">
        <v>313.60000000000002</v>
      </c>
      <c r="BI42" s="29">
        <v>312</v>
      </c>
      <c r="BJ42" s="29">
        <v>356.5</v>
      </c>
      <c r="BK42" s="29">
        <v>390.4</v>
      </c>
      <c r="BL42" s="29">
        <v>431.9</v>
      </c>
      <c r="BM42" s="29">
        <v>419.4</v>
      </c>
      <c r="BN42" s="29">
        <v>461</v>
      </c>
      <c r="BO42" s="29">
        <v>573.29999999999995</v>
      </c>
      <c r="BP42" s="29">
        <v>612.29999999999995</v>
      </c>
      <c r="BQ42" s="29">
        <v>577.5</v>
      </c>
    </row>
    <row r="43" spans="1:122" ht="13" x14ac:dyDescent="0.3">
      <c r="A43">
        <f t="shared" si="50"/>
        <v>37</v>
      </c>
      <c r="B43" t="s">
        <v>630</v>
      </c>
      <c r="C43" t="s">
        <v>20</v>
      </c>
      <c r="F43" t="s">
        <v>632</v>
      </c>
      <c r="G43" s="30">
        <f t="shared" si="37"/>
        <v>7453</v>
      </c>
      <c r="H43" s="30"/>
      <c r="I43" s="29">
        <f t="shared" si="38"/>
        <v>1051</v>
      </c>
      <c r="J43" s="29">
        <f t="shared" si="39"/>
        <v>6402</v>
      </c>
      <c r="K43" s="29">
        <f t="shared" si="40"/>
        <v>0</v>
      </c>
      <c r="L43" s="29">
        <f t="shared" si="41"/>
        <v>0</v>
      </c>
      <c r="M43" s="29">
        <f t="shared" si="42"/>
        <v>0</v>
      </c>
      <c r="N43" s="29">
        <f t="shared" si="43"/>
        <v>0</v>
      </c>
      <c r="O43" s="29">
        <f t="shared" si="44"/>
        <v>0</v>
      </c>
      <c r="P43" s="29">
        <f t="shared" si="45"/>
        <v>0</v>
      </c>
      <c r="Q43" s="29">
        <f t="shared" si="46"/>
        <v>0</v>
      </c>
      <c r="R43" s="29">
        <f t="shared" si="47"/>
        <v>0</v>
      </c>
      <c r="S43" s="29">
        <f t="shared" si="48"/>
        <v>0</v>
      </c>
      <c r="T43" s="29">
        <f t="shared" si="49"/>
        <v>0</v>
      </c>
      <c r="U43" s="29"/>
      <c r="V43" s="29"/>
      <c r="W43" s="29"/>
      <c r="X43" s="29"/>
      <c r="Y43" s="29"/>
      <c r="Z43" s="29"/>
      <c r="AA43" s="29"/>
      <c r="AK43" s="28">
        <v>16</v>
      </c>
      <c r="AL43" s="28">
        <v>187.3</v>
      </c>
      <c r="AM43" s="28">
        <v>279.2</v>
      </c>
      <c r="AN43" s="31">
        <v>568.5</v>
      </c>
      <c r="AO43" s="28">
        <v>980</v>
      </c>
      <c r="AP43" s="28">
        <v>1409</v>
      </c>
      <c r="AQ43" s="28">
        <v>2206</v>
      </c>
      <c r="AR43" s="28">
        <v>1807</v>
      </c>
      <c r="AS43" s="28"/>
      <c r="AT43" s="28"/>
      <c r="AU43" s="28"/>
    </row>
    <row r="44" spans="1:122" x14ac:dyDescent="0.25">
      <c r="A44">
        <f t="shared" si="50"/>
        <v>38</v>
      </c>
      <c r="B44" t="s">
        <v>1312</v>
      </c>
      <c r="C44" t="s">
        <v>30</v>
      </c>
      <c r="G44" s="30">
        <f t="shared" si="37"/>
        <v>7070</v>
      </c>
      <c r="H44" s="30"/>
      <c r="I44" s="29">
        <f t="shared" si="38"/>
        <v>76</v>
      </c>
      <c r="J44" s="29">
        <f t="shared" si="39"/>
        <v>235</v>
      </c>
      <c r="K44" s="29">
        <f t="shared" si="40"/>
        <v>480</v>
      </c>
      <c r="L44" s="29">
        <f t="shared" si="41"/>
        <v>687</v>
      </c>
      <c r="M44" s="29">
        <f t="shared" si="42"/>
        <v>937</v>
      </c>
      <c r="N44" s="29">
        <f t="shared" si="43"/>
        <v>1231</v>
      </c>
      <c r="O44" s="29">
        <f t="shared" si="44"/>
        <v>2080</v>
      </c>
      <c r="P44" s="29">
        <f t="shared" si="45"/>
        <v>1344</v>
      </c>
      <c r="Q44" s="29">
        <f t="shared" si="46"/>
        <v>0</v>
      </c>
      <c r="R44" s="29">
        <f t="shared" si="47"/>
        <v>0</v>
      </c>
      <c r="S44" s="29">
        <f t="shared" si="48"/>
        <v>0</v>
      </c>
      <c r="T44" s="29">
        <f t="shared" si="49"/>
        <v>0</v>
      </c>
      <c r="U44" s="29"/>
      <c r="V44" s="29"/>
      <c r="W44" s="29"/>
      <c r="X44" s="29"/>
      <c r="Y44" s="29"/>
      <c r="Z44" s="29"/>
      <c r="AA44" s="29"/>
      <c r="AK44" s="29">
        <v>7</v>
      </c>
      <c r="AL44" s="29">
        <v>8</v>
      </c>
      <c r="AM44" s="29">
        <v>26</v>
      </c>
      <c r="AN44" s="29">
        <v>35</v>
      </c>
      <c r="AO44" s="29">
        <v>44</v>
      </c>
      <c r="AP44" s="29">
        <v>59</v>
      </c>
      <c r="AQ44" s="29">
        <v>72</v>
      </c>
      <c r="AR44" s="29">
        <v>60</v>
      </c>
      <c r="AS44" s="29">
        <v>91</v>
      </c>
      <c r="AT44" s="29">
        <v>111</v>
      </c>
      <c r="AU44" s="29">
        <v>123</v>
      </c>
      <c r="AV44" s="29">
        <v>155</v>
      </c>
      <c r="AW44" s="29">
        <v>161</v>
      </c>
      <c r="AX44" s="29">
        <v>159</v>
      </c>
      <c r="AY44">
        <v>183</v>
      </c>
      <c r="AZ44">
        <v>184</v>
      </c>
      <c r="BA44">
        <v>195</v>
      </c>
      <c r="BB44">
        <v>225</v>
      </c>
      <c r="BC44">
        <v>232</v>
      </c>
      <c r="BD44">
        <v>285</v>
      </c>
      <c r="BE44">
        <v>239</v>
      </c>
      <c r="BF44">
        <v>308</v>
      </c>
      <c r="BG44">
        <v>327</v>
      </c>
      <c r="BH44">
        <v>357</v>
      </c>
      <c r="BI44">
        <v>415</v>
      </c>
      <c r="BJ44">
        <v>493</v>
      </c>
      <c r="BK44">
        <v>562</v>
      </c>
      <c r="BL44">
        <v>610</v>
      </c>
      <c r="BM44">
        <v>627</v>
      </c>
      <c r="BN44">
        <v>717</v>
      </c>
    </row>
    <row r="45" spans="1:122" x14ac:dyDescent="0.25">
      <c r="A45">
        <f t="shared" si="50"/>
        <v>39</v>
      </c>
      <c r="B45" t="s">
        <v>643</v>
      </c>
      <c r="C45" t="s">
        <v>20</v>
      </c>
      <c r="G45" s="30">
        <f t="shared" si="37"/>
        <v>6852.5</v>
      </c>
      <c r="H45" s="30"/>
      <c r="I45" s="29">
        <f t="shared" si="38"/>
        <v>143.19999999999999</v>
      </c>
      <c r="J45" s="29">
        <f t="shared" si="39"/>
        <v>447.4</v>
      </c>
      <c r="K45" s="29">
        <f t="shared" si="40"/>
        <v>654.29999999999995</v>
      </c>
      <c r="L45" s="29">
        <f t="shared" si="41"/>
        <v>770.7</v>
      </c>
      <c r="M45" s="29">
        <f t="shared" si="42"/>
        <v>836.10000000000014</v>
      </c>
      <c r="N45" s="29">
        <f t="shared" si="43"/>
        <v>965.9</v>
      </c>
      <c r="O45" s="29">
        <f t="shared" si="44"/>
        <v>1034.0999999999999</v>
      </c>
      <c r="P45" s="29">
        <f t="shared" si="45"/>
        <v>1022.8</v>
      </c>
      <c r="Q45" s="29">
        <f t="shared" si="46"/>
        <v>978</v>
      </c>
      <c r="R45" s="29">
        <f t="shared" si="47"/>
        <v>0</v>
      </c>
      <c r="S45" s="29">
        <f t="shared" si="48"/>
        <v>0</v>
      </c>
      <c r="T45" s="29">
        <f t="shared" si="49"/>
        <v>0</v>
      </c>
      <c r="U45" s="29"/>
      <c r="V45" s="29"/>
      <c r="W45" s="29"/>
      <c r="X45" s="29"/>
      <c r="Y45" s="29"/>
      <c r="Z45" s="29"/>
      <c r="AA45" s="29"/>
      <c r="AK45" s="29">
        <v>13.7</v>
      </c>
      <c r="AL45" s="29">
        <v>28.4</v>
      </c>
      <c r="AM45" s="29">
        <v>33.6</v>
      </c>
      <c r="AN45" s="29">
        <v>67.5</v>
      </c>
      <c r="AO45" s="29">
        <v>87.7</v>
      </c>
      <c r="AP45" s="29">
        <v>111.2</v>
      </c>
      <c r="AQ45" s="29">
        <v>117.5</v>
      </c>
      <c r="AR45" s="29">
        <v>131</v>
      </c>
      <c r="AS45" s="29">
        <v>147</v>
      </c>
      <c r="AT45" s="29">
        <v>159</v>
      </c>
      <c r="AU45" s="29">
        <v>177.1</v>
      </c>
      <c r="AV45" s="29">
        <v>171.2</v>
      </c>
      <c r="AW45" s="29">
        <v>186.3</v>
      </c>
      <c r="AX45" s="29">
        <v>196</v>
      </c>
      <c r="AY45" s="29">
        <v>204.8</v>
      </c>
      <c r="AZ45" s="29">
        <v>183.6</v>
      </c>
      <c r="BA45" s="29">
        <v>218.8</v>
      </c>
      <c r="BB45" s="29">
        <v>198.4</v>
      </c>
      <c r="BC45" s="29">
        <v>220.6</v>
      </c>
      <c r="BD45" s="29">
        <v>198.3</v>
      </c>
      <c r="BE45" s="29">
        <v>241.8</v>
      </c>
      <c r="BF45" s="29">
        <v>240</v>
      </c>
      <c r="BG45" s="29">
        <v>245.1</v>
      </c>
      <c r="BH45" s="29">
        <v>239</v>
      </c>
      <c r="BI45" s="29">
        <v>256.7</v>
      </c>
      <c r="BJ45" s="29">
        <v>252.7</v>
      </c>
      <c r="BK45" s="29">
        <v>284.2</v>
      </c>
      <c r="BL45" s="29">
        <v>240.5</v>
      </c>
      <c r="BM45" s="29">
        <v>268.7</v>
      </c>
      <c r="BN45" s="29">
        <v>253.4</v>
      </c>
      <c r="BO45" s="29">
        <v>270.39999999999998</v>
      </c>
      <c r="BP45" s="29">
        <v>230.3</v>
      </c>
      <c r="BQ45" s="29">
        <v>231.3</v>
      </c>
      <c r="BR45" s="29">
        <v>232.1</v>
      </c>
      <c r="BS45" s="29">
        <v>277.8</v>
      </c>
      <c r="BT45" s="29">
        <v>236.8</v>
      </c>
    </row>
    <row r="46" spans="1:122" x14ac:dyDescent="0.25">
      <c r="A46">
        <f t="shared" si="50"/>
        <v>40</v>
      </c>
      <c r="B46" t="s">
        <v>635</v>
      </c>
      <c r="C46" t="s">
        <v>20</v>
      </c>
      <c r="G46" s="30">
        <f t="shared" si="37"/>
        <v>6352.5999999999995</v>
      </c>
      <c r="H46" s="30"/>
      <c r="I46" s="29">
        <f t="shared" si="38"/>
        <v>192.9</v>
      </c>
      <c r="J46" s="29">
        <f t="shared" si="39"/>
        <v>483.59999999999997</v>
      </c>
      <c r="K46" s="29">
        <f t="shared" si="40"/>
        <v>810.1</v>
      </c>
      <c r="L46" s="29">
        <f t="shared" si="41"/>
        <v>1227.4000000000001</v>
      </c>
      <c r="M46" s="29">
        <f t="shared" si="42"/>
        <v>2079.6999999999998</v>
      </c>
      <c r="N46" s="29">
        <f t="shared" si="43"/>
        <v>1558.9</v>
      </c>
      <c r="O46" s="29">
        <f t="shared" si="44"/>
        <v>0</v>
      </c>
      <c r="P46" s="29"/>
      <c r="Q46" s="29"/>
      <c r="R46" s="29"/>
      <c r="AK46" s="29">
        <v>21</v>
      </c>
      <c r="AL46" s="29">
        <v>29.7</v>
      </c>
      <c r="AM46" s="29">
        <v>57.7</v>
      </c>
      <c r="AN46" s="29">
        <v>84.5</v>
      </c>
      <c r="AO46" s="29">
        <v>83.1</v>
      </c>
      <c r="AP46" s="29">
        <v>109.4</v>
      </c>
      <c r="AQ46" s="29">
        <v>133.9</v>
      </c>
      <c r="AR46" s="29">
        <v>157.19999999999999</v>
      </c>
      <c r="AS46" s="29">
        <v>179.1</v>
      </c>
      <c r="AT46" s="29">
        <v>188</v>
      </c>
      <c r="AU46" s="29">
        <v>208.6</v>
      </c>
      <c r="AV46" s="29">
        <v>234.4</v>
      </c>
      <c r="AW46" s="29">
        <v>281.60000000000002</v>
      </c>
      <c r="AX46" s="29">
        <v>269</v>
      </c>
      <c r="AY46" s="29">
        <v>341.3</v>
      </c>
      <c r="AZ46" s="29">
        <v>335.5</v>
      </c>
      <c r="BA46" s="29">
        <v>404.1</v>
      </c>
      <c r="BB46" s="29">
        <v>469.4</v>
      </c>
      <c r="BC46" s="29">
        <v>588.5</v>
      </c>
      <c r="BD46" s="29">
        <v>617.70000000000005</v>
      </c>
      <c r="BE46" s="29">
        <v>808</v>
      </c>
      <c r="BF46" s="29">
        <v>750.9</v>
      </c>
    </row>
    <row r="47" spans="1:122" x14ac:dyDescent="0.25">
      <c r="A47">
        <f t="shared" si="50"/>
        <v>41</v>
      </c>
      <c r="B47" t="s">
        <v>1099</v>
      </c>
      <c r="C47" t="s">
        <v>30</v>
      </c>
      <c r="G47" s="30">
        <f t="shared" si="37"/>
        <v>5845</v>
      </c>
      <c r="H47" s="30"/>
      <c r="I47" s="29">
        <f t="shared" si="38"/>
        <v>721</v>
      </c>
      <c r="J47" s="29">
        <f t="shared" si="39"/>
        <v>1179</v>
      </c>
      <c r="K47" s="29">
        <f t="shared" si="40"/>
        <v>1459</v>
      </c>
      <c r="L47" s="29">
        <f t="shared" si="41"/>
        <v>1248</v>
      </c>
      <c r="M47" s="29">
        <f t="shared" si="42"/>
        <v>1238</v>
      </c>
      <c r="N47" s="29">
        <f t="shared" si="43"/>
        <v>0</v>
      </c>
      <c r="O47" s="29">
        <f t="shared" si="44"/>
        <v>0</v>
      </c>
      <c r="P47" s="29"/>
      <c r="Q47" s="29"/>
      <c r="R47" s="29"/>
      <c r="AK47" s="28">
        <v>160</v>
      </c>
      <c r="AL47" s="28">
        <v>186</v>
      </c>
      <c r="AM47" s="28">
        <v>170</v>
      </c>
      <c r="AN47" s="28">
        <v>205</v>
      </c>
      <c r="AO47" s="28">
        <v>291</v>
      </c>
      <c r="AP47" s="28">
        <v>254</v>
      </c>
      <c r="AQ47" s="28">
        <v>319</v>
      </c>
      <c r="AR47" s="28">
        <v>315</v>
      </c>
      <c r="AS47" s="28">
        <v>375</v>
      </c>
      <c r="AT47" s="28">
        <v>342</v>
      </c>
      <c r="AU47" s="28">
        <v>363</v>
      </c>
      <c r="AV47" s="28">
        <v>379</v>
      </c>
      <c r="AW47" s="28">
        <v>319</v>
      </c>
      <c r="AX47" s="28">
        <v>309</v>
      </c>
      <c r="AY47" s="28">
        <v>309</v>
      </c>
      <c r="AZ47" s="28">
        <v>311</v>
      </c>
      <c r="BA47" s="28">
        <v>308</v>
      </c>
      <c r="BB47" s="28">
        <v>286</v>
      </c>
      <c r="BC47" s="28">
        <v>295</v>
      </c>
      <c r="BD47" s="28">
        <v>349</v>
      </c>
    </row>
    <row r="48" spans="1:122" x14ac:dyDescent="0.25">
      <c r="A48">
        <f t="shared" si="50"/>
        <v>42</v>
      </c>
      <c r="B48" t="s">
        <v>640</v>
      </c>
      <c r="C48" t="s">
        <v>20</v>
      </c>
      <c r="G48" s="30">
        <f t="shared" si="37"/>
        <v>5220.2999999999984</v>
      </c>
      <c r="H48" s="30"/>
      <c r="I48" s="29">
        <f t="shared" si="38"/>
        <v>38.299999999999997</v>
      </c>
      <c r="J48" s="29">
        <f t="shared" si="39"/>
        <v>191.5</v>
      </c>
      <c r="K48" s="29">
        <f t="shared" si="40"/>
        <v>667.3</v>
      </c>
      <c r="L48" s="29">
        <f t="shared" si="41"/>
        <v>975.5</v>
      </c>
      <c r="M48" s="29">
        <f t="shared" si="42"/>
        <v>1164.5</v>
      </c>
      <c r="N48" s="29">
        <f t="shared" si="43"/>
        <v>987.59999999999991</v>
      </c>
      <c r="O48" s="29">
        <f t="shared" si="44"/>
        <v>800.90000000000009</v>
      </c>
      <c r="P48" s="29"/>
      <c r="Q48" s="29"/>
      <c r="R48" s="29"/>
      <c r="AK48" s="29">
        <v>3.8</v>
      </c>
      <c r="AL48" s="29">
        <v>7.3</v>
      </c>
      <c r="AM48" s="29">
        <v>10.9</v>
      </c>
      <c r="AN48" s="29">
        <v>16.3</v>
      </c>
      <c r="AO48" s="29">
        <v>19.399999999999999</v>
      </c>
      <c r="AP48" s="29">
        <v>39.5</v>
      </c>
      <c r="AQ48" s="29">
        <v>46</v>
      </c>
      <c r="AR48" s="29">
        <v>86.6</v>
      </c>
      <c r="AS48" s="29">
        <v>145.69999999999999</v>
      </c>
      <c r="AT48" s="29">
        <v>153.80000000000001</v>
      </c>
      <c r="AU48" s="29">
        <v>166</v>
      </c>
      <c r="AV48" s="29">
        <v>201.8</v>
      </c>
      <c r="AW48" s="29">
        <v>201.2</v>
      </c>
      <c r="AX48" s="29">
        <v>232.2</v>
      </c>
      <c r="AY48" s="29">
        <v>251.4</v>
      </c>
      <c r="AZ48" s="29">
        <v>290.7</v>
      </c>
      <c r="BA48" s="29">
        <v>263.2</v>
      </c>
      <c r="BB48" s="29">
        <v>307.2</v>
      </c>
      <c r="BC48" s="29">
        <v>303.7</v>
      </c>
      <c r="BD48" s="29">
        <v>290.39999999999998</v>
      </c>
      <c r="BE48" s="29">
        <v>248.2</v>
      </c>
      <c r="BF48" s="29">
        <v>282.10000000000002</v>
      </c>
      <c r="BG48" s="29">
        <v>246.6</v>
      </c>
      <c r="BH48" s="29">
        <v>210.7</v>
      </c>
      <c r="BI48" s="29">
        <v>192.8</v>
      </c>
      <c r="BJ48" s="29">
        <v>242.4</v>
      </c>
      <c r="BK48" s="29">
        <v>191.5</v>
      </c>
      <c r="BL48" s="29">
        <v>174.2</v>
      </c>
      <c r="BM48" s="29">
        <v>193</v>
      </c>
      <c r="BN48" s="29">
        <v>201.7</v>
      </c>
    </row>
    <row r="49" spans="1:66" x14ac:dyDescent="0.25">
      <c r="A49">
        <f t="shared" si="50"/>
        <v>43</v>
      </c>
      <c r="B49" t="s">
        <v>1097</v>
      </c>
      <c r="C49" t="s">
        <v>30</v>
      </c>
      <c r="G49" s="30">
        <f t="shared" si="37"/>
        <v>5086</v>
      </c>
      <c r="H49" s="30"/>
      <c r="I49" s="29">
        <f t="shared" si="38"/>
        <v>131</v>
      </c>
      <c r="J49" s="29">
        <f t="shared" si="39"/>
        <v>690</v>
      </c>
      <c r="K49" s="29">
        <f t="shared" si="40"/>
        <v>1531</v>
      </c>
      <c r="L49" s="29">
        <f t="shared" si="41"/>
        <v>2734</v>
      </c>
      <c r="M49" s="29">
        <f t="shared" si="42"/>
        <v>0</v>
      </c>
      <c r="N49" s="29">
        <f t="shared" si="43"/>
        <v>0</v>
      </c>
      <c r="O49" s="29">
        <f t="shared" si="44"/>
        <v>0</v>
      </c>
      <c r="P49" s="29"/>
      <c r="Q49" s="29"/>
      <c r="R49" s="29"/>
      <c r="AK49" s="28">
        <v>1</v>
      </c>
      <c r="AL49" s="28">
        <v>14</v>
      </c>
      <c r="AM49" s="28">
        <v>50</v>
      </c>
      <c r="AN49" s="28">
        <v>66</v>
      </c>
      <c r="AO49" s="28">
        <v>109</v>
      </c>
      <c r="AP49" s="28">
        <v>147</v>
      </c>
      <c r="AQ49" s="28">
        <v>195</v>
      </c>
      <c r="AR49" s="28">
        <v>239</v>
      </c>
      <c r="AS49" s="28">
        <v>289</v>
      </c>
      <c r="AT49" s="28">
        <v>369</v>
      </c>
      <c r="AU49" s="28">
        <v>384</v>
      </c>
      <c r="AV49" s="28">
        <v>489</v>
      </c>
      <c r="AW49" s="28">
        <v>657</v>
      </c>
      <c r="AX49" s="28">
        <v>641</v>
      </c>
      <c r="AY49" s="28">
        <v>637</v>
      </c>
      <c r="AZ49" s="28">
        <v>799</v>
      </c>
    </row>
    <row r="50" spans="1:66" x14ac:dyDescent="0.25">
      <c r="A50">
        <f t="shared" si="50"/>
        <v>44</v>
      </c>
      <c r="B50" t="s">
        <v>636</v>
      </c>
      <c r="C50" t="s">
        <v>20</v>
      </c>
      <c r="G50" s="30">
        <f t="shared" si="37"/>
        <v>3488.8</v>
      </c>
      <c r="H50" s="30"/>
      <c r="I50" s="29">
        <f t="shared" si="38"/>
        <v>45.9</v>
      </c>
      <c r="J50" s="29">
        <f t="shared" si="39"/>
        <v>202.6</v>
      </c>
      <c r="K50" s="29">
        <f t="shared" si="40"/>
        <v>426.90000000000003</v>
      </c>
      <c r="L50" s="29">
        <f t="shared" si="41"/>
        <v>638.9</v>
      </c>
      <c r="M50" s="29">
        <f t="shared" si="42"/>
        <v>1115.0999999999999</v>
      </c>
      <c r="N50" s="29">
        <f t="shared" si="43"/>
        <v>830.5</v>
      </c>
      <c r="O50" s="29">
        <f t="shared" si="44"/>
        <v>228.9</v>
      </c>
      <c r="P50" s="29"/>
      <c r="Q50" s="29"/>
      <c r="R50" s="29"/>
      <c r="AK50" s="28">
        <v>1.9</v>
      </c>
      <c r="AL50" s="28">
        <v>4.8</v>
      </c>
      <c r="AM50" s="28">
        <v>16.2</v>
      </c>
      <c r="AN50" s="28">
        <v>23</v>
      </c>
      <c r="AO50" s="28">
        <v>32.200000000000003</v>
      </c>
      <c r="AP50" s="28">
        <v>44.7</v>
      </c>
      <c r="AQ50" s="28">
        <v>55.6</v>
      </c>
      <c r="AR50" s="28">
        <v>70.099999999999994</v>
      </c>
      <c r="AS50" s="28">
        <v>82.1</v>
      </c>
      <c r="AT50" s="28">
        <v>102.4</v>
      </c>
      <c r="AU50" s="28">
        <v>114.6</v>
      </c>
      <c r="AV50" s="28">
        <v>127.8</v>
      </c>
      <c r="AW50" s="28">
        <v>139.69999999999999</v>
      </c>
      <c r="AX50" s="28">
        <v>145</v>
      </c>
      <c r="AY50" s="28">
        <v>162</v>
      </c>
      <c r="AZ50" s="28">
        <v>192.2</v>
      </c>
      <c r="BA50" s="28">
        <v>193.8</v>
      </c>
      <c r="BB50" s="28">
        <v>208.4</v>
      </c>
      <c r="BC50" s="28">
        <v>406.9</v>
      </c>
      <c r="BD50" s="28">
        <v>306</v>
      </c>
      <c r="BE50" s="28">
        <v>255.6</v>
      </c>
      <c r="BF50" s="28">
        <v>186.2</v>
      </c>
      <c r="BG50" s="28">
        <v>182.9</v>
      </c>
      <c r="BH50" s="28">
        <v>205.8</v>
      </c>
      <c r="BI50" s="28">
        <v>228.9</v>
      </c>
    </row>
    <row r="51" spans="1:66" x14ac:dyDescent="0.25">
      <c r="A51">
        <f t="shared" si="50"/>
        <v>45</v>
      </c>
      <c r="B51" t="s">
        <v>644</v>
      </c>
      <c r="C51" t="s">
        <v>20</v>
      </c>
      <c r="G51" s="30">
        <f t="shared" si="37"/>
        <v>2990.3</v>
      </c>
      <c r="H51" s="30"/>
      <c r="I51" s="29">
        <f t="shared" si="38"/>
        <v>58.300000000000004</v>
      </c>
      <c r="J51" s="29">
        <f t="shared" si="39"/>
        <v>211.3</v>
      </c>
      <c r="K51" s="29">
        <f t="shared" si="40"/>
        <v>401.2</v>
      </c>
      <c r="L51" s="29">
        <f t="shared" si="41"/>
        <v>483.6</v>
      </c>
      <c r="M51" s="29">
        <f t="shared" si="42"/>
        <v>508.4</v>
      </c>
      <c r="N51" s="29">
        <f t="shared" si="43"/>
        <v>519.90000000000009</v>
      </c>
      <c r="O51" s="29">
        <f t="shared" si="44"/>
        <v>539</v>
      </c>
      <c r="P51" s="29"/>
      <c r="Q51" s="29"/>
      <c r="R51" s="29"/>
      <c r="AK51" s="28">
        <v>22.6</v>
      </c>
      <c r="AL51" s="28">
        <v>4</v>
      </c>
      <c r="AM51" s="28">
        <v>8.8000000000000007</v>
      </c>
      <c r="AN51" s="28">
        <v>22.9</v>
      </c>
      <c r="AO51" s="28">
        <v>36.299999999999997</v>
      </c>
      <c r="AP51" s="28">
        <v>47</v>
      </c>
      <c r="AQ51" s="28">
        <v>56.3</v>
      </c>
      <c r="AR51" s="28">
        <v>71.7</v>
      </c>
      <c r="AS51" s="28">
        <v>83.5</v>
      </c>
      <c r="AT51" s="28">
        <v>90.9</v>
      </c>
      <c r="AU51" s="28">
        <v>115.8</v>
      </c>
      <c r="AV51" s="28">
        <v>111</v>
      </c>
      <c r="AW51" s="28">
        <v>109.7</v>
      </c>
      <c r="AX51" s="28">
        <v>120.6</v>
      </c>
      <c r="AY51" s="28">
        <v>115.9</v>
      </c>
      <c r="AZ51" s="28">
        <v>137.4</v>
      </c>
      <c r="BA51" s="28">
        <v>124.9</v>
      </c>
      <c r="BB51" s="28">
        <v>130.6</v>
      </c>
      <c r="BC51" s="28">
        <v>119.3</v>
      </c>
      <c r="BD51" s="28">
        <v>133.6</v>
      </c>
      <c r="BE51" s="28">
        <v>131.5</v>
      </c>
      <c r="BF51" s="28">
        <v>137.80000000000001</v>
      </c>
      <c r="BG51" s="28">
        <v>121.8</v>
      </c>
      <c r="BH51" s="28">
        <v>128.80000000000001</v>
      </c>
      <c r="BI51" s="28">
        <v>132.1</v>
      </c>
      <c r="BJ51" s="28">
        <v>140.30000000000001</v>
      </c>
      <c r="BK51" s="28">
        <v>131.5</v>
      </c>
      <c r="BL51" s="28">
        <v>135.1</v>
      </c>
      <c r="BM51" s="28">
        <v>127.7</v>
      </c>
      <c r="BN51" s="28">
        <v>140.9</v>
      </c>
    </row>
    <row r="52" spans="1:66" x14ac:dyDescent="0.25">
      <c r="A52">
        <f t="shared" si="50"/>
        <v>46</v>
      </c>
      <c r="B52" t="s">
        <v>645</v>
      </c>
      <c r="C52" t="s">
        <v>20</v>
      </c>
      <c r="G52" s="30">
        <f t="shared" si="37"/>
        <v>2345.5313432835819</v>
      </c>
      <c r="H52" s="30"/>
      <c r="I52" s="29">
        <f t="shared" si="38"/>
        <v>175.7</v>
      </c>
      <c r="J52" s="29">
        <f t="shared" si="39"/>
        <v>379.93134328358212</v>
      </c>
      <c r="K52" s="29">
        <f t="shared" si="40"/>
        <v>385.2</v>
      </c>
      <c r="L52" s="29">
        <f t="shared" si="41"/>
        <v>430.90000000000003</v>
      </c>
      <c r="M52" s="29">
        <f t="shared" si="42"/>
        <v>445.8</v>
      </c>
      <c r="N52" s="29">
        <f t="shared" si="43"/>
        <v>417.7</v>
      </c>
      <c r="O52" s="29">
        <f t="shared" si="44"/>
        <v>110.3</v>
      </c>
      <c r="P52" s="29"/>
      <c r="Q52" s="29"/>
      <c r="R52" s="29"/>
      <c r="AK52" s="29">
        <v>25.7</v>
      </c>
      <c r="AL52" s="29">
        <v>36</v>
      </c>
      <c r="AM52" s="29">
        <v>52</v>
      </c>
      <c r="AN52" s="29">
        <v>62</v>
      </c>
      <c r="AO52" s="29">
        <f>AS52/1.34</f>
        <v>68.731343283582078</v>
      </c>
      <c r="AP52" s="29">
        <v>72</v>
      </c>
      <c r="AQ52" s="29">
        <v>152.1</v>
      </c>
      <c r="AR52" s="29">
        <v>87.1</v>
      </c>
      <c r="AS52" s="29">
        <v>92.1</v>
      </c>
      <c r="AT52" s="29">
        <v>82.7</v>
      </c>
      <c r="AU52" s="29">
        <v>101.2</v>
      </c>
      <c r="AV52" s="29">
        <v>109.2</v>
      </c>
      <c r="AW52" s="29">
        <v>103</v>
      </c>
      <c r="AX52" s="29">
        <v>97.5</v>
      </c>
      <c r="AY52" s="29">
        <v>114.6</v>
      </c>
      <c r="AZ52" s="29">
        <v>115.8</v>
      </c>
      <c r="BA52" s="29">
        <v>120.5</v>
      </c>
      <c r="BB52" s="29">
        <v>115.7</v>
      </c>
      <c r="BC52" s="29">
        <v>106.9</v>
      </c>
      <c r="BD52" s="29">
        <v>102.7</v>
      </c>
      <c r="BE52" s="29">
        <v>105.3</v>
      </c>
      <c r="BF52" s="29">
        <v>101.8</v>
      </c>
      <c r="BG52" s="29">
        <v>103.9</v>
      </c>
      <c r="BH52" s="29">
        <v>106.7</v>
      </c>
      <c r="BI52" s="29">
        <v>110.3</v>
      </c>
    </row>
    <row r="53" spans="1:66" x14ac:dyDescent="0.25">
      <c r="A53">
        <f t="shared" si="50"/>
        <v>47</v>
      </c>
      <c r="B53" t="s">
        <v>1414</v>
      </c>
      <c r="C53" t="s">
        <v>20</v>
      </c>
      <c r="G53" s="30">
        <f t="shared" si="37"/>
        <v>1936</v>
      </c>
      <c r="H53" s="30"/>
      <c r="I53" s="29">
        <f t="shared" si="38"/>
        <v>1936</v>
      </c>
      <c r="J53" s="29">
        <f t="shared" si="39"/>
        <v>0</v>
      </c>
      <c r="K53" s="29">
        <f t="shared" si="40"/>
        <v>0</v>
      </c>
      <c r="L53" s="29">
        <f t="shared" si="41"/>
        <v>0</v>
      </c>
      <c r="M53" s="29">
        <f t="shared" si="42"/>
        <v>0</v>
      </c>
      <c r="N53" s="29">
        <f t="shared" si="43"/>
        <v>0</v>
      </c>
      <c r="O53" s="29">
        <f t="shared" si="44"/>
        <v>0</v>
      </c>
      <c r="P53" s="29"/>
      <c r="Q53" s="29"/>
      <c r="R53" s="29"/>
      <c r="AK53" s="29">
        <v>176</v>
      </c>
      <c r="AL53" s="29">
        <v>517</v>
      </c>
      <c r="AM53" s="29">
        <v>1243</v>
      </c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</row>
    <row r="54" spans="1:66" x14ac:dyDescent="0.25">
      <c r="A54">
        <f t="shared" si="50"/>
        <v>48</v>
      </c>
      <c r="B54" t="s">
        <v>633</v>
      </c>
      <c r="C54" t="s">
        <v>20</v>
      </c>
      <c r="G54" s="30">
        <f t="shared" si="37"/>
        <v>1912.6999999999998</v>
      </c>
      <c r="H54" s="30"/>
      <c r="I54" s="29">
        <f t="shared" si="38"/>
        <v>101.1</v>
      </c>
      <c r="J54" s="29">
        <f t="shared" si="39"/>
        <v>319.20000000000005</v>
      </c>
      <c r="K54" s="29">
        <f t="shared" si="40"/>
        <v>525.70000000000005</v>
      </c>
      <c r="L54" s="29">
        <f t="shared" si="41"/>
        <v>636.79999999999995</v>
      </c>
      <c r="M54" s="29">
        <f t="shared" si="42"/>
        <v>329.9</v>
      </c>
      <c r="N54" s="29">
        <f t="shared" si="43"/>
        <v>0</v>
      </c>
      <c r="O54" s="29">
        <f t="shared" si="44"/>
        <v>0</v>
      </c>
      <c r="P54" s="29"/>
      <c r="Q54" s="29"/>
      <c r="R54" s="29"/>
      <c r="AK54" s="28">
        <v>4.9000000000000004</v>
      </c>
      <c r="AL54" s="28">
        <v>14.2</v>
      </c>
      <c r="AM54" s="28">
        <v>34.299999999999997</v>
      </c>
      <c r="AN54" s="28">
        <v>47.7</v>
      </c>
      <c r="AO54" s="28">
        <v>66.3</v>
      </c>
      <c r="AP54" s="28">
        <v>74</v>
      </c>
      <c r="AQ54" s="28">
        <v>87.4</v>
      </c>
      <c r="AR54" s="28">
        <v>91.5</v>
      </c>
      <c r="AS54" s="28">
        <v>109.9</v>
      </c>
      <c r="AT54" s="28">
        <v>119.5</v>
      </c>
      <c r="AU54" s="28">
        <v>156.30000000000001</v>
      </c>
      <c r="AV54" s="28">
        <v>140</v>
      </c>
      <c r="AW54" s="28">
        <v>161.5</v>
      </c>
      <c r="AX54" s="28">
        <v>149.30000000000001</v>
      </c>
      <c r="AY54" s="28">
        <v>157.5</v>
      </c>
      <c r="AZ54" s="28">
        <v>168.5</v>
      </c>
      <c r="BA54" s="28">
        <v>175.6</v>
      </c>
      <c r="BB54" s="28">
        <v>154.30000000000001</v>
      </c>
    </row>
    <row r="55" spans="1:66" x14ac:dyDescent="0.25">
      <c r="A55">
        <f t="shared" si="50"/>
        <v>49</v>
      </c>
      <c r="B55" t="s">
        <v>1098</v>
      </c>
      <c r="C55" t="s">
        <v>30</v>
      </c>
      <c r="G55" s="30">
        <f t="shared" si="37"/>
        <v>1906</v>
      </c>
      <c r="H55" s="30"/>
      <c r="I55" s="29">
        <f t="shared" si="38"/>
        <v>271</v>
      </c>
      <c r="J55" s="29">
        <f t="shared" si="39"/>
        <v>980</v>
      </c>
      <c r="K55" s="29">
        <f t="shared" si="40"/>
        <v>655</v>
      </c>
      <c r="L55" s="29">
        <f t="shared" si="41"/>
        <v>0</v>
      </c>
      <c r="M55" s="29">
        <f t="shared" si="42"/>
        <v>0</v>
      </c>
      <c r="N55" s="29">
        <f t="shared" si="43"/>
        <v>0</v>
      </c>
      <c r="O55" s="29">
        <f t="shared" si="44"/>
        <v>0</v>
      </c>
      <c r="P55" s="29"/>
      <c r="Q55" s="29"/>
      <c r="R55" s="29"/>
      <c r="AK55" s="29">
        <v>2</v>
      </c>
      <c r="AL55" s="29">
        <v>10</v>
      </c>
      <c r="AM55" s="29">
        <v>80</v>
      </c>
      <c r="AN55" s="29">
        <v>179</v>
      </c>
      <c r="AO55" s="29">
        <v>211</v>
      </c>
      <c r="AP55" s="29">
        <v>240</v>
      </c>
      <c r="AQ55" s="29">
        <v>256</v>
      </c>
      <c r="AR55" s="29">
        <v>273</v>
      </c>
      <c r="AS55" s="29">
        <v>310</v>
      </c>
      <c r="AT55" s="29">
        <v>345</v>
      </c>
    </row>
    <row r="56" spans="1:66" x14ac:dyDescent="0.25">
      <c r="A56">
        <f t="shared" si="50"/>
        <v>50</v>
      </c>
      <c r="B56" t="s">
        <v>1103</v>
      </c>
      <c r="C56" t="s">
        <v>30</v>
      </c>
      <c r="G56" s="30">
        <f t="shared" si="37"/>
        <v>1866</v>
      </c>
      <c r="H56" s="30"/>
      <c r="I56" s="29">
        <f t="shared" si="38"/>
        <v>263</v>
      </c>
      <c r="J56" s="29">
        <f t="shared" si="39"/>
        <v>327</v>
      </c>
      <c r="K56" s="29">
        <f t="shared" si="40"/>
        <v>327</v>
      </c>
      <c r="L56" s="29">
        <f t="shared" si="41"/>
        <v>461</v>
      </c>
      <c r="M56" s="29">
        <f t="shared" si="42"/>
        <v>488</v>
      </c>
      <c r="N56" s="29">
        <f t="shared" si="43"/>
        <v>0</v>
      </c>
      <c r="O56" s="29">
        <f t="shared" si="44"/>
        <v>0</v>
      </c>
      <c r="P56" s="29"/>
      <c r="Q56" s="29"/>
      <c r="R56" s="29"/>
      <c r="AK56" s="28">
        <v>43</v>
      </c>
      <c r="AL56" s="28">
        <v>67</v>
      </c>
      <c r="AM56" s="28">
        <v>74</v>
      </c>
      <c r="AN56" s="28">
        <v>79</v>
      </c>
      <c r="AO56" s="28">
        <v>83</v>
      </c>
      <c r="AP56" s="28">
        <v>84</v>
      </c>
      <c r="AQ56" s="28">
        <v>78</v>
      </c>
      <c r="AR56" s="28">
        <v>82</v>
      </c>
      <c r="AS56" s="28">
        <v>82</v>
      </c>
      <c r="AT56" s="28">
        <v>87</v>
      </c>
      <c r="AU56" s="28">
        <v>73</v>
      </c>
      <c r="AV56" s="28">
        <v>85</v>
      </c>
      <c r="AW56" s="28">
        <v>103</v>
      </c>
      <c r="AX56" s="28">
        <v>112</v>
      </c>
      <c r="AY56" s="28">
        <v>116</v>
      </c>
      <c r="AZ56" s="28">
        <v>130</v>
      </c>
      <c r="BA56" s="28">
        <v>128</v>
      </c>
      <c r="BB56" s="28">
        <v>131</v>
      </c>
      <c r="BC56" s="28">
        <v>109</v>
      </c>
      <c r="BD56" s="28">
        <v>120</v>
      </c>
    </row>
    <row r="57" spans="1:66" x14ac:dyDescent="0.25">
      <c r="A57">
        <f t="shared" si="50"/>
        <v>51</v>
      </c>
      <c r="B57" t="s">
        <v>1101</v>
      </c>
      <c r="C57" t="s">
        <v>30</v>
      </c>
      <c r="G57" s="30">
        <f t="shared" si="37"/>
        <v>1221</v>
      </c>
      <c r="H57" s="30"/>
      <c r="I57" s="29">
        <f t="shared" si="38"/>
        <v>85</v>
      </c>
      <c r="J57" s="29">
        <f t="shared" si="39"/>
        <v>230</v>
      </c>
      <c r="K57" s="29">
        <f t="shared" si="40"/>
        <v>321</v>
      </c>
      <c r="L57" s="29">
        <f t="shared" si="41"/>
        <v>376</v>
      </c>
      <c r="M57" s="29">
        <f t="shared" si="42"/>
        <v>209</v>
      </c>
      <c r="N57" s="29">
        <f t="shared" si="43"/>
        <v>0</v>
      </c>
      <c r="O57" s="29">
        <f t="shared" si="44"/>
        <v>0</v>
      </c>
      <c r="P57" s="29"/>
      <c r="Q57" s="29"/>
      <c r="R57" s="29"/>
      <c r="AK57" s="28">
        <v>4</v>
      </c>
      <c r="AL57" s="28">
        <v>17</v>
      </c>
      <c r="AM57" s="28">
        <v>30</v>
      </c>
      <c r="AN57" s="28">
        <v>34</v>
      </c>
      <c r="AO57" s="28">
        <v>49</v>
      </c>
      <c r="AP57" s="28">
        <v>57</v>
      </c>
      <c r="AQ57" s="28">
        <v>55</v>
      </c>
      <c r="AR57" s="28">
        <v>69</v>
      </c>
      <c r="AS57" s="28">
        <v>76</v>
      </c>
      <c r="AT57" s="28">
        <v>81</v>
      </c>
      <c r="AU57" s="28">
        <v>79</v>
      </c>
      <c r="AV57" s="28">
        <v>85</v>
      </c>
      <c r="AW57" s="28">
        <v>94</v>
      </c>
      <c r="AX57" s="28">
        <v>99</v>
      </c>
      <c r="AY57" s="28">
        <v>89</v>
      </c>
      <c r="AZ57" s="28">
        <v>94</v>
      </c>
      <c r="BA57" s="28">
        <v>103</v>
      </c>
      <c r="BB57" s="28">
        <v>106</v>
      </c>
    </row>
    <row r="58" spans="1:66" x14ac:dyDescent="0.25">
      <c r="A58">
        <f t="shared" si="50"/>
        <v>52</v>
      </c>
      <c r="B58" t="s">
        <v>637</v>
      </c>
      <c r="C58" t="s">
        <v>20</v>
      </c>
      <c r="G58" s="30">
        <f t="shared" si="37"/>
        <v>1215.2</v>
      </c>
      <c r="H58" s="30"/>
      <c r="I58" s="29">
        <f t="shared" si="38"/>
        <v>134</v>
      </c>
      <c r="J58" s="29">
        <f t="shared" si="39"/>
        <v>308.7</v>
      </c>
      <c r="K58" s="29">
        <f t="shared" si="40"/>
        <v>418.09999999999997</v>
      </c>
      <c r="L58" s="29">
        <f t="shared" si="41"/>
        <v>293.39999999999998</v>
      </c>
      <c r="M58" s="29">
        <f t="shared" si="42"/>
        <v>61</v>
      </c>
      <c r="N58" s="29">
        <f t="shared" si="43"/>
        <v>0</v>
      </c>
      <c r="O58" s="29">
        <f t="shared" si="44"/>
        <v>0</v>
      </c>
      <c r="P58" s="29"/>
      <c r="Q58" s="29"/>
      <c r="R58" s="29"/>
      <c r="AK58" s="28">
        <v>9.9</v>
      </c>
      <c r="AL58" s="28">
        <v>40.1</v>
      </c>
      <c r="AM58" s="28">
        <v>46.6</v>
      </c>
      <c r="AN58" s="28">
        <v>37.4</v>
      </c>
      <c r="AO58" s="28">
        <v>57.4</v>
      </c>
      <c r="AP58" s="28">
        <v>64.099999999999994</v>
      </c>
      <c r="AQ58" s="28">
        <v>84.4</v>
      </c>
      <c r="AR58" s="28">
        <v>102.8</v>
      </c>
      <c r="AS58" s="28">
        <v>109.7</v>
      </c>
      <c r="AT58" s="28">
        <v>105</v>
      </c>
      <c r="AU58" s="28">
        <v>125.6</v>
      </c>
      <c r="AV58" s="28">
        <v>77.8</v>
      </c>
      <c r="AW58" s="28">
        <v>85.5</v>
      </c>
      <c r="AX58" s="28">
        <v>73.599999999999994</v>
      </c>
      <c r="AY58" s="28">
        <v>76.8</v>
      </c>
      <c r="AZ58" s="28">
        <v>57.5</v>
      </c>
      <c r="BA58" s="28">
        <v>61</v>
      </c>
    </row>
    <row r="59" spans="1:66" x14ac:dyDescent="0.25">
      <c r="A59">
        <f t="shared" si="50"/>
        <v>53</v>
      </c>
      <c r="B59" t="s">
        <v>1104</v>
      </c>
      <c r="C59" t="s">
        <v>30</v>
      </c>
      <c r="G59" s="30">
        <f t="shared" si="37"/>
        <v>1127</v>
      </c>
      <c r="H59" s="30"/>
      <c r="I59" s="29">
        <f t="shared" si="38"/>
        <v>83</v>
      </c>
      <c r="J59" s="29">
        <f t="shared" si="39"/>
        <v>136</v>
      </c>
      <c r="K59" s="29">
        <f t="shared" si="40"/>
        <v>212</v>
      </c>
      <c r="L59" s="29">
        <f t="shared" si="41"/>
        <v>218</v>
      </c>
      <c r="M59" s="29">
        <f t="shared" si="42"/>
        <v>256</v>
      </c>
      <c r="N59" s="29">
        <f t="shared" si="43"/>
        <v>222</v>
      </c>
      <c r="O59" s="29">
        <f t="shared" si="44"/>
        <v>0</v>
      </c>
      <c r="P59" s="29"/>
      <c r="Q59" s="29"/>
      <c r="R59" s="29"/>
      <c r="AK59" s="28">
        <v>8</v>
      </c>
      <c r="AL59" s="28">
        <v>18</v>
      </c>
      <c r="AM59" s="28">
        <v>24</v>
      </c>
      <c r="AN59" s="28">
        <v>33</v>
      </c>
      <c r="AO59" s="28">
        <v>28</v>
      </c>
      <c r="AP59" s="28">
        <v>36</v>
      </c>
      <c r="AQ59" s="28">
        <v>33</v>
      </c>
      <c r="AR59" s="28">
        <v>39</v>
      </c>
      <c r="AS59" s="28">
        <v>56</v>
      </c>
      <c r="AT59" s="28">
        <v>47</v>
      </c>
      <c r="AU59" s="28">
        <v>53</v>
      </c>
      <c r="AV59" s="28">
        <v>56</v>
      </c>
      <c r="AW59" s="28">
        <v>59</v>
      </c>
      <c r="AX59" s="28">
        <v>54</v>
      </c>
      <c r="AY59" s="28">
        <v>55</v>
      </c>
      <c r="AZ59" s="28">
        <v>50</v>
      </c>
      <c r="BA59" s="28">
        <v>59</v>
      </c>
      <c r="BB59" s="28">
        <v>61</v>
      </c>
      <c r="BC59" s="28">
        <v>67</v>
      </c>
      <c r="BD59" s="28">
        <v>69</v>
      </c>
      <c r="BE59" s="28">
        <v>69</v>
      </c>
      <c r="BF59" s="28">
        <v>76</v>
      </c>
      <c r="BG59" s="28">
        <v>77</v>
      </c>
    </row>
    <row r="60" spans="1:66" x14ac:dyDescent="0.25">
      <c r="A60">
        <f t="shared" si="50"/>
        <v>54</v>
      </c>
      <c r="B60" t="s">
        <v>1100</v>
      </c>
      <c r="C60" t="s">
        <v>30</v>
      </c>
      <c r="G60" s="30">
        <f t="shared" si="37"/>
        <v>869</v>
      </c>
      <c r="H60" s="30"/>
      <c r="I60" s="29">
        <f t="shared" si="38"/>
        <v>104</v>
      </c>
      <c r="J60" s="29">
        <f t="shared" si="39"/>
        <v>340</v>
      </c>
      <c r="K60" s="29">
        <f t="shared" si="40"/>
        <v>425</v>
      </c>
      <c r="L60" s="29">
        <f t="shared" si="41"/>
        <v>0</v>
      </c>
      <c r="M60" s="29">
        <f t="shared" si="42"/>
        <v>0</v>
      </c>
      <c r="N60" s="29">
        <f t="shared" si="43"/>
        <v>0</v>
      </c>
      <c r="O60" s="29">
        <f t="shared" si="44"/>
        <v>0</v>
      </c>
      <c r="P60" s="29"/>
      <c r="Q60" s="29"/>
      <c r="R60" s="29"/>
      <c r="AK60" s="28">
        <v>7</v>
      </c>
      <c r="AL60" s="28">
        <v>25</v>
      </c>
      <c r="AM60" s="28">
        <v>31</v>
      </c>
      <c r="AN60" s="28">
        <v>41</v>
      </c>
      <c r="AO60" s="28">
        <v>52</v>
      </c>
      <c r="AP60" s="28">
        <v>76</v>
      </c>
      <c r="AQ60" s="28">
        <v>106</v>
      </c>
      <c r="AR60" s="28">
        <v>106</v>
      </c>
      <c r="AS60" s="28">
        <v>125</v>
      </c>
      <c r="AT60" s="28">
        <v>136</v>
      </c>
      <c r="AU60" s="28">
        <v>164</v>
      </c>
    </row>
    <row r="61" spans="1:66" x14ac:dyDescent="0.25">
      <c r="A61">
        <f t="shared" si="50"/>
        <v>55</v>
      </c>
      <c r="B61" t="s">
        <v>1096</v>
      </c>
      <c r="C61" t="s">
        <v>30</v>
      </c>
      <c r="G61" s="30">
        <f t="shared" si="37"/>
        <v>812</v>
      </c>
      <c r="H61" s="30"/>
      <c r="I61" s="29">
        <f t="shared" si="38"/>
        <v>12</v>
      </c>
      <c r="J61" s="29">
        <f t="shared" si="39"/>
        <v>112</v>
      </c>
      <c r="K61" s="29">
        <f t="shared" si="40"/>
        <v>355</v>
      </c>
      <c r="L61" s="29">
        <f t="shared" si="41"/>
        <v>333</v>
      </c>
      <c r="M61" s="29">
        <f t="shared" si="42"/>
        <v>0</v>
      </c>
      <c r="N61" s="29">
        <f t="shared" si="43"/>
        <v>0</v>
      </c>
      <c r="O61" s="29">
        <f t="shared" si="44"/>
        <v>0</v>
      </c>
      <c r="P61" s="29"/>
      <c r="Q61" s="29"/>
      <c r="R61" s="29"/>
      <c r="AK61" s="29">
        <v>1</v>
      </c>
      <c r="AL61" s="29">
        <v>2</v>
      </c>
      <c r="AM61" s="29">
        <v>5</v>
      </c>
      <c r="AN61" s="29">
        <v>4</v>
      </c>
      <c r="AO61" s="29">
        <v>14</v>
      </c>
      <c r="AP61" s="29">
        <v>22</v>
      </c>
      <c r="AQ61" s="29">
        <v>34</v>
      </c>
      <c r="AR61" s="29">
        <v>42</v>
      </c>
      <c r="AS61" s="29">
        <v>64</v>
      </c>
      <c r="AT61" s="29">
        <v>78</v>
      </c>
      <c r="AU61" s="29">
        <v>90</v>
      </c>
      <c r="AV61" s="29">
        <v>123</v>
      </c>
      <c r="AW61" s="29">
        <v>151</v>
      </c>
      <c r="AX61" s="29">
        <v>182</v>
      </c>
    </row>
    <row r="62" spans="1:66" x14ac:dyDescent="0.25">
      <c r="A62">
        <f t="shared" si="50"/>
        <v>56</v>
      </c>
      <c r="B62" t="s">
        <v>1105</v>
      </c>
      <c r="C62" t="s">
        <v>30</v>
      </c>
      <c r="G62" s="30">
        <f t="shared" si="37"/>
        <v>765</v>
      </c>
      <c r="H62" s="30"/>
      <c r="I62" s="29">
        <f t="shared" si="38"/>
        <v>188</v>
      </c>
      <c r="J62" s="29">
        <f t="shared" si="39"/>
        <v>172</v>
      </c>
      <c r="K62" s="29">
        <f t="shared" si="40"/>
        <v>205</v>
      </c>
      <c r="L62" s="29">
        <f t="shared" si="41"/>
        <v>200</v>
      </c>
      <c r="M62" s="29">
        <f t="shared" si="42"/>
        <v>0</v>
      </c>
      <c r="N62" s="29">
        <f t="shared" si="43"/>
        <v>0</v>
      </c>
      <c r="O62" s="29">
        <f t="shared" si="44"/>
        <v>0</v>
      </c>
      <c r="P62" s="29"/>
      <c r="Q62" s="29"/>
      <c r="R62" s="29"/>
      <c r="AK62" s="28">
        <v>35</v>
      </c>
      <c r="AL62" s="28">
        <v>68</v>
      </c>
      <c r="AM62" s="28">
        <v>34</v>
      </c>
      <c r="AN62" s="28">
        <v>51</v>
      </c>
      <c r="AO62" s="28">
        <v>37</v>
      </c>
      <c r="AP62" s="28">
        <v>39</v>
      </c>
      <c r="AQ62" s="28">
        <v>47</v>
      </c>
      <c r="AR62" s="28">
        <v>49</v>
      </c>
      <c r="AS62" s="28">
        <v>51</v>
      </c>
      <c r="AT62" s="28">
        <v>48</v>
      </c>
      <c r="AU62" s="28">
        <v>54</v>
      </c>
      <c r="AV62" s="28">
        <v>52</v>
      </c>
      <c r="AW62" s="28">
        <v>49</v>
      </c>
      <c r="AX62" s="28">
        <v>51</v>
      </c>
      <c r="AY62" s="28">
        <v>53</v>
      </c>
      <c r="AZ62" s="28">
        <v>47</v>
      </c>
    </row>
    <row r="63" spans="1:66" x14ac:dyDescent="0.25">
      <c r="A63">
        <f t="shared" si="50"/>
        <v>57</v>
      </c>
      <c r="B63" t="s">
        <v>1107</v>
      </c>
      <c r="C63" t="s">
        <v>30</v>
      </c>
      <c r="G63" s="30">
        <f t="shared" si="37"/>
        <v>658</v>
      </c>
      <c r="H63" s="30"/>
      <c r="I63" s="29">
        <f t="shared" si="38"/>
        <v>105</v>
      </c>
      <c r="J63" s="29">
        <f t="shared" si="39"/>
        <v>164</v>
      </c>
      <c r="K63" s="29">
        <f t="shared" si="40"/>
        <v>194</v>
      </c>
      <c r="L63" s="29">
        <f t="shared" si="41"/>
        <v>195</v>
      </c>
      <c r="M63" s="29">
        <f t="shared" si="42"/>
        <v>0</v>
      </c>
      <c r="N63" s="29">
        <f t="shared" si="43"/>
        <v>0</v>
      </c>
      <c r="O63" s="29">
        <f t="shared" si="44"/>
        <v>0</v>
      </c>
      <c r="P63" s="29"/>
      <c r="Q63" s="29"/>
      <c r="R63" s="29"/>
      <c r="AK63" s="28">
        <v>15</v>
      </c>
      <c r="AL63" s="28">
        <v>21</v>
      </c>
      <c r="AM63" s="28">
        <v>35</v>
      </c>
      <c r="AN63" s="28">
        <v>34</v>
      </c>
      <c r="AO63" s="28">
        <v>37</v>
      </c>
      <c r="AP63" s="28">
        <v>42</v>
      </c>
      <c r="AQ63" s="28">
        <v>42</v>
      </c>
      <c r="AR63" s="28">
        <v>43</v>
      </c>
      <c r="AS63" s="28">
        <v>44</v>
      </c>
      <c r="AT63" s="28">
        <v>49</v>
      </c>
      <c r="AU63" s="28">
        <v>50</v>
      </c>
      <c r="AV63" s="28">
        <v>51</v>
      </c>
      <c r="AW63" s="28">
        <v>52</v>
      </c>
      <c r="AX63" s="28">
        <v>53</v>
      </c>
      <c r="AY63" s="28">
        <v>45</v>
      </c>
      <c r="AZ63" s="28">
        <v>45</v>
      </c>
    </row>
    <row r="64" spans="1:66" x14ac:dyDescent="0.25">
      <c r="A64">
        <f t="shared" si="50"/>
        <v>58</v>
      </c>
      <c r="B64" t="s">
        <v>1106</v>
      </c>
      <c r="C64" t="s">
        <v>30</v>
      </c>
      <c r="G64" s="30">
        <f t="shared" si="37"/>
        <v>412</v>
      </c>
      <c r="H64" s="30"/>
      <c r="I64" s="29">
        <f t="shared" si="38"/>
        <v>52</v>
      </c>
      <c r="J64" s="29">
        <f t="shared" si="39"/>
        <v>104</v>
      </c>
      <c r="K64" s="29">
        <f t="shared" si="40"/>
        <v>138</v>
      </c>
      <c r="L64" s="29">
        <f t="shared" si="41"/>
        <v>118</v>
      </c>
      <c r="M64" s="29">
        <f t="shared" si="42"/>
        <v>0</v>
      </c>
      <c r="N64" s="29">
        <f t="shared" si="43"/>
        <v>0</v>
      </c>
      <c r="O64" s="29">
        <f t="shared" si="44"/>
        <v>0</v>
      </c>
      <c r="P64" s="29"/>
      <c r="Q64" s="29"/>
      <c r="R64" s="29"/>
      <c r="AK64" s="28">
        <v>6</v>
      </c>
      <c r="AL64" s="28">
        <v>12</v>
      </c>
      <c r="AM64" s="28">
        <v>17</v>
      </c>
      <c r="AN64" s="28">
        <v>17</v>
      </c>
      <c r="AO64" s="28">
        <v>22</v>
      </c>
      <c r="AP64" s="28">
        <v>24</v>
      </c>
      <c r="AQ64" s="28">
        <v>27</v>
      </c>
      <c r="AR64" s="28">
        <v>31</v>
      </c>
      <c r="AS64" s="28">
        <v>30</v>
      </c>
      <c r="AT64" s="28">
        <v>36</v>
      </c>
      <c r="AU64" s="28">
        <v>36</v>
      </c>
      <c r="AV64" s="28">
        <v>36</v>
      </c>
      <c r="AW64" s="28">
        <v>41</v>
      </c>
      <c r="AX64" s="28">
        <v>36</v>
      </c>
      <c r="AY64" s="28">
        <v>41</v>
      </c>
      <c r="AZ64" s="28"/>
    </row>
    <row r="65" spans="1:133" x14ac:dyDescent="0.25">
      <c r="A65">
        <f t="shared" si="50"/>
        <v>59</v>
      </c>
      <c r="B65" t="s">
        <v>638</v>
      </c>
      <c r="C65" t="s">
        <v>20</v>
      </c>
      <c r="G65" s="30">
        <f t="shared" si="37"/>
        <v>394.59999999999991</v>
      </c>
      <c r="H65" s="30"/>
      <c r="I65" s="29">
        <f t="shared" si="38"/>
        <v>53.399999999999991</v>
      </c>
      <c r="J65" s="29">
        <f t="shared" si="39"/>
        <v>139.69999999999999</v>
      </c>
      <c r="K65" s="29">
        <f t="shared" si="40"/>
        <v>201.5</v>
      </c>
      <c r="L65" s="29">
        <f t="shared" si="41"/>
        <v>0</v>
      </c>
      <c r="M65" s="29">
        <f t="shared" si="42"/>
        <v>0</v>
      </c>
      <c r="N65" s="29">
        <f t="shared" si="43"/>
        <v>0</v>
      </c>
      <c r="O65" s="29">
        <f t="shared" si="44"/>
        <v>0</v>
      </c>
      <c r="P65" s="29"/>
      <c r="Q65" s="29"/>
      <c r="R65" s="29"/>
      <c r="AK65" s="29">
        <v>6.3</v>
      </c>
      <c r="AL65" s="29">
        <v>11.6</v>
      </c>
      <c r="AM65" s="29">
        <v>18.7</v>
      </c>
      <c r="AN65" s="29">
        <v>16.8</v>
      </c>
      <c r="AO65" s="29">
        <v>25.7</v>
      </c>
      <c r="AP65" s="29">
        <v>33.6</v>
      </c>
      <c r="AQ65" s="29">
        <v>38.6</v>
      </c>
      <c r="AR65" s="29">
        <v>41.8</v>
      </c>
      <c r="AS65" s="29">
        <v>45</v>
      </c>
      <c r="AT65" s="29">
        <v>40.5</v>
      </c>
      <c r="AU65" s="29">
        <v>64.599999999999994</v>
      </c>
      <c r="AV65" s="29">
        <v>51.4</v>
      </c>
    </row>
    <row r="66" spans="1:133" x14ac:dyDescent="0.25">
      <c r="A66">
        <f t="shared" si="50"/>
        <v>60</v>
      </c>
      <c r="B66" t="s">
        <v>1102</v>
      </c>
      <c r="C66" t="s">
        <v>30</v>
      </c>
      <c r="G66" s="30">
        <f t="shared" si="37"/>
        <v>28</v>
      </c>
      <c r="H66" s="30"/>
      <c r="I66" s="29">
        <f t="shared" si="38"/>
        <v>28</v>
      </c>
      <c r="J66" s="29">
        <f t="shared" si="39"/>
        <v>0</v>
      </c>
      <c r="K66" s="29">
        <f t="shared" si="40"/>
        <v>0</v>
      </c>
      <c r="L66" s="29">
        <f t="shared" si="41"/>
        <v>0</v>
      </c>
      <c r="M66" s="29">
        <f t="shared" si="42"/>
        <v>0</v>
      </c>
      <c r="N66" s="29">
        <f t="shared" si="43"/>
        <v>0</v>
      </c>
      <c r="O66" s="29">
        <f t="shared" si="44"/>
        <v>0</v>
      </c>
      <c r="P66" s="29"/>
      <c r="Q66" s="29"/>
      <c r="R66" s="29"/>
      <c r="AK66" s="27">
        <v>6</v>
      </c>
      <c r="AL66" s="27">
        <v>22</v>
      </c>
    </row>
    <row r="67" spans="1:133" x14ac:dyDescent="0.25">
      <c r="G67" s="30"/>
      <c r="H67" s="30"/>
      <c r="I67" s="29"/>
      <c r="J67" s="29"/>
      <c r="K67" s="29"/>
      <c r="L67" s="29"/>
      <c r="M67" s="29"/>
      <c r="N67" s="29"/>
      <c r="O67" s="29"/>
      <c r="P67" s="29"/>
      <c r="Q67" s="29"/>
      <c r="R67" s="29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</row>
    <row r="68" spans="1:133" x14ac:dyDescent="0.25">
      <c r="G68" s="30"/>
      <c r="H68" s="30"/>
      <c r="I68" s="29"/>
      <c r="J68" s="29"/>
      <c r="K68" s="29"/>
      <c r="L68" s="29"/>
      <c r="M68" s="29"/>
      <c r="N68" s="29"/>
      <c r="O68" s="29"/>
      <c r="P68" s="29"/>
      <c r="Q68" s="29"/>
      <c r="R68" s="29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</row>
    <row r="69" spans="1:133" x14ac:dyDescent="0.25">
      <c r="G69" s="30"/>
      <c r="H69" s="30"/>
      <c r="I69" s="29"/>
      <c r="J69" s="29"/>
      <c r="K69" s="29"/>
      <c r="L69" s="29"/>
      <c r="M69" s="29"/>
      <c r="N69" s="29"/>
      <c r="O69" s="29"/>
      <c r="P69" s="29"/>
      <c r="Q69" s="29"/>
      <c r="R69" s="29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</row>
    <row r="70" spans="1:133" x14ac:dyDescent="0.25">
      <c r="G70" s="30"/>
      <c r="H70" s="30"/>
      <c r="I70" s="29"/>
      <c r="J70" s="29"/>
      <c r="K70" s="29"/>
      <c r="L70" s="29"/>
      <c r="M70" s="29"/>
      <c r="N70" s="29"/>
      <c r="O70" s="29"/>
      <c r="P70" s="29"/>
      <c r="Q70" s="29"/>
      <c r="R70" s="29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</row>
    <row r="71" spans="1:133" x14ac:dyDescent="0.25">
      <c r="B71" t="s">
        <v>1048</v>
      </c>
      <c r="C71">
        <v>6.86</v>
      </c>
      <c r="G71" s="30"/>
      <c r="H71" s="30"/>
    </row>
    <row r="72" spans="1:133" x14ac:dyDescent="0.25">
      <c r="G72" s="30"/>
      <c r="H72" s="30"/>
    </row>
    <row r="73" spans="1:133" x14ac:dyDescent="0.25">
      <c r="G73" s="30"/>
      <c r="H73" s="30"/>
    </row>
    <row r="74" spans="1:133" x14ac:dyDescent="0.25">
      <c r="G74" s="30"/>
      <c r="H74" s="30"/>
    </row>
    <row r="78" spans="1:133" x14ac:dyDescent="0.25">
      <c r="B78" t="s">
        <v>1413</v>
      </c>
      <c r="C78" t="s">
        <v>32</v>
      </c>
      <c r="D78" t="s">
        <v>1380</v>
      </c>
      <c r="E78">
        <v>3</v>
      </c>
      <c r="G78" s="30">
        <f>SUM(AK78:EV78)</f>
        <v>76424</v>
      </c>
      <c r="H78" s="30"/>
      <c r="I78" s="29">
        <v>146</v>
      </c>
      <c r="J78" s="29">
        <v>774</v>
      </c>
      <c r="K78" s="29">
        <v>1860</v>
      </c>
      <c r="L78" s="29">
        <v>3343</v>
      </c>
      <c r="M78" s="29">
        <v>4872</v>
      </c>
      <c r="N78" s="29">
        <v>6438</v>
      </c>
      <c r="O78" s="29">
        <v>7929</v>
      </c>
      <c r="P78" s="29">
        <f>SUM(BM78:BP78)</f>
        <v>8933</v>
      </c>
      <c r="Q78" s="29">
        <f>SUM(BQ78:BT78)</f>
        <v>10360</v>
      </c>
      <c r="R78" s="29">
        <f>SUM(BU78:BX78)</f>
        <v>11772</v>
      </c>
      <c r="S78" s="29">
        <f>SUM(BY78:CB78)</f>
        <v>12020</v>
      </c>
      <c r="T78" s="29">
        <f>SUM(CC78:CF78)</f>
        <v>10010</v>
      </c>
      <c r="U78" s="29">
        <f>SUM(CG78:CJ78)</f>
        <v>0</v>
      </c>
      <c r="V78" s="29">
        <f>SUM(CK78:CN78)</f>
        <v>0</v>
      </c>
      <c r="W78" s="29"/>
      <c r="X78" s="29"/>
      <c r="Y78" s="29"/>
      <c r="Z78" s="29"/>
      <c r="AA78" s="29"/>
      <c r="AK78" s="29">
        <v>1</v>
      </c>
      <c r="AL78" s="29">
        <v>22</v>
      </c>
      <c r="AM78" s="29">
        <v>12</v>
      </c>
      <c r="AN78" s="27">
        <v>41</v>
      </c>
      <c r="AO78" s="27">
        <v>71</v>
      </c>
      <c r="AP78" s="27">
        <v>106</v>
      </c>
      <c r="AQ78" s="29">
        <v>171</v>
      </c>
      <c r="AR78" s="27">
        <v>216</v>
      </c>
      <c r="AS78" s="27">
        <v>281</v>
      </c>
      <c r="AT78" s="27">
        <v>355</v>
      </c>
      <c r="AU78" s="27">
        <v>437</v>
      </c>
      <c r="AV78" s="27">
        <v>466</v>
      </c>
      <c r="AW78" s="27">
        <v>602</v>
      </c>
      <c r="AX78" s="27">
        <v>734</v>
      </c>
      <c r="AY78" s="27">
        <v>777</v>
      </c>
      <c r="AZ78" s="27">
        <v>884</v>
      </c>
      <c r="BA78" s="27">
        <v>948</v>
      </c>
      <c r="BB78" s="27">
        <v>1101</v>
      </c>
      <c r="BC78" s="27">
        <v>1176</v>
      </c>
      <c r="BD78" s="27">
        <v>1232</v>
      </c>
      <c r="BE78" s="27">
        <v>1363</v>
      </c>
      <c r="BF78" s="27">
        <v>1506</v>
      </c>
      <c r="BG78" s="27">
        <v>1650</v>
      </c>
      <c r="BH78" s="27">
        <v>1577</v>
      </c>
      <c r="BI78" s="27">
        <v>1705</v>
      </c>
      <c r="BJ78" s="27">
        <v>1925</v>
      </c>
      <c r="BK78" s="27">
        <v>2042</v>
      </c>
      <c r="BL78" s="27">
        <v>1928</v>
      </c>
      <c r="BM78" s="27">
        <v>2034</v>
      </c>
      <c r="BN78" s="27">
        <v>2641</v>
      </c>
      <c r="BO78" s="27">
        <v>2163</v>
      </c>
      <c r="BP78" s="27">
        <v>2095</v>
      </c>
      <c r="BQ78" s="27">
        <v>2269</v>
      </c>
      <c r="BR78" s="27">
        <v>2886</v>
      </c>
      <c r="BS78" s="27">
        <v>2792</v>
      </c>
      <c r="BT78" s="27">
        <v>2413</v>
      </c>
      <c r="BU78" s="27">
        <v>2671</v>
      </c>
      <c r="BV78" s="27">
        <v>3211</v>
      </c>
      <c r="BW78" s="27">
        <v>3235</v>
      </c>
      <c r="BX78" s="27">
        <v>2655</v>
      </c>
      <c r="BY78" s="27">
        <v>2688</v>
      </c>
      <c r="BZ78" s="27">
        <v>3423</v>
      </c>
      <c r="CA78" s="27">
        <v>3204</v>
      </c>
      <c r="CB78" s="27">
        <v>2705</v>
      </c>
      <c r="CC78" s="27">
        <v>2874</v>
      </c>
      <c r="CD78" s="27">
        <v>3720</v>
      </c>
      <c r="CE78" s="27">
        <v>3416</v>
      </c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</row>
    <row r="79" spans="1:133" s="24" customFormat="1" ht="13" x14ac:dyDescent="0.3">
      <c r="A79"/>
      <c r="B79" t="s">
        <v>1412</v>
      </c>
      <c r="C79" t="s">
        <v>24</v>
      </c>
      <c r="D79" t="s">
        <v>1380</v>
      </c>
      <c r="E79">
        <v>3</v>
      </c>
      <c r="F79"/>
      <c r="G79" s="30">
        <f>SUM(AK79:EV79)</f>
        <v>42355</v>
      </c>
      <c r="H79" s="30"/>
      <c r="I79" s="29">
        <f>SUM(AK79:AN79)</f>
        <v>266</v>
      </c>
      <c r="J79" s="29">
        <f t="shared" ref="J79" si="51">SUM(AO79:AR79)</f>
        <v>788</v>
      </c>
      <c r="K79" s="29">
        <f t="shared" ref="K79" si="52">SUM(AS79:AV79)</f>
        <v>1400</v>
      </c>
      <c r="L79" s="29">
        <f t="shared" ref="L79" si="53">SUM(AW79:AZ79)</f>
        <v>1662</v>
      </c>
      <c r="M79" s="29">
        <f t="shared" ref="M79" si="54">SUM(BA79:BD79)</f>
        <v>2523</v>
      </c>
      <c r="N79" s="29">
        <f>SUM(BE79:BH79)</f>
        <v>3434</v>
      </c>
      <c r="O79" s="29">
        <f>SUM(BI79:BL79)</f>
        <v>4220</v>
      </c>
      <c r="P79" s="29">
        <f>SUM(BM79:BP79)</f>
        <v>4948</v>
      </c>
      <c r="Q79" s="29">
        <f>SUM(BQ79:BT79)</f>
        <v>5970</v>
      </c>
      <c r="R79" s="29">
        <f>SUM(BU79:BX79)</f>
        <v>6481</v>
      </c>
      <c r="S79" s="29">
        <f>SUM(BY79:CB79)</f>
        <v>6746</v>
      </c>
      <c r="T79" s="29">
        <f>SUM(CC79:CF79)</f>
        <v>3917</v>
      </c>
      <c r="U79" s="29">
        <f>SUM(CG79:CJ79)</f>
        <v>0</v>
      </c>
      <c r="V79" s="29">
        <f>SUM(CK79:CN79)</f>
        <v>0</v>
      </c>
      <c r="W79" s="29"/>
      <c r="X79" s="29"/>
      <c r="Y79" s="29"/>
      <c r="Z79" s="29"/>
      <c r="AA79" s="29"/>
      <c r="AB79"/>
      <c r="AC79"/>
      <c r="AD79"/>
      <c r="AE79"/>
      <c r="AF79"/>
      <c r="AG79"/>
      <c r="AH79"/>
      <c r="AI79"/>
      <c r="AJ79"/>
      <c r="AK79" s="29">
        <v>37</v>
      </c>
      <c r="AL79" s="29">
        <v>57</v>
      </c>
      <c r="AM79" s="29">
        <v>75</v>
      </c>
      <c r="AN79" s="30">
        <v>97</v>
      </c>
      <c r="AO79">
        <v>137</v>
      </c>
      <c r="AP79">
        <v>177</v>
      </c>
      <c r="AQ79">
        <v>217</v>
      </c>
      <c r="AR79">
        <v>257</v>
      </c>
      <c r="AS79">
        <v>300</v>
      </c>
      <c r="AT79">
        <v>350</v>
      </c>
      <c r="AU79">
        <v>350</v>
      </c>
      <c r="AV79">
        <v>400</v>
      </c>
      <c r="AW79">
        <v>354</v>
      </c>
      <c r="AX79">
        <v>371</v>
      </c>
      <c r="AY79">
        <v>449</v>
      </c>
      <c r="AZ79">
        <v>488</v>
      </c>
      <c r="BA79">
        <v>564</v>
      </c>
      <c r="BB79">
        <v>605</v>
      </c>
      <c r="BC79">
        <v>644</v>
      </c>
      <c r="BD79">
        <v>710</v>
      </c>
      <c r="BE79">
        <v>765</v>
      </c>
      <c r="BF79">
        <v>889</v>
      </c>
      <c r="BG79">
        <v>870</v>
      </c>
      <c r="BH79">
        <v>910</v>
      </c>
      <c r="BI79">
        <v>1011</v>
      </c>
      <c r="BJ79">
        <v>1085</v>
      </c>
      <c r="BK79">
        <v>1025</v>
      </c>
      <c r="BL79">
        <v>1099</v>
      </c>
      <c r="BM79">
        <v>1300</v>
      </c>
      <c r="BN79">
        <v>1272</v>
      </c>
      <c r="BO79">
        <v>1114</v>
      </c>
      <c r="BP79">
        <v>1262</v>
      </c>
      <c r="BQ79">
        <v>1643</v>
      </c>
      <c r="BR79">
        <v>1481</v>
      </c>
      <c r="BS79">
        <v>1346</v>
      </c>
      <c r="BT79">
        <v>1500</v>
      </c>
      <c r="BU79">
        <v>1793</v>
      </c>
      <c r="BV79">
        <v>1745</v>
      </c>
      <c r="BW79">
        <v>1464</v>
      </c>
      <c r="BX79">
        <v>1479</v>
      </c>
      <c r="BY79">
        <v>1874</v>
      </c>
      <c r="BZ79">
        <v>1762</v>
      </c>
      <c r="CA79">
        <v>1498</v>
      </c>
      <c r="CB79">
        <v>1612</v>
      </c>
      <c r="CC79">
        <v>2040</v>
      </c>
      <c r="CD79">
        <v>1877</v>
      </c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</row>
    <row r="80" spans="1:133" x14ac:dyDescent="0.25">
      <c r="B80" t="s">
        <v>655</v>
      </c>
      <c r="C80" t="s">
        <v>28</v>
      </c>
      <c r="D80" t="s">
        <v>1383</v>
      </c>
      <c r="E80">
        <v>1</v>
      </c>
      <c r="G80" s="30">
        <f>SUM(AK80:GH80)</f>
        <v>49414</v>
      </c>
      <c r="H80" s="30"/>
      <c r="I80" s="29">
        <f>SUM(AK80:AN80)</f>
        <v>458</v>
      </c>
      <c r="J80" s="29">
        <f>SUM(AO80:AR80)</f>
        <v>1185</v>
      </c>
      <c r="K80" s="29">
        <f>SUM(AS80:AV80)</f>
        <v>1364</v>
      </c>
      <c r="L80" s="29">
        <f>SUM(AW80:AZ80)</f>
        <v>2269</v>
      </c>
      <c r="M80" s="29">
        <f>SUM(BA80:BD80)</f>
        <v>3039</v>
      </c>
      <c r="N80" s="29">
        <f>SUM(BE80:BH80)</f>
        <v>3912</v>
      </c>
      <c r="O80" s="29">
        <f>SUM(BI80:BL80)</f>
        <v>4017</v>
      </c>
      <c r="P80" s="29">
        <f>SUM(BM80:BP80)</f>
        <v>3970</v>
      </c>
      <c r="Q80" s="29">
        <f>SUM(BQ80:BT80)</f>
        <v>4024</v>
      </c>
      <c r="R80" s="29">
        <f>SUM(BU80:BX80)</f>
        <v>3897</v>
      </c>
      <c r="S80" s="29">
        <f>SUM(BY80:CB80)</f>
        <v>3731</v>
      </c>
      <c r="T80" s="29">
        <f>SUM(CC80:CF80)</f>
        <v>3694</v>
      </c>
      <c r="U80" s="29">
        <f>SUM(CG80:CJ80)</f>
        <v>3469</v>
      </c>
      <c r="V80" s="29">
        <f>SUM(CK80:CN80)</f>
        <v>3392</v>
      </c>
      <c r="W80" s="29"/>
      <c r="X80" s="29"/>
      <c r="Y80" s="29"/>
      <c r="Z80" s="29"/>
      <c r="AA80" s="29"/>
      <c r="AK80" s="29">
        <v>42</v>
      </c>
      <c r="AL80" s="29">
        <v>87</v>
      </c>
      <c r="AM80" s="29">
        <v>144</v>
      </c>
      <c r="AN80">
        <v>185</v>
      </c>
      <c r="AO80">
        <v>200</v>
      </c>
      <c r="AP80">
        <v>272</v>
      </c>
      <c r="AQ80">
        <v>334</v>
      </c>
      <c r="AR80">
        <v>379</v>
      </c>
      <c r="AT80">
        <v>411</v>
      </c>
      <c r="AU80">
        <v>462</v>
      </c>
      <c r="AV80">
        <v>491</v>
      </c>
      <c r="AW80">
        <v>558</v>
      </c>
      <c r="AX80">
        <v>511</v>
      </c>
      <c r="AY80">
        <v>600</v>
      </c>
      <c r="AZ80">
        <v>600</v>
      </c>
      <c r="BA80">
        <v>675</v>
      </c>
      <c r="BB80">
        <v>739</v>
      </c>
      <c r="BC80">
        <v>779</v>
      </c>
      <c r="BD80">
        <v>846</v>
      </c>
      <c r="BE80">
        <v>960</v>
      </c>
      <c r="BF80">
        <v>919</v>
      </c>
      <c r="BG80">
        <v>1058</v>
      </c>
      <c r="BH80">
        <v>975</v>
      </c>
      <c r="BI80">
        <v>1134</v>
      </c>
      <c r="BJ80">
        <v>884</v>
      </c>
      <c r="BK80">
        <v>1072</v>
      </c>
      <c r="BL80">
        <v>927</v>
      </c>
      <c r="BM80">
        <v>1121</v>
      </c>
      <c r="BN80">
        <v>858</v>
      </c>
      <c r="BO80">
        <v>1058</v>
      </c>
      <c r="BP80">
        <v>933</v>
      </c>
      <c r="BQ80">
        <v>1082</v>
      </c>
      <c r="BR80">
        <v>884</v>
      </c>
      <c r="BS80">
        <v>1044</v>
      </c>
      <c r="BT80">
        <v>1014</v>
      </c>
      <c r="BU80">
        <v>921</v>
      </c>
      <c r="BV80">
        <v>906</v>
      </c>
      <c r="BW80">
        <v>1064</v>
      </c>
      <c r="BX80">
        <v>1006</v>
      </c>
      <c r="BY80">
        <v>932</v>
      </c>
      <c r="BZ80">
        <v>839</v>
      </c>
      <c r="CA80">
        <v>948</v>
      </c>
      <c r="CB80">
        <v>1012</v>
      </c>
      <c r="CC80">
        <v>938</v>
      </c>
      <c r="CD80">
        <v>880</v>
      </c>
      <c r="CE80">
        <v>949</v>
      </c>
      <c r="CF80">
        <v>927</v>
      </c>
      <c r="CG80">
        <v>930</v>
      </c>
      <c r="CH80">
        <v>824</v>
      </c>
      <c r="CI80">
        <v>908</v>
      </c>
      <c r="CJ80">
        <v>807</v>
      </c>
      <c r="CK80">
        <v>943</v>
      </c>
      <c r="CL80">
        <v>774</v>
      </c>
      <c r="CM80">
        <v>854</v>
      </c>
      <c r="CN80">
        <v>821</v>
      </c>
      <c r="CO80">
        <v>857</v>
      </c>
      <c r="CP80">
        <v>809</v>
      </c>
      <c r="CQ80">
        <v>784</v>
      </c>
      <c r="CR80">
        <v>852</v>
      </c>
      <c r="CS80">
        <v>878</v>
      </c>
      <c r="CT80">
        <v>779</v>
      </c>
      <c r="CU80">
        <v>756</v>
      </c>
      <c r="CV80">
        <v>717</v>
      </c>
      <c r="CW80">
        <v>561</v>
      </c>
    </row>
    <row r="81" spans="2:99" ht="13" x14ac:dyDescent="0.3">
      <c r="B81" t="s">
        <v>656</v>
      </c>
      <c r="C81" t="s">
        <v>28</v>
      </c>
      <c r="D81" t="s">
        <v>1383</v>
      </c>
      <c r="E81">
        <v>1</v>
      </c>
      <c r="G81" s="30">
        <f>SUM(AK81:GH81)</f>
        <v>25362.5</v>
      </c>
      <c r="H81" s="30"/>
      <c r="I81" s="29">
        <f>SUM(AK81:AN81)</f>
        <v>131</v>
      </c>
      <c r="J81" s="29">
        <f>SUM(AO81:AR81)</f>
        <v>415.5</v>
      </c>
      <c r="K81" s="29">
        <f>SUM(AS81:AV81)</f>
        <v>731</v>
      </c>
      <c r="L81" s="29">
        <f>SUM(AW81:AZ81)</f>
        <v>1058</v>
      </c>
      <c r="M81" s="29">
        <f>SUM(BA81:BD81)</f>
        <v>1449</v>
      </c>
      <c r="N81" s="29">
        <f>SUM(BE81:BH81)</f>
        <v>1677</v>
      </c>
      <c r="O81" s="29">
        <f>SUM(BI81:BL81)</f>
        <v>1895</v>
      </c>
      <c r="P81" s="29">
        <f>SUM(BM81:BP81)</f>
        <v>2103</v>
      </c>
      <c r="Q81" s="29">
        <f>SUM(BQ81:BT81)</f>
        <v>2148</v>
      </c>
      <c r="R81" s="29">
        <f>SUM(BU81:BX81)</f>
        <v>2190</v>
      </c>
      <c r="S81" s="29">
        <f>SUM(BY81:CB81)</f>
        <v>2206</v>
      </c>
      <c r="T81" s="29">
        <f>SUM(CC81:CF81)</f>
        <v>2213</v>
      </c>
      <c r="U81" s="29">
        <f>SUM(CG81:CJ81)</f>
        <v>2014</v>
      </c>
      <c r="V81" s="29">
        <f>SUM(CK81:CN81)</f>
        <v>1954</v>
      </c>
      <c r="W81" s="29"/>
      <c r="X81" s="29"/>
      <c r="Y81" s="29"/>
      <c r="Z81" s="29"/>
      <c r="AA81" s="29"/>
      <c r="AK81" s="27">
        <v>24</v>
      </c>
      <c r="AL81" s="27">
        <v>19</v>
      </c>
      <c r="AM81" s="27">
        <v>30</v>
      </c>
      <c r="AN81">
        <v>58</v>
      </c>
      <c r="AO81">
        <v>72</v>
      </c>
      <c r="AP81">
        <v>101</v>
      </c>
      <c r="AQ81" s="32">
        <f>AVERAGE(AP81,AR81)</f>
        <v>114.5</v>
      </c>
      <c r="AR81">
        <v>128</v>
      </c>
      <c r="AS81">
        <v>155</v>
      </c>
      <c r="AT81">
        <v>173</v>
      </c>
      <c r="AU81">
        <v>202</v>
      </c>
      <c r="AV81">
        <v>201</v>
      </c>
      <c r="AW81">
        <v>218</v>
      </c>
      <c r="AX81">
        <v>247</v>
      </c>
      <c r="AY81">
        <v>288</v>
      </c>
      <c r="AZ81">
        <v>305</v>
      </c>
      <c r="BA81">
        <v>321</v>
      </c>
      <c r="BB81">
        <v>350</v>
      </c>
      <c r="BC81">
        <v>386</v>
      </c>
      <c r="BD81">
        <v>392</v>
      </c>
      <c r="BE81">
        <v>411</v>
      </c>
      <c r="BF81">
        <v>405</v>
      </c>
      <c r="BG81">
        <v>452</v>
      </c>
      <c r="BH81">
        <v>409</v>
      </c>
      <c r="BI81">
        <v>474</v>
      </c>
      <c r="BJ81">
        <v>442</v>
      </c>
      <c r="BK81">
        <v>503</v>
      </c>
      <c r="BL81">
        <v>476</v>
      </c>
      <c r="BM81">
        <v>519</v>
      </c>
      <c r="BN81">
        <v>505</v>
      </c>
      <c r="BO81">
        <v>570</v>
      </c>
      <c r="BP81">
        <v>509</v>
      </c>
      <c r="BQ81">
        <v>554</v>
      </c>
      <c r="BR81">
        <v>562</v>
      </c>
      <c r="BS81">
        <v>526</v>
      </c>
      <c r="BT81">
        <v>506</v>
      </c>
      <c r="BU81">
        <v>569</v>
      </c>
      <c r="BV81">
        <v>548</v>
      </c>
      <c r="BW81">
        <v>577</v>
      </c>
      <c r="BX81">
        <v>496</v>
      </c>
      <c r="BY81">
        <v>563</v>
      </c>
      <c r="BZ81">
        <v>513</v>
      </c>
      <c r="CA81">
        <v>586</v>
      </c>
      <c r="CB81">
        <v>544</v>
      </c>
      <c r="CC81">
        <v>585</v>
      </c>
      <c r="CD81">
        <v>563</v>
      </c>
      <c r="CE81">
        <v>535</v>
      </c>
      <c r="CF81">
        <v>530</v>
      </c>
      <c r="CG81">
        <v>533</v>
      </c>
      <c r="CH81">
        <v>503</v>
      </c>
      <c r="CI81">
        <v>475</v>
      </c>
      <c r="CJ81">
        <v>503</v>
      </c>
      <c r="CK81">
        <v>490</v>
      </c>
      <c r="CL81">
        <v>506</v>
      </c>
      <c r="CM81">
        <v>472</v>
      </c>
      <c r="CN81">
        <v>486</v>
      </c>
      <c r="CO81">
        <v>477</v>
      </c>
      <c r="CP81">
        <v>487</v>
      </c>
      <c r="CQ81">
        <v>514</v>
      </c>
      <c r="CR81">
        <v>454</v>
      </c>
      <c r="CS81">
        <v>476</v>
      </c>
      <c r="CT81">
        <v>417</v>
      </c>
      <c r="CU81">
        <v>353</v>
      </c>
    </row>
  </sheetData>
  <sortState xmlns:xlrd2="http://schemas.microsoft.com/office/spreadsheetml/2017/richdata2" ref="A15:EC66">
    <sortCondition descending="1" ref="G15:G66"/>
  </sortState>
  <hyperlinks>
    <hyperlink ref="A1" location="Main!A1" display="Main" xr:uid="{9012D80B-2607-45E2-B8A7-B66EE6B2AA8D}"/>
  </hyperlink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40E2E-D38E-4848-BCC1-41D62ADD15A0}">
  <dimension ref="A2:AB15"/>
  <sheetViews>
    <sheetView zoomScale="175" zoomScaleNormal="17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9" sqref="B9"/>
    </sheetView>
  </sheetViews>
  <sheetFormatPr defaultColWidth="8.81640625" defaultRowHeight="12.5" x14ac:dyDescent="0.25"/>
  <cols>
    <col min="1" max="1" width="2" bestFit="1" customWidth="1"/>
    <col min="2" max="2" width="3" bestFit="1" customWidth="1"/>
    <col min="3" max="3" width="22.453125" bestFit="1" customWidth="1"/>
    <col min="4" max="4" width="10.1796875" bestFit="1" customWidth="1"/>
  </cols>
  <sheetData>
    <row r="2" spans="1:28" x14ac:dyDescent="0.25">
      <c r="C2" t="s">
        <v>1</v>
      </c>
    </row>
    <row r="3" spans="1:28" s="1" customFormat="1" x14ac:dyDescent="0.25">
      <c r="A3" s="87" t="s">
        <v>333</v>
      </c>
      <c r="B3" s="1">
        <f>Acquisitions!A14+1</f>
        <v>1</v>
      </c>
      <c r="C3" t="s">
        <v>260</v>
      </c>
      <c r="D3" t="s">
        <v>261</v>
      </c>
      <c r="E3" s="3"/>
      <c r="F3" s="3"/>
      <c r="G3" s="3"/>
      <c r="H3" s="3"/>
      <c r="I3" s="3"/>
      <c r="J3" s="3"/>
      <c r="K3" s="9"/>
      <c r="L3" s="3"/>
      <c r="M3" s="3"/>
      <c r="N3" s="3"/>
      <c r="O3" s="3"/>
      <c r="P3" s="3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s="1" customFormat="1" x14ac:dyDescent="0.25">
      <c r="A4"/>
      <c r="B4" s="1">
        <f>Main!D43+1</f>
        <v>34</v>
      </c>
      <c r="C4" t="s">
        <v>266</v>
      </c>
      <c r="D4" t="s">
        <v>267</v>
      </c>
      <c r="E4" s="6"/>
      <c r="F4" s="3"/>
      <c r="G4" s="3"/>
      <c r="H4" s="3"/>
      <c r="I4" s="3"/>
      <c r="J4" s="3"/>
      <c r="K4" s="9"/>
      <c r="L4" s="3"/>
      <c r="M4" s="3"/>
      <c r="N4" s="3"/>
      <c r="O4" s="3"/>
      <c r="P4" s="3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s="1" customFormat="1" x14ac:dyDescent="0.25">
      <c r="A5" s="1" t="s">
        <v>333</v>
      </c>
      <c r="B5" s="1">
        <f>Main!D32+1</f>
        <v>23</v>
      </c>
      <c r="C5" t="s">
        <v>277</v>
      </c>
      <c r="D5" t="s">
        <v>278</v>
      </c>
      <c r="E5" s="3"/>
      <c r="F5" s="3"/>
      <c r="G5" s="3"/>
      <c r="H5" s="3"/>
      <c r="I5" s="3"/>
      <c r="J5" s="3"/>
      <c r="K5" s="9"/>
      <c r="L5" s="3"/>
      <c r="M5" s="3"/>
      <c r="N5" s="3"/>
      <c r="O5" s="3"/>
      <c r="P5" s="3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s="1" customFormat="1" x14ac:dyDescent="0.25">
      <c r="A6"/>
      <c r="B6" s="1">
        <f>B5+1</f>
        <v>24</v>
      </c>
      <c r="C6" t="s">
        <v>402</v>
      </c>
      <c r="D6" t="s">
        <v>403</v>
      </c>
      <c r="E6" s="3"/>
      <c r="F6" s="3"/>
      <c r="G6" s="3"/>
      <c r="H6" s="3"/>
      <c r="I6" s="3"/>
      <c r="J6" s="3"/>
      <c r="K6" s="9"/>
      <c r="L6" s="3"/>
      <c r="M6" s="3"/>
      <c r="N6" s="3"/>
      <c r="O6" s="3"/>
      <c r="P6" s="3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" customFormat="1" x14ac:dyDescent="0.25">
      <c r="A7"/>
      <c r="B7" s="1">
        <f>B6+1</f>
        <v>25</v>
      </c>
      <c r="C7" t="s">
        <v>404</v>
      </c>
      <c r="D7" t="s">
        <v>405</v>
      </c>
      <c r="E7" s="3"/>
      <c r="F7" s="3"/>
      <c r="G7" s="3"/>
      <c r="H7" s="3"/>
      <c r="I7" s="3"/>
      <c r="J7" s="3"/>
      <c r="K7" s="9"/>
      <c r="L7" s="3"/>
      <c r="M7" s="3"/>
      <c r="N7" s="3"/>
      <c r="O7" s="3"/>
      <c r="P7" s="3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s="1" customFormat="1" x14ac:dyDescent="0.25">
      <c r="A8"/>
      <c r="B8" s="1">
        <f>Main!D54+1</f>
        <v>43</v>
      </c>
      <c r="C8" t="s">
        <v>410</v>
      </c>
      <c r="D8" t="s">
        <v>411</v>
      </c>
      <c r="E8" s="3"/>
      <c r="F8" s="3"/>
      <c r="G8" s="3"/>
      <c r="H8" s="3"/>
      <c r="I8" s="3"/>
      <c r="J8" s="3"/>
      <c r="K8" s="9"/>
      <c r="L8" s="3"/>
      <c r="M8" s="3"/>
      <c r="N8" s="3"/>
      <c r="O8" s="3"/>
      <c r="P8" s="3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s="1" customFormat="1" x14ac:dyDescent="0.25">
      <c r="A9"/>
      <c r="B9" s="1">
        <f>B8+1</f>
        <v>44</v>
      </c>
      <c r="C9" t="s">
        <v>412</v>
      </c>
      <c r="D9" t="s">
        <v>413</v>
      </c>
      <c r="E9" s="3"/>
      <c r="F9" s="3"/>
      <c r="G9" s="3"/>
      <c r="H9" s="3"/>
      <c r="I9" s="3"/>
      <c r="J9" s="3"/>
      <c r="K9" s="9"/>
      <c r="L9" s="3"/>
      <c r="M9" s="3"/>
      <c r="N9" s="3"/>
      <c r="O9" s="3"/>
      <c r="P9" s="3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s="1" customFormat="1" x14ac:dyDescent="0.25">
      <c r="A10" s="1" t="s">
        <v>333</v>
      </c>
      <c r="B10" s="1">
        <f>B9+1</f>
        <v>45</v>
      </c>
      <c r="C10" t="s">
        <v>359</v>
      </c>
      <c r="D10" t="s">
        <v>360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x14ac:dyDescent="0.25">
      <c r="C11" t="s">
        <v>594</v>
      </c>
      <c r="D11" t="s">
        <v>595</v>
      </c>
    </row>
    <row r="12" spans="1:28" x14ac:dyDescent="0.25">
      <c r="C12" t="s">
        <v>435</v>
      </c>
      <c r="D12" s="22" t="s">
        <v>689</v>
      </c>
      <c r="E12" s="3">
        <v>27.98</v>
      </c>
      <c r="F12" s="6" cm="1">
        <f t="array" ref="F12">40290/CNY</f>
        <v>5682.6516220028207</v>
      </c>
    </row>
    <row r="13" spans="1:28" x14ac:dyDescent="0.25">
      <c r="C13" t="s">
        <v>1061</v>
      </c>
      <c r="D13" t="s">
        <v>1062</v>
      </c>
    </row>
    <row r="15" spans="1:28" x14ac:dyDescent="0.25">
      <c r="B15" s="1"/>
      <c r="C15" s="1" t="s">
        <v>1113</v>
      </c>
      <c r="D15" t="s">
        <v>1114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F0B2B-B27D-4DF2-80CD-010154B4E660}">
  <sheetPr codeName="Sheet2"/>
  <dimension ref="A1:C11"/>
  <sheetViews>
    <sheetView zoomScale="205" zoomScaleNormal="205" workbookViewId="0"/>
  </sheetViews>
  <sheetFormatPr defaultColWidth="8.81640625" defaultRowHeight="12.5" x14ac:dyDescent="0.25"/>
  <cols>
    <col min="1" max="1" width="4.81640625" bestFit="1" customWidth="1"/>
    <col min="2" max="2" width="11.453125" customWidth="1"/>
  </cols>
  <sheetData>
    <row r="1" spans="1:3" x14ac:dyDescent="0.25">
      <c r="A1" s="5" t="s">
        <v>285</v>
      </c>
    </row>
    <row r="2" spans="1:3" x14ac:dyDescent="0.25">
      <c r="B2" s="1" t="s">
        <v>3</v>
      </c>
      <c r="C2" s="2">
        <v>7.0570000000000004</v>
      </c>
    </row>
    <row r="3" spans="1:3" x14ac:dyDescent="0.25">
      <c r="B3" s="1" t="s">
        <v>4</v>
      </c>
      <c r="C3" s="2">
        <v>0.91</v>
      </c>
    </row>
    <row r="4" spans="1:3" x14ac:dyDescent="0.25">
      <c r="B4" s="1" t="s">
        <v>5</v>
      </c>
      <c r="C4" s="1">
        <v>1.1100000000000001</v>
      </c>
    </row>
    <row r="5" spans="1:3" x14ac:dyDescent="0.25">
      <c r="B5" s="1" t="s">
        <v>6</v>
      </c>
      <c r="C5" s="1">
        <v>0.67</v>
      </c>
    </row>
    <row r="6" spans="1:3" x14ac:dyDescent="0.25">
      <c r="B6" s="1" t="s">
        <v>7</v>
      </c>
      <c r="C6" s="37">
        <v>1.3</v>
      </c>
    </row>
    <row r="7" spans="1:3" x14ac:dyDescent="0.25">
      <c r="B7" t="s">
        <v>373</v>
      </c>
      <c r="C7">
        <v>145.25</v>
      </c>
    </row>
    <row r="8" spans="1:3" x14ac:dyDescent="0.25">
      <c r="B8" t="s">
        <v>396</v>
      </c>
      <c r="C8" s="39">
        <v>7.8</v>
      </c>
    </row>
    <row r="9" spans="1:3" x14ac:dyDescent="0.25">
      <c r="B9" t="s">
        <v>398</v>
      </c>
      <c r="C9">
        <v>1433</v>
      </c>
    </row>
    <row r="10" spans="1:3" x14ac:dyDescent="0.25">
      <c r="B10" t="s">
        <v>432</v>
      </c>
      <c r="C10">
        <v>82.55</v>
      </c>
    </row>
    <row r="11" spans="1:3" x14ac:dyDescent="0.25">
      <c r="B11" t="s">
        <v>436</v>
      </c>
      <c r="C11">
        <v>7.09</v>
      </c>
    </row>
  </sheetData>
  <hyperlinks>
    <hyperlink ref="A1" location="Main!A1" display="Main" xr:uid="{9344C38F-7C44-1C43-8F9F-12310F6083E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149DB-8F62-4CB2-88E6-87DDBD9316FC}">
  <sheetPr codeName="Sheet3"/>
  <dimension ref="A1:J136"/>
  <sheetViews>
    <sheetView zoomScale="145" zoomScaleNormal="145" workbookViewId="0">
      <pane xSplit="2" ySplit="2" topLeftCell="C31" activePane="bottomRight" state="frozen"/>
      <selection pane="topRight" activeCell="C1" sqref="C1"/>
      <selection pane="bottomLeft" activeCell="A3" sqref="A3"/>
      <selection pane="bottomRight" activeCell="E33" sqref="E33"/>
    </sheetView>
  </sheetViews>
  <sheetFormatPr defaultColWidth="8.81640625" defaultRowHeight="12.5" x14ac:dyDescent="0.25"/>
  <cols>
    <col min="1" max="1" width="5" bestFit="1" customWidth="1"/>
    <col min="2" max="2" width="26.81640625" bestFit="1" customWidth="1"/>
    <col min="3" max="3" width="10.453125" bestFit="1" customWidth="1"/>
    <col min="5" max="5" width="9.81640625" bestFit="1" customWidth="1"/>
    <col min="7" max="7" width="15.453125" customWidth="1"/>
    <col min="8" max="8" width="10.7265625" style="27" customWidth="1"/>
    <col min="9" max="9" width="12.453125" customWidth="1"/>
  </cols>
  <sheetData>
    <row r="1" spans="1:10" x14ac:dyDescent="0.25">
      <c r="A1" s="5" t="s">
        <v>285</v>
      </c>
    </row>
    <row r="2" spans="1:10" x14ac:dyDescent="0.25">
      <c r="B2" t="s">
        <v>1</v>
      </c>
      <c r="C2" t="s">
        <v>2</v>
      </c>
      <c r="D2" t="s">
        <v>283</v>
      </c>
      <c r="E2" t="s">
        <v>323</v>
      </c>
      <c r="F2" t="s">
        <v>325</v>
      </c>
      <c r="G2" t="s">
        <v>326</v>
      </c>
      <c r="H2" s="27" t="s">
        <v>329</v>
      </c>
      <c r="I2" t="s">
        <v>426</v>
      </c>
      <c r="J2" t="s">
        <v>1023</v>
      </c>
    </row>
    <row r="3" spans="1:10" x14ac:dyDescent="0.25">
      <c r="B3" t="s">
        <v>499</v>
      </c>
      <c r="E3" t="s">
        <v>324</v>
      </c>
      <c r="F3">
        <v>3000</v>
      </c>
      <c r="G3" t="s">
        <v>500</v>
      </c>
    </row>
    <row r="4" spans="1:10" x14ac:dyDescent="0.25">
      <c r="B4" t="s">
        <v>478</v>
      </c>
      <c r="E4" t="s">
        <v>612</v>
      </c>
      <c r="F4">
        <v>401</v>
      </c>
      <c r="G4" t="s">
        <v>1018</v>
      </c>
      <c r="H4" s="36">
        <v>45070</v>
      </c>
    </row>
    <row r="5" spans="1:10" x14ac:dyDescent="0.25">
      <c r="B5" t="s">
        <v>440</v>
      </c>
      <c r="C5">
        <v>2018</v>
      </c>
      <c r="D5" t="s">
        <v>441</v>
      </c>
      <c r="E5" t="s">
        <v>392</v>
      </c>
      <c r="F5">
        <v>400</v>
      </c>
    </row>
    <row r="6" spans="1:10" x14ac:dyDescent="0.25">
      <c r="B6" t="s">
        <v>496</v>
      </c>
      <c r="E6" t="s">
        <v>324</v>
      </c>
      <c r="F6">
        <v>350</v>
      </c>
      <c r="G6" t="s">
        <v>1030</v>
      </c>
      <c r="H6" s="36">
        <v>44754</v>
      </c>
    </row>
    <row r="7" spans="1:10" x14ac:dyDescent="0.25">
      <c r="B7" t="s">
        <v>456</v>
      </c>
      <c r="C7">
        <v>2018</v>
      </c>
      <c r="E7" t="s">
        <v>392</v>
      </c>
      <c r="F7">
        <v>300</v>
      </c>
      <c r="G7" t="s">
        <v>1021</v>
      </c>
      <c r="J7">
        <v>1700</v>
      </c>
    </row>
    <row r="8" spans="1:10" x14ac:dyDescent="0.25">
      <c r="B8" t="s">
        <v>1036</v>
      </c>
      <c r="E8" t="s">
        <v>324</v>
      </c>
      <c r="F8">
        <v>290</v>
      </c>
      <c r="G8" t="s">
        <v>1037</v>
      </c>
      <c r="H8" s="36">
        <v>45400</v>
      </c>
    </row>
    <row r="9" spans="1:10" x14ac:dyDescent="0.25">
      <c r="B9" t="s">
        <v>451</v>
      </c>
      <c r="E9" t="s">
        <v>601</v>
      </c>
      <c r="F9">
        <v>221</v>
      </c>
      <c r="G9" t="s">
        <v>1021</v>
      </c>
      <c r="H9" s="36">
        <v>44670</v>
      </c>
    </row>
    <row r="10" spans="1:10" x14ac:dyDescent="0.25">
      <c r="B10" t="s">
        <v>476</v>
      </c>
    </row>
    <row r="11" spans="1:10" x14ac:dyDescent="0.25">
      <c r="B11" t="s">
        <v>477</v>
      </c>
    </row>
    <row r="12" spans="1:10" x14ac:dyDescent="0.25">
      <c r="B12" t="s">
        <v>479</v>
      </c>
      <c r="C12">
        <v>2019</v>
      </c>
      <c r="I12" t="s">
        <v>502</v>
      </c>
    </row>
    <row r="13" spans="1:10" x14ac:dyDescent="0.25">
      <c r="B13" t="s">
        <v>480</v>
      </c>
    </row>
    <row r="14" spans="1:10" x14ac:dyDescent="0.25">
      <c r="B14" t="s">
        <v>481</v>
      </c>
    </row>
    <row r="15" spans="1:10" x14ac:dyDescent="0.25">
      <c r="B15" t="s">
        <v>482</v>
      </c>
    </row>
    <row r="16" spans="1:10" x14ac:dyDescent="0.25">
      <c r="B16" t="s">
        <v>483</v>
      </c>
      <c r="E16" t="s">
        <v>392</v>
      </c>
      <c r="F16">
        <v>270</v>
      </c>
      <c r="G16" t="s">
        <v>1108</v>
      </c>
      <c r="H16" s="36">
        <v>44697</v>
      </c>
    </row>
    <row r="17" spans="2:9" x14ac:dyDescent="0.25">
      <c r="B17" t="s">
        <v>484</v>
      </c>
    </row>
    <row r="18" spans="2:9" x14ac:dyDescent="0.25">
      <c r="B18" t="s">
        <v>487</v>
      </c>
      <c r="E18" t="s">
        <v>392</v>
      </c>
      <c r="F18">
        <v>259</v>
      </c>
    </row>
    <row r="19" spans="2:9" x14ac:dyDescent="0.25">
      <c r="B19" t="s">
        <v>998</v>
      </c>
      <c r="C19">
        <v>2020</v>
      </c>
      <c r="E19" t="s">
        <v>601</v>
      </c>
      <c r="F19">
        <v>150</v>
      </c>
      <c r="H19" s="36">
        <v>44657</v>
      </c>
      <c r="I19" t="s">
        <v>999</v>
      </c>
    </row>
    <row r="20" spans="2:9" x14ac:dyDescent="0.25">
      <c r="B20" t="s">
        <v>485</v>
      </c>
    </row>
    <row r="21" spans="2:9" x14ac:dyDescent="0.25">
      <c r="B21" t="s">
        <v>1109</v>
      </c>
      <c r="E21" t="s">
        <v>601</v>
      </c>
      <c r="F21">
        <v>110</v>
      </c>
    </row>
    <row r="22" spans="2:9" x14ac:dyDescent="0.25">
      <c r="B22" t="s">
        <v>486</v>
      </c>
      <c r="C22">
        <v>2018</v>
      </c>
      <c r="E22" t="s">
        <v>612</v>
      </c>
      <c r="F22">
        <v>160</v>
      </c>
      <c r="G22" t="s">
        <v>615</v>
      </c>
      <c r="H22" s="36">
        <v>44817</v>
      </c>
      <c r="I22" t="s">
        <v>611</v>
      </c>
    </row>
    <row r="23" spans="2:9" x14ac:dyDescent="0.25">
      <c r="B23" t="s">
        <v>486</v>
      </c>
      <c r="C23">
        <v>2018</v>
      </c>
      <c r="E23" t="s">
        <v>392</v>
      </c>
      <c r="F23">
        <v>108</v>
      </c>
      <c r="G23" t="s">
        <v>614</v>
      </c>
      <c r="H23" s="36">
        <v>44362</v>
      </c>
    </row>
    <row r="24" spans="2:9" x14ac:dyDescent="0.25">
      <c r="B24" t="s">
        <v>486</v>
      </c>
      <c r="C24">
        <v>2018</v>
      </c>
      <c r="E24" t="s">
        <v>601</v>
      </c>
      <c r="F24">
        <v>105</v>
      </c>
      <c r="G24" t="s">
        <v>614</v>
      </c>
      <c r="H24" s="36">
        <v>44173</v>
      </c>
    </row>
    <row r="25" spans="2:9" x14ac:dyDescent="0.25">
      <c r="B25" t="s">
        <v>486</v>
      </c>
      <c r="C25">
        <v>2018</v>
      </c>
      <c r="E25" t="s">
        <v>324</v>
      </c>
      <c r="F25">
        <v>45</v>
      </c>
      <c r="G25" t="s">
        <v>613</v>
      </c>
      <c r="H25" s="36">
        <v>44118</v>
      </c>
    </row>
    <row r="26" spans="2:9" x14ac:dyDescent="0.25">
      <c r="H26" s="36"/>
    </row>
    <row r="27" spans="2:9" x14ac:dyDescent="0.25">
      <c r="B27" t="s">
        <v>391</v>
      </c>
      <c r="E27" t="s">
        <v>1033</v>
      </c>
      <c r="F27">
        <v>145</v>
      </c>
      <c r="G27" t="s">
        <v>1034</v>
      </c>
      <c r="H27" s="36">
        <v>45352</v>
      </c>
    </row>
    <row r="28" spans="2:9" x14ac:dyDescent="0.25">
      <c r="B28" t="s">
        <v>391</v>
      </c>
      <c r="E28" t="s">
        <v>612</v>
      </c>
      <c r="F28">
        <v>178</v>
      </c>
      <c r="G28" t="s">
        <v>1035</v>
      </c>
      <c r="H28" s="36">
        <v>44886</v>
      </c>
    </row>
    <row r="29" spans="2:9" x14ac:dyDescent="0.25">
      <c r="B29" t="s">
        <v>391</v>
      </c>
      <c r="E29" t="s">
        <v>392</v>
      </c>
      <c r="F29">
        <v>107</v>
      </c>
      <c r="I29" t="s">
        <v>393</v>
      </c>
    </row>
    <row r="31" spans="2:9" x14ac:dyDescent="0.25">
      <c r="B31" t="s">
        <v>493</v>
      </c>
      <c r="E31" t="s">
        <v>392</v>
      </c>
      <c r="F31">
        <v>140</v>
      </c>
      <c r="G31" t="s">
        <v>1679</v>
      </c>
      <c r="H31" s="36">
        <v>44601</v>
      </c>
    </row>
    <row r="32" spans="2:9" x14ac:dyDescent="0.25">
      <c r="B32" t="s">
        <v>1836</v>
      </c>
      <c r="E32" t="s">
        <v>324</v>
      </c>
      <c r="F32">
        <v>121</v>
      </c>
      <c r="G32" t="s">
        <v>1837</v>
      </c>
      <c r="H32" s="36">
        <v>45756</v>
      </c>
    </row>
    <row r="33" spans="2:8" x14ac:dyDescent="0.25">
      <c r="B33" t="s">
        <v>1026</v>
      </c>
      <c r="E33" t="s">
        <v>601</v>
      </c>
      <c r="F33">
        <v>75</v>
      </c>
      <c r="G33" t="s">
        <v>1027</v>
      </c>
      <c r="H33" s="36">
        <v>45308</v>
      </c>
    </row>
    <row r="34" spans="2:8" x14ac:dyDescent="0.25">
      <c r="B34" t="s">
        <v>1028</v>
      </c>
      <c r="E34" t="s">
        <v>392</v>
      </c>
      <c r="F34">
        <v>75</v>
      </c>
      <c r="G34" t="s">
        <v>1029</v>
      </c>
      <c r="H34" s="36">
        <v>45314</v>
      </c>
    </row>
    <row r="35" spans="2:8" x14ac:dyDescent="0.25">
      <c r="B35" t="s">
        <v>1110</v>
      </c>
      <c r="H35" s="36"/>
    </row>
    <row r="36" spans="2:8" x14ac:dyDescent="0.25">
      <c r="B36" t="s">
        <v>488</v>
      </c>
    </row>
    <row r="37" spans="2:8" x14ac:dyDescent="0.25">
      <c r="B37" t="s">
        <v>489</v>
      </c>
    </row>
    <row r="38" spans="2:8" x14ac:dyDescent="0.25">
      <c r="B38" t="s">
        <v>490</v>
      </c>
    </row>
    <row r="39" spans="2:8" x14ac:dyDescent="0.25">
      <c r="B39" t="s">
        <v>491</v>
      </c>
    </row>
    <row r="40" spans="2:8" x14ac:dyDescent="0.25">
      <c r="B40" t="s">
        <v>492</v>
      </c>
    </row>
    <row r="41" spans="2:8" x14ac:dyDescent="0.25">
      <c r="B41" t="s">
        <v>1005</v>
      </c>
      <c r="C41">
        <v>2021</v>
      </c>
      <c r="F41">
        <v>20</v>
      </c>
      <c r="H41" s="36">
        <v>45030</v>
      </c>
    </row>
    <row r="42" spans="2:8" x14ac:dyDescent="0.25">
      <c r="B42" t="s">
        <v>1006</v>
      </c>
      <c r="C42">
        <v>2020</v>
      </c>
      <c r="F42">
        <v>20</v>
      </c>
      <c r="H42" s="36">
        <v>44987</v>
      </c>
    </row>
    <row r="43" spans="2:8" x14ac:dyDescent="0.25">
      <c r="B43" t="s">
        <v>1004</v>
      </c>
    </row>
    <row r="44" spans="2:8" x14ac:dyDescent="0.25">
      <c r="B44" t="s">
        <v>1007</v>
      </c>
      <c r="C44" s="12">
        <v>44188</v>
      </c>
      <c r="F44">
        <v>19</v>
      </c>
      <c r="H44" s="36">
        <v>44545</v>
      </c>
    </row>
    <row r="45" spans="2:8" x14ac:dyDescent="0.25">
      <c r="B45" t="s">
        <v>1031</v>
      </c>
      <c r="C45" s="12"/>
      <c r="E45" t="s">
        <v>324</v>
      </c>
      <c r="F45">
        <v>16.8</v>
      </c>
      <c r="G45" t="s">
        <v>1032</v>
      </c>
      <c r="H45" s="36">
        <v>45349</v>
      </c>
    </row>
    <row r="46" spans="2:8" x14ac:dyDescent="0.25">
      <c r="B46" t="s">
        <v>1176</v>
      </c>
      <c r="C46" s="12"/>
      <c r="H46" s="36"/>
    </row>
    <row r="47" spans="2:8" x14ac:dyDescent="0.25">
      <c r="B47" t="s">
        <v>1024</v>
      </c>
      <c r="C47" s="12"/>
      <c r="E47" t="s">
        <v>324</v>
      </c>
      <c r="F47">
        <v>14</v>
      </c>
      <c r="G47" t="s">
        <v>1025</v>
      </c>
      <c r="H47" s="36">
        <v>45307</v>
      </c>
    </row>
    <row r="48" spans="2:8" x14ac:dyDescent="0.25">
      <c r="B48" t="s">
        <v>1003</v>
      </c>
    </row>
    <row r="49" spans="2:8" x14ac:dyDescent="0.25">
      <c r="B49" t="s">
        <v>1181</v>
      </c>
    </row>
    <row r="50" spans="2:8" x14ac:dyDescent="0.25">
      <c r="B50" t="s">
        <v>494</v>
      </c>
    </row>
    <row r="51" spans="2:8" x14ac:dyDescent="0.25">
      <c r="B51" t="s">
        <v>495</v>
      </c>
    </row>
    <row r="52" spans="2:8" x14ac:dyDescent="0.25">
      <c r="B52" t="s">
        <v>443</v>
      </c>
    </row>
    <row r="53" spans="2:8" x14ac:dyDescent="0.25">
      <c r="B53" t="s">
        <v>1138</v>
      </c>
      <c r="E53" t="s">
        <v>601</v>
      </c>
      <c r="F53">
        <v>120</v>
      </c>
      <c r="H53" s="36">
        <v>45511</v>
      </c>
    </row>
    <row r="54" spans="2:8" x14ac:dyDescent="0.25">
      <c r="B54" t="s">
        <v>444</v>
      </c>
    </row>
    <row r="55" spans="2:8" x14ac:dyDescent="0.25">
      <c r="B55" t="s">
        <v>445</v>
      </c>
    </row>
    <row r="56" spans="2:8" x14ac:dyDescent="0.25">
      <c r="B56" t="s">
        <v>446</v>
      </c>
    </row>
    <row r="57" spans="2:8" x14ac:dyDescent="0.25">
      <c r="B57" t="s">
        <v>1313</v>
      </c>
      <c r="C57" s="12">
        <v>45196</v>
      </c>
      <c r="E57" t="s">
        <v>392</v>
      </c>
      <c r="F57">
        <v>175</v>
      </c>
      <c r="G57" t="s">
        <v>1314</v>
      </c>
    </row>
    <row r="58" spans="2:8" x14ac:dyDescent="0.25">
      <c r="B58" t="s">
        <v>447</v>
      </c>
    </row>
    <row r="59" spans="2:8" x14ac:dyDescent="0.25">
      <c r="B59" t="s">
        <v>449</v>
      </c>
    </row>
    <row r="60" spans="2:8" x14ac:dyDescent="0.25">
      <c r="B60" t="s">
        <v>448</v>
      </c>
    </row>
    <row r="61" spans="2:8" x14ac:dyDescent="0.25">
      <c r="B61" t="s">
        <v>450</v>
      </c>
      <c r="E61" t="s">
        <v>601</v>
      </c>
      <c r="F61">
        <v>500</v>
      </c>
    </row>
    <row r="62" spans="2:8" x14ac:dyDescent="0.25">
      <c r="B62" t="s">
        <v>452</v>
      </c>
    </row>
    <row r="63" spans="2:8" x14ac:dyDescent="0.25">
      <c r="B63" t="s">
        <v>453</v>
      </c>
    </row>
    <row r="64" spans="2:8" x14ac:dyDescent="0.25">
      <c r="B64" t="s">
        <v>454</v>
      </c>
    </row>
    <row r="65" spans="2:6" x14ac:dyDescent="0.25">
      <c r="B65" t="s">
        <v>455</v>
      </c>
    </row>
    <row r="66" spans="2:6" x14ac:dyDescent="0.25">
      <c r="B66" t="s">
        <v>472</v>
      </c>
    </row>
    <row r="67" spans="2:6" x14ac:dyDescent="0.25">
      <c r="B67" t="s">
        <v>473</v>
      </c>
    </row>
    <row r="68" spans="2:6" x14ac:dyDescent="0.25">
      <c r="B68" t="s">
        <v>475</v>
      </c>
    </row>
    <row r="69" spans="2:6" x14ac:dyDescent="0.25">
      <c r="B69" t="s">
        <v>474</v>
      </c>
    </row>
    <row r="70" spans="2:6" x14ac:dyDescent="0.25">
      <c r="B70" t="s">
        <v>457</v>
      </c>
    </row>
    <row r="71" spans="2:6" x14ac:dyDescent="0.25">
      <c r="B71" t="s">
        <v>458</v>
      </c>
    </row>
    <row r="72" spans="2:6" x14ac:dyDescent="0.25">
      <c r="B72" t="s">
        <v>460</v>
      </c>
    </row>
    <row r="73" spans="2:6" x14ac:dyDescent="0.25">
      <c r="B73" t="s">
        <v>461</v>
      </c>
    </row>
    <row r="74" spans="2:6" x14ac:dyDescent="0.25">
      <c r="B74" t="s">
        <v>462</v>
      </c>
    </row>
    <row r="75" spans="2:6" x14ac:dyDescent="0.25">
      <c r="B75" t="s">
        <v>463</v>
      </c>
    </row>
    <row r="76" spans="2:6" x14ac:dyDescent="0.25">
      <c r="B76" t="s">
        <v>465</v>
      </c>
    </row>
    <row r="77" spans="2:6" x14ac:dyDescent="0.25">
      <c r="B77" t="s">
        <v>466</v>
      </c>
    </row>
    <row r="78" spans="2:6" x14ac:dyDescent="0.25">
      <c r="B78" t="s">
        <v>467</v>
      </c>
    </row>
    <row r="79" spans="2:6" x14ac:dyDescent="0.25">
      <c r="B79" t="s">
        <v>468</v>
      </c>
    </row>
    <row r="80" spans="2:6" x14ac:dyDescent="0.25">
      <c r="B80" t="s">
        <v>469</v>
      </c>
      <c r="E80" t="s">
        <v>601</v>
      </c>
      <c r="F80" t="s">
        <v>1000</v>
      </c>
    </row>
    <row r="81" spans="2:8" x14ac:dyDescent="0.25">
      <c r="B81" t="s">
        <v>1001</v>
      </c>
      <c r="E81" t="s">
        <v>324</v>
      </c>
      <c r="F81" t="s">
        <v>1002</v>
      </c>
    </row>
    <row r="82" spans="2:8" x14ac:dyDescent="0.25">
      <c r="B82" t="s">
        <v>470</v>
      </c>
    </row>
    <row r="83" spans="2:8" x14ac:dyDescent="0.25">
      <c r="B83" t="s">
        <v>471</v>
      </c>
    </row>
    <row r="84" spans="2:8" x14ac:dyDescent="0.25">
      <c r="B84" t="s">
        <v>464</v>
      </c>
    </row>
    <row r="85" spans="2:8" x14ac:dyDescent="0.25">
      <c r="B85" t="s">
        <v>459</v>
      </c>
    </row>
    <row r="86" spans="2:8" x14ac:dyDescent="0.25">
      <c r="B86" t="s">
        <v>442</v>
      </c>
    </row>
    <row r="87" spans="2:8" x14ac:dyDescent="0.25">
      <c r="B87" t="s">
        <v>0</v>
      </c>
    </row>
    <row r="88" spans="2:8" x14ac:dyDescent="0.25">
      <c r="B88" t="s">
        <v>279</v>
      </c>
    </row>
    <row r="89" spans="2:8" x14ac:dyDescent="0.25">
      <c r="B89" t="s">
        <v>280</v>
      </c>
    </row>
    <row r="90" spans="2:8" x14ac:dyDescent="0.25">
      <c r="B90" t="s">
        <v>281</v>
      </c>
      <c r="C90">
        <v>2019</v>
      </c>
      <c r="D90" t="s">
        <v>282</v>
      </c>
    </row>
    <row r="91" spans="2:8" x14ac:dyDescent="0.25">
      <c r="B91" t="s">
        <v>284</v>
      </c>
    </row>
    <row r="92" spans="2:8" x14ac:dyDescent="0.25">
      <c r="B92" t="s">
        <v>286</v>
      </c>
    </row>
    <row r="93" spans="2:8" x14ac:dyDescent="0.25">
      <c r="B93" t="s">
        <v>289</v>
      </c>
    </row>
    <row r="94" spans="2:8" x14ac:dyDescent="0.25">
      <c r="B94" t="s">
        <v>322</v>
      </c>
      <c r="C94">
        <v>2019</v>
      </c>
      <c r="D94" t="s">
        <v>330</v>
      </c>
      <c r="E94" t="s">
        <v>324</v>
      </c>
      <c r="F94" t="s">
        <v>328</v>
      </c>
      <c r="G94" t="s">
        <v>327</v>
      </c>
      <c r="H94" s="36">
        <v>44599</v>
      </c>
    </row>
    <row r="95" spans="2:8" x14ac:dyDescent="0.25">
      <c r="B95" t="s">
        <v>337</v>
      </c>
      <c r="E95" t="s">
        <v>324</v>
      </c>
      <c r="F95" t="s">
        <v>338</v>
      </c>
    </row>
    <row r="96" spans="2:8" x14ac:dyDescent="0.25">
      <c r="B96" t="s">
        <v>339</v>
      </c>
    </row>
    <row r="97" spans="2:9" x14ac:dyDescent="0.25">
      <c r="B97" t="s">
        <v>1038</v>
      </c>
    </row>
    <row r="98" spans="2:9" x14ac:dyDescent="0.25">
      <c r="B98" t="s">
        <v>340</v>
      </c>
      <c r="I98" t="s">
        <v>341</v>
      </c>
    </row>
    <row r="99" spans="2:9" x14ac:dyDescent="0.25">
      <c r="B99" t="s">
        <v>383</v>
      </c>
    </row>
    <row r="100" spans="2:9" x14ac:dyDescent="0.25">
      <c r="B100" t="s">
        <v>386</v>
      </c>
      <c r="C100" t="s">
        <v>387</v>
      </c>
      <c r="E100" t="s">
        <v>324</v>
      </c>
      <c r="F100" t="s">
        <v>388</v>
      </c>
      <c r="H100" s="36">
        <v>43466</v>
      </c>
      <c r="I100" t="s">
        <v>389</v>
      </c>
    </row>
    <row r="101" spans="2:9" x14ac:dyDescent="0.25">
      <c r="B101" t="s">
        <v>390</v>
      </c>
    </row>
    <row r="103" spans="2:9" x14ac:dyDescent="0.25">
      <c r="B103" t="s">
        <v>397</v>
      </c>
      <c r="E103" t="s">
        <v>392</v>
      </c>
      <c r="F103">
        <v>121</v>
      </c>
    </row>
    <row r="104" spans="2:9" x14ac:dyDescent="0.25">
      <c r="B104" t="s">
        <v>414</v>
      </c>
    </row>
    <row r="105" spans="2:9" x14ac:dyDescent="0.25">
      <c r="B105" t="s">
        <v>417</v>
      </c>
    </row>
    <row r="106" spans="2:9" x14ac:dyDescent="0.25">
      <c r="B106" t="s">
        <v>419</v>
      </c>
    </row>
    <row r="107" spans="2:9" x14ac:dyDescent="0.25">
      <c r="B107" t="s">
        <v>424</v>
      </c>
      <c r="I107" t="s">
        <v>425</v>
      </c>
    </row>
    <row r="108" spans="2:9" x14ac:dyDescent="0.25">
      <c r="B108" t="s">
        <v>439</v>
      </c>
    </row>
    <row r="109" spans="2:9" x14ac:dyDescent="0.25">
      <c r="B109" t="s">
        <v>501</v>
      </c>
    </row>
    <row r="110" spans="2:9" x14ac:dyDescent="0.25">
      <c r="B110" t="s">
        <v>517</v>
      </c>
      <c r="I110" t="s">
        <v>518</v>
      </c>
    </row>
    <row r="111" spans="2:9" x14ac:dyDescent="0.25">
      <c r="B111" t="s">
        <v>520</v>
      </c>
      <c r="I111" t="s">
        <v>518</v>
      </c>
    </row>
    <row r="112" spans="2:9" x14ac:dyDescent="0.25">
      <c r="B112" t="s">
        <v>605</v>
      </c>
      <c r="C112">
        <v>2018</v>
      </c>
      <c r="D112" t="s">
        <v>608</v>
      </c>
      <c r="E112" t="s">
        <v>606</v>
      </c>
      <c r="F112" t="s">
        <v>607</v>
      </c>
      <c r="H112" s="36">
        <v>43251</v>
      </c>
    </row>
    <row r="113" spans="2:9" x14ac:dyDescent="0.25">
      <c r="B113" t="s">
        <v>605</v>
      </c>
      <c r="C113">
        <v>2018</v>
      </c>
      <c r="D113" t="s">
        <v>608</v>
      </c>
      <c r="E113" t="s">
        <v>604</v>
      </c>
      <c r="F113" t="s">
        <v>603</v>
      </c>
    </row>
    <row r="114" spans="2:9" x14ac:dyDescent="0.25">
      <c r="B114" t="s">
        <v>605</v>
      </c>
      <c r="C114">
        <v>2018</v>
      </c>
      <c r="D114" t="s">
        <v>608</v>
      </c>
      <c r="E114" t="s">
        <v>601</v>
      </c>
      <c r="F114" t="s">
        <v>602</v>
      </c>
    </row>
    <row r="115" spans="2:9" x14ac:dyDescent="0.25">
      <c r="B115" t="s">
        <v>609</v>
      </c>
      <c r="I115" t="s">
        <v>610</v>
      </c>
    </row>
    <row r="116" spans="2:9" x14ac:dyDescent="0.25">
      <c r="B116" t="s">
        <v>616</v>
      </c>
      <c r="E116" t="s">
        <v>601</v>
      </c>
      <c r="F116" t="s">
        <v>618</v>
      </c>
    </row>
    <row r="117" spans="2:9" x14ac:dyDescent="0.25">
      <c r="B117" t="s">
        <v>616</v>
      </c>
      <c r="E117" t="s">
        <v>324</v>
      </c>
      <c r="F117" t="s">
        <v>617</v>
      </c>
      <c r="G117" t="s">
        <v>619</v>
      </c>
    </row>
    <row r="118" spans="2:9" x14ac:dyDescent="0.25">
      <c r="B118" t="s">
        <v>620</v>
      </c>
      <c r="E118" t="s">
        <v>392</v>
      </c>
      <c r="F118" t="s">
        <v>621</v>
      </c>
    </row>
    <row r="119" spans="2:9" x14ac:dyDescent="0.25">
      <c r="B119" t="s">
        <v>620</v>
      </c>
      <c r="E119" t="s">
        <v>612</v>
      </c>
      <c r="F119" t="s">
        <v>607</v>
      </c>
    </row>
    <row r="120" spans="2:9" x14ac:dyDescent="0.25">
      <c r="B120" t="s">
        <v>1008</v>
      </c>
      <c r="E120" t="s">
        <v>601</v>
      </c>
      <c r="F120" t="s">
        <v>1009</v>
      </c>
    </row>
    <row r="121" spans="2:9" x14ac:dyDescent="0.25">
      <c r="B121" t="s">
        <v>1010</v>
      </c>
      <c r="E121" t="s">
        <v>324</v>
      </c>
      <c r="F121" t="s">
        <v>1011</v>
      </c>
    </row>
    <row r="122" spans="2:9" x14ac:dyDescent="0.25">
      <c r="B122" t="s">
        <v>1013</v>
      </c>
      <c r="E122" t="s">
        <v>1014</v>
      </c>
      <c r="F122" t="s">
        <v>1015</v>
      </c>
    </row>
    <row r="123" spans="2:9" x14ac:dyDescent="0.25">
      <c r="B123" t="s">
        <v>1016</v>
      </c>
    </row>
    <row r="124" spans="2:9" x14ac:dyDescent="0.25">
      <c r="B124" t="s">
        <v>1017</v>
      </c>
    </row>
    <row r="125" spans="2:9" x14ac:dyDescent="0.25">
      <c r="B125" t="s">
        <v>1647</v>
      </c>
    </row>
    <row r="126" spans="2:9" x14ac:dyDescent="0.25">
      <c r="B126" t="s">
        <v>1648</v>
      </c>
    </row>
    <row r="127" spans="2:9" x14ac:dyDescent="0.25">
      <c r="B127" t="s">
        <v>1669</v>
      </c>
      <c r="I127" t="s">
        <v>1670</v>
      </c>
    </row>
    <row r="128" spans="2:9" x14ac:dyDescent="0.25">
      <c r="B128" t="s">
        <v>1019</v>
      </c>
      <c r="E128" t="s">
        <v>1014</v>
      </c>
      <c r="F128" t="s">
        <v>1020</v>
      </c>
      <c r="G128" t="s">
        <v>1021</v>
      </c>
      <c r="H128" s="36">
        <v>44915</v>
      </c>
      <c r="I128" t="s">
        <v>1022</v>
      </c>
    </row>
    <row r="129" spans="2:9" x14ac:dyDescent="0.25">
      <c r="B129" t="s">
        <v>1675</v>
      </c>
    </row>
    <row r="130" spans="2:9" x14ac:dyDescent="0.25">
      <c r="B130" t="s">
        <v>1681</v>
      </c>
    </row>
    <row r="131" spans="2:9" x14ac:dyDescent="0.25">
      <c r="B131" t="s">
        <v>1676</v>
      </c>
    </row>
    <row r="132" spans="2:9" x14ac:dyDescent="0.25">
      <c r="B132" t="s">
        <v>1779</v>
      </c>
      <c r="I132" t="s">
        <v>1780</v>
      </c>
    </row>
    <row r="133" spans="2:9" x14ac:dyDescent="0.25">
      <c r="B133" t="s">
        <v>1781</v>
      </c>
      <c r="I133" t="s">
        <v>1782</v>
      </c>
    </row>
    <row r="134" spans="2:9" x14ac:dyDescent="0.25">
      <c r="B134" t="s">
        <v>1783</v>
      </c>
    </row>
    <row r="135" spans="2:9" x14ac:dyDescent="0.25">
      <c r="B135" t="s">
        <v>1784</v>
      </c>
    </row>
    <row r="136" spans="2:9" x14ac:dyDescent="0.25">
      <c r="B136" t="s">
        <v>1786</v>
      </c>
      <c r="I136" t="s">
        <v>1787</v>
      </c>
    </row>
  </sheetData>
  <hyperlinks>
    <hyperlink ref="A1" location="Main!A1" display="Main" xr:uid="{65B99B04-A55D-44D7-8C7C-94C201F1ED0E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F5FFF-8E15-4528-B07F-6A1BFCFA1FC9}">
  <dimension ref="A1:F25"/>
  <sheetViews>
    <sheetView zoomScale="160" zoomScaleNormal="16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3" sqref="F3"/>
    </sheetView>
  </sheetViews>
  <sheetFormatPr defaultColWidth="8.81640625" defaultRowHeight="12.5" x14ac:dyDescent="0.25"/>
  <cols>
    <col min="1" max="1" width="5" bestFit="1" customWidth="1"/>
    <col min="2" max="2" width="13.453125" bestFit="1" customWidth="1"/>
    <col min="3" max="3" width="17.81640625" bestFit="1" customWidth="1"/>
    <col min="4" max="4" width="15.453125" bestFit="1" customWidth="1"/>
    <col min="5" max="6" width="9.1796875" style="27"/>
  </cols>
  <sheetData>
    <row r="1" spans="1:6" x14ac:dyDescent="0.25">
      <c r="A1" s="5" t="s">
        <v>285</v>
      </c>
    </row>
    <row r="2" spans="1:6" x14ac:dyDescent="0.25">
      <c r="B2" t="s">
        <v>1</v>
      </c>
      <c r="C2" t="s">
        <v>1334</v>
      </c>
      <c r="D2" t="s">
        <v>1315</v>
      </c>
      <c r="E2" s="27" t="s">
        <v>1324</v>
      </c>
      <c r="F2" s="27" t="s">
        <v>1325</v>
      </c>
    </row>
    <row r="3" spans="1:6" x14ac:dyDescent="0.25">
      <c r="B3" t="s">
        <v>1316</v>
      </c>
      <c r="C3" t="s">
        <v>1339</v>
      </c>
      <c r="D3" t="s">
        <v>1317</v>
      </c>
      <c r="E3" s="29">
        <v>21976.23993</v>
      </c>
      <c r="F3" s="29">
        <v>7825</v>
      </c>
    </row>
    <row r="4" spans="1:6" x14ac:dyDescent="0.25">
      <c r="B4" t="s">
        <v>1332</v>
      </c>
      <c r="D4" t="s">
        <v>1355</v>
      </c>
      <c r="E4" s="29">
        <v>18211.07</v>
      </c>
    </row>
    <row r="5" spans="1:6" x14ac:dyDescent="0.25">
      <c r="B5" t="s">
        <v>1331</v>
      </c>
      <c r="D5" t="s">
        <v>1355</v>
      </c>
      <c r="E5" s="29">
        <v>16117.395447000001</v>
      </c>
    </row>
    <row r="6" spans="1:6" x14ac:dyDescent="0.25">
      <c r="B6" t="s">
        <v>1330</v>
      </c>
      <c r="C6" t="s">
        <v>1340</v>
      </c>
      <c r="D6" t="s">
        <v>1356</v>
      </c>
      <c r="E6" s="29">
        <v>11227.234425000001</v>
      </c>
    </row>
    <row r="7" spans="1:6" x14ac:dyDescent="0.25">
      <c r="B7" t="s">
        <v>1318</v>
      </c>
      <c r="D7" t="s">
        <v>1355</v>
      </c>
      <c r="E7" s="29">
        <v>9575.6820260000004</v>
      </c>
    </row>
    <row r="8" spans="1:6" x14ac:dyDescent="0.25">
      <c r="B8" t="s">
        <v>1319</v>
      </c>
      <c r="C8" t="s">
        <v>1341</v>
      </c>
      <c r="D8" t="s">
        <v>1357</v>
      </c>
      <c r="E8" s="29">
        <v>8820.4850540000007</v>
      </c>
    </row>
    <row r="9" spans="1:6" x14ac:dyDescent="0.25">
      <c r="B9" t="s">
        <v>1328</v>
      </c>
      <c r="E9" s="29">
        <v>8737.9044240000003</v>
      </c>
    </row>
    <row r="10" spans="1:6" x14ac:dyDescent="0.25">
      <c r="B10" t="s">
        <v>1365</v>
      </c>
      <c r="C10" t="s">
        <v>1366</v>
      </c>
      <c r="D10" t="s">
        <v>1358</v>
      </c>
      <c r="E10" s="29"/>
      <c r="F10" s="29">
        <v>6000</v>
      </c>
    </row>
    <row r="11" spans="1:6" x14ac:dyDescent="0.25">
      <c r="B11" t="s">
        <v>1329</v>
      </c>
      <c r="C11" t="s">
        <v>1342</v>
      </c>
      <c r="D11" t="s">
        <v>1358</v>
      </c>
      <c r="E11" s="29">
        <v>5911.15</v>
      </c>
    </row>
    <row r="12" spans="1:6" x14ac:dyDescent="0.25">
      <c r="B12" t="s">
        <v>1320</v>
      </c>
      <c r="E12" s="29">
        <v>5768.7178190000004</v>
      </c>
    </row>
    <row r="13" spans="1:6" x14ac:dyDescent="0.25">
      <c r="B13" t="s">
        <v>1359</v>
      </c>
      <c r="C13" t="s">
        <v>1360</v>
      </c>
      <c r="D13" t="s">
        <v>1358</v>
      </c>
      <c r="E13" s="29"/>
      <c r="F13" s="29">
        <v>5600</v>
      </c>
    </row>
    <row r="14" spans="1:6" x14ac:dyDescent="0.25">
      <c r="B14" t="s">
        <v>1333</v>
      </c>
      <c r="E14" s="29">
        <v>5116.0800019999997</v>
      </c>
    </row>
    <row r="15" spans="1:6" x14ac:dyDescent="0.25">
      <c r="B15" t="s">
        <v>1322</v>
      </c>
      <c r="E15" s="29">
        <v>5001.7414399999998</v>
      </c>
    </row>
    <row r="16" spans="1:6" x14ac:dyDescent="0.25">
      <c r="B16" s="5" t="s">
        <v>1335</v>
      </c>
      <c r="C16" t="s">
        <v>1336</v>
      </c>
      <c r="E16" s="29">
        <v>4902.1930000000002</v>
      </c>
      <c r="F16" s="29">
        <v>3187.7679090000001</v>
      </c>
    </row>
    <row r="17" spans="2:5" x14ac:dyDescent="0.25">
      <c r="B17" t="s">
        <v>1321</v>
      </c>
      <c r="C17" t="s">
        <v>1343</v>
      </c>
      <c r="E17" s="29">
        <v>4012.7660850000002</v>
      </c>
    </row>
    <row r="18" spans="2:5" x14ac:dyDescent="0.25">
      <c r="B18" t="s">
        <v>1327</v>
      </c>
      <c r="E18" s="29">
        <v>3542.0446270000002</v>
      </c>
    </row>
    <row r="19" spans="2:5" x14ac:dyDescent="0.25">
      <c r="B19" t="s">
        <v>1338</v>
      </c>
      <c r="E19" s="29">
        <v>2643.6989920000001</v>
      </c>
    </row>
    <row r="20" spans="2:5" x14ac:dyDescent="0.25">
      <c r="B20" s="5" t="s">
        <v>1345</v>
      </c>
      <c r="E20" s="29">
        <v>1296.421245</v>
      </c>
    </row>
    <row r="21" spans="2:5" x14ac:dyDescent="0.25">
      <c r="B21" t="s">
        <v>1326</v>
      </c>
      <c r="E21" s="29">
        <v>1057</v>
      </c>
    </row>
    <row r="22" spans="2:5" x14ac:dyDescent="0.25">
      <c r="B22" t="s">
        <v>1337</v>
      </c>
      <c r="C22" t="s">
        <v>1344</v>
      </c>
      <c r="E22" s="29">
        <v>981.87468000000001</v>
      </c>
    </row>
    <row r="23" spans="2:5" x14ac:dyDescent="0.25">
      <c r="B23" t="s">
        <v>1323</v>
      </c>
      <c r="E23" s="29">
        <v>507.774765</v>
      </c>
    </row>
    <row r="24" spans="2:5" x14ac:dyDescent="0.25">
      <c r="B24" t="s">
        <v>1346</v>
      </c>
    </row>
    <row r="25" spans="2:5" x14ac:dyDescent="0.25">
      <c r="B25" t="s">
        <v>1347</v>
      </c>
    </row>
  </sheetData>
  <hyperlinks>
    <hyperlink ref="A1" location="Main!A1" display="Main" xr:uid="{A5D06D9C-5A5F-4219-91DC-EC46896EA7D7}"/>
    <hyperlink ref="B16" r:id="rId1" xr:uid="{58224390-4954-446C-A607-69D5082BF3A9}"/>
    <hyperlink ref="B20" r:id="rId2" xr:uid="{B090EDB5-C40B-4CBB-9675-88BEE621013F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650EA-F83A-4483-B12E-DBBE9EC4FA2A}">
  <sheetPr codeName="Sheet4"/>
  <dimension ref="A1:AD123"/>
  <sheetViews>
    <sheetView zoomScale="205" zoomScaleNormal="205" workbookViewId="0">
      <pane xSplit="2" ySplit="2" topLeftCell="C109" activePane="bottomRight" state="frozen"/>
      <selection pane="topRight" activeCell="C1" sqref="C1"/>
      <selection pane="bottomLeft" activeCell="A3" sqref="A3"/>
      <selection pane="bottomRight" activeCell="A123" sqref="A123:XFD123"/>
    </sheetView>
  </sheetViews>
  <sheetFormatPr defaultColWidth="8.81640625" defaultRowHeight="12.5" x14ac:dyDescent="0.25"/>
  <cols>
    <col min="1" max="1" width="5" bestFit="1" customWidth="1"/>
    <col min="2" max="2" width="15.453125" customWidth="1"/>
    <col min="3" max="3" width="10.453125" customWidth="1"/>
    <col min="4" max="4" width="12.453125" bestFit="1" customWidth="1"/>
    <col min="5" max="5" width="10.453125" bestFit="1" customWidth="1"/>
    <col min="6" max="6" width="9.453125" bestFit="1" customWidth="1"/>
    <col min="10" max="10" width="10.453125" customWidth="1"/>
  </cols>
  <sheetData>
    <row r="1" spans="1:15" x14ac:dyDescent="0.25">
      <c r="A1" s="5" t="s">
        <v>285</v>
      </c>
    </row>
    <row r="2" spans="1:15" x14ac:dyDescent="0.25">
      <c r="B2" t="s">
        <v>293</v>
      </c>
      <c r="C2" t="s">
        <v>294</v>
      </c>
      <c r="D2" t="s">
        <v>319</v>
      </c>
      <c r="E2" t="s">
        <v>1198</v>
      </c>
      <c r="F2" t="s">
        <v>1214</v>
      </c>
      <c r="G2" t="s">
        <v>426</v>
      </c>
    </row>
    <row r="3" spans="1:15" x14ac:dyDescent="0.25">
      <c r="B3" t="s">
        <v>1246</v>
      </c>
      <c r="C3" t="s">
        <v>1247</v>
      </c>
      <c r="D3" s="6">
        <v>76000</v>
      </c>
      <c r="E3">
        <v>2000</v>
      </c>
      <c r="G3" t="s">
        <v>1248</v>
      </c>
    </row>
    <row r="4" spans="1:15" x14ac:dyDescent="0.25">
      <c r="B4" t="s">
        <v>1200</v>
      </c>
      <c r="C4" t="s">
        <v>32</v>
      </c>
      <c r="D4" s="6">
        <v>74000</v>
      </c>
      <c r="E4" s="12">
        <v>43468</v>
      </c>
    </row>
    <row r="5" spans="1:15" x14ac:dyDescent="0.25">
      <c r="B5" t="s">
        <v>1202</v>
      </c>
      <c r="C5" t="s">
        <v>24</v>
      </c>
      <c r="D5" s="6">
        <v>68000</v>
      </c>
      <c r="E5" s="12">
        <v>39838</v>
      </c>
    </row>
    <row r="6" spans="1:15" x14ac:dyDescent="0.25">
      <c r="B6" t="s">
        <v>1243</v>
      </c>
      <c r="C6" t="s">
        <v>1244</v>
      </c>
      <c r="D6" s="6">
        <v>67000</v>
      </c>
      <c r="E6" s="8">
        <v>1999</v>
      </c>
      <c r="G6" t="s">
        <v>1245</v>
      </c>
    </row>
    <row r="7" spans="1:15" x14ac:dyDescent="0.25">
      <c r="B7" t="s">
        <v>1220</v>
      </c>
      <c r="C7" t="s">
        <v>35</v>
      </c>
      <c r="D7" s="6">
        <v>64000</v>
      </c>
      <c r="E7" s="12">
        <v>38103</v>
      </c>
      <c r="F7" s="12">
        <v>38103</v>
      </c>
    </row>
    <row r="8" spans="1:15" x14ac:dyDescent="0.25">
      <c r="B8" t="s">
        <v>1199</v>
      </c>
      <c r="C8" t="s">
        <v>18</v>
      </c>
      <c r="D8" s="6">
        <v>63000</v>
      </c>
      <c r="E8" s="12">
        <v>43641</v>
      </c>
    </row>
    <row r="9" spans="1:15" x14ac:dyDescent="0.25">
      <c r="B9" t="s">
        <v>1255</v>
      </c>
      <c r="C9" t="s">
        <v>254</v>
      </c>
      <c r="D9" s="6">
        <v>63000</v>
      </c>
      <c r="E9" s="8">
        <v>2018</v>
      </c>
    </row>
    <row r="10" spans="1:15" x14ac:dyDescent="0.25">
      <c r="B10" t="s">
        <v>1259</v>
      </c>
      <c r="C10" t="s">
        <v>1053</v>
      </c>
      <c r="D10" s="6">
        <v>63000</v>
      </c>
      <c r="E10" s="8">
        <v>1996</v>
      </c>
      <c r="G10" t="s">
        <v>1260</v>
      </c>
    </row>
    <row r="11" spans="1:15" x14ac:dyDescent="0.25">
      <c r="B11" t="s">
        <v>1187</v>
      </c>
      <c r="C11" t="s">
        <v>61</v>
      </c>
      <c r="D11" s="6">
        <v>62000</v>
      </c>
      <c r="E11" s="12">
        <v>43473</v>
      </c>
      <c r="F11" s="12">
        <v>43473</v>
      </c>
    </row>
    <row r="12" spans="1:15" x14ac:dyDescent="0.25">
      <c r="B12" t="s">
        <v>1204</v>
      </c>
      <c r="C12" t="s">
        <v>24</v>
      </c>
      <c r="D12" s="6">
        <v>60000</v>
      </c>
      <c r="E12" s="47" t="s">
        <v>1203</v>
      </c>
    </row>
    <row r="13" spans="1:15" x14ac:dyDescent="0.25">
      <c r="B13" t="s">
        <v>1217</v>
      </c>
      <c r="C13" t="s">
        <v>21</v>
      </c>
      <c r="D13" s="6">
        <v>47000</v>
      </c>
      <c r="E13" s="8">
        <v>2019</v>
      </c>
      <c r="G13" t="s">
        <v>1219</v>
      </c>
    </row>
    <row r="14" spans="1:15" x14ac:dyDescent="0.25">
      <c r="A14" s="1"/>
      <c r="B14" s="5" t="s">
        <v>71</v>
      </c>
      <c r="C14" s="1" t="s">
        <v>72</v>
      </c>
      <c r="D14" s="6">
        <v>43000</v>
      </c>
      <c r="E14" s="8">
        <v>2023</v>
      </c>
      <c r="F14" s="6"/>
      <c r="G14" s="6"/>
      <c r="H14" s="3"/>
      <c r="I14" s="6"/>
      <c r="J14" s="9"/>
      <c r="K14" s="7"/>
      <c r="L14" s="10"/>
      <c r="M14" s="10"/>
      <c r="N14" s="10"/>
      <c r="O14" s="10"/>
    </row>
    <row r="15" spans="1:15" x14ac:dyDescent="0.25">
      <c r="A15" s="1"/>
      <c r="B15" t="s">
        <v>1207</v>
      </c>
      <c r="C15" t="s">
        <v>28</v>
      </c>
      <c r="D15" s="6">
        <v>41100</v>
      </c>
      <c r="E15" s="8">
        <v>2009</v>
      </c>
      <c r="F15" s="6"/>
      <c r="G15" s="6"/>
      <c r="H15" s="3"/>
      <c r="I15" s="6"/>
      <c r="J15" s="9"/>
      <c r="K15" s="7"/>
      <c r="L15" s="10"/>
      <c r="M15" s="10"/>
      <c r="N15" s="10"/>
      <c r="O15" s="10"/>
    </row>
    <row r="16" spans="1:15" x14ac:dyDescent="0.25">
      <c r="A16" s="1"/>
      <c r="B16" t="s">
        <v>1211</v>
      </c>
      <c r="C16" t="s">
        <v>95</v>
      </c>
      <c r="D16" s="6">
        <v>40500</v>
      </c>
      <c r="E16" s="8">
        <v>2015</v>
      </c>
      <c r="F16" s="6"/>
      <c r="G16" s="6"/>
      <c r="H16" s="3"/>
      <c r="I16" s="6"/>
      <c r="J16" s="9"/>
      <c r="K16" s="7"/>
      <c r="L16" s="10"/>
      <c r="M16" s="10"/>
      <c r="N16" s="10"/>
      <c r="O16" s="10"/>
    </row>
    <row r="17" spans="1:15" x14ac:dyDescent="0.25">
      <c r="A17" s="1"/>
      <c r="B17" t="s">
        <v>1241</v>
      </c>
      <c r="C17" t="s">
        <v>29</v>
      </c>
      <c r="D17" s="6">
        <v>39000</v>
      </c>
      <c r="E17" s="8">
        <v>2008</v>
      </c>
      <c r="F17" s="6"/>
      <c r="G17" s="49" t="s">
        <v>1242</v>
      </c>
      <c r="H17" s="3"/>
      <c r="I17" s="6"/>
      <c r="J17" s="9"/>
      <c r="K17" s="7"/>
      <c r="L17" s="10"/>
      <c r="M17" s="10"/>
      <c r="N17" s="10"/>
      <c r="O17" s="10"/>
    </row>
    <row r="18" spans="1:15" x14ac:dyDescent="0.25">
      <c r="B18" t="s">
        <v>1186</v>
      </c>
      <c r="C18" t="s">
        <v>1187</v>
      </c>
      <c r="D18" s="30">
        <v>32000</v>
      </c>
      <c r="E18">
        <v>2016</v>
      </c>
    </row>
    <row r="19" spans="1:15" x14ac:dyDescent="0.25">
      <c r="B19" t="s">
        <v>1254</v>
      </c>
      <c r="C19" t="s">
        <v>14</v>
      </c>
      <c r="D19" s="30">
        <v>30000</v>
      </c>
      <c r="E19" s="50">
        <v>2017</v>
      </c>
    </row>
    <row r="20" spans="1:15" x14ac:dyDescent="0.25">
      <c r="A20" s="1"/>
      <c r="B20" s="5" t="s">
        <v>102</v>
      </c>
      <c r="C20" s="1" t="s">
        <v>34</v>
      </c>
      <c r="D20" s="6">
        <v>27800</v>
      </c>
      <c r="E20">
        <v>2023</v>
      </c>
      <c r="F20" s="6"/>
      <c r="G20" s="6"/>
      <c r="H20" s="3"/>
      <c r="I20" s="6"/>
      <c r="J20" s="9"/>
    </row>
    <row r="21" spans="1:15" x14ac:dyDescent="0.25">
      <c r="A21" s="1"/>
      <c r="B21" t="s">
        <v>1222</v>
      </c>
      <c r="C21" t="s">
        <v>18</v>
      </c>
      <c r="D21" s="6">
        <v>21000</v>
      </c>
      <c r="E21">
        <v>2015</v>
      </c>
      <c r="F21">
        <v>2015</v>
      </c>
      <c r="G21" s="6"/>
      <c r="H21" s="3"/>
      <c r="I21" s="6"/>
      <c r="J21" s="9"/>
    </row>
    <row r="22" spans="1:15" x14ac:dyDescent="0.25">
      <c r="A22" s="1"/>
      <c r="B22" t="s">
        <v>1223</v>
      </c>
      <c r="C22" t="s">
        <v>45</v>
      </c>
      <c r="D22" s="6">
        <v>21000</v>
      </c>
      <c r="G22" s="6"/>
      <c r="H22" s="3"/>
      <c r="I22" s="6"/>
      <c r="J22" s="9"/>
    </row>
    <row r="23" spans="1:15" x14ac:dyDescent="0.25">
      <c r="A23" s="1"/>
      <c r="B23" t="s">
        <v>1201</v>
      </c>
      <c r="C23" t="s">
        <v>35</v>
      </c>
      <c r="D23" s="6">
        <v>20100</v>
      </c>
      <c r="E23" s="12">
        <v>40590</v>
      </c>
      <c r="F23" s="6"/>
      <c r="G23" s="6"/>
      <c r="H23" s="3"/>
      <c r="I23" s="6"/>
      <c r="J23" s="9"/>
    </row>
    <row r="24" spans="1:15" x14ac:dyDescent="0.25">
      <c r="B24" t="s">
        <v>1197</v>
      </c>
      <c r="C24" t="s">
        <v>23</v>
      </c>
      <c r="D24" s="30">
        <v>17000</v>
      </c>
      <c r="E24" s="46">
        <v>42036</v>
      </c>
      <c r="F24" s="12">
        <v>42250</v>
      </c>
    </row>
    <row r="25" spans="1:15" x14ac:dyDescent="0.25">
      <c r="B25" t="s">
        <v>1215</v>
      </c>
      <c r="C25" t="s">
        <v>34</v>
      </c>
      <c r="D25" s="30">
        <v>16000</v>
      </c>
      <c r="E25" s="47">
        <v>37239</v>
      </c>
      <c r="F25" s="12">
        <v>37449</v>
      </c>
    </row>
    <row r="26" spans="1:15" x14ac:dyDescent="0.25">
      <c r="B26" t="s">
        <v>1221</v>
      </c>
      <c r="C26" t="s">
        <v>38</v>
      </c>
      <c r="D26" s="30">
        <v>15600</v>
      </c>
      <c r="E26" s="47">
        <v>39196</v>
      </c>
      <c r="F26" s="47">
        <v>39196</v>
      </c>
    </row>
    <row r="27" spans="1:15" x14ac:dyDescent="0.25">
      <c r="B27" t="s">
        <v>1228</v>
      </c>
      <c r="C27" t="s">
        <v>1227</v>
      </c>
      <c r="D27" s="30">
        <v>14500</v>
      </c>
      <c r="E27" s="47">
        <v>42058</v>
      </c>
      <c r="F27" s="47"/>
    </row>
    <row r="28" spans="1:15" x14ac:dyDescent="0.25">
      <c r="B28" t="s">
        <v>399</v>
      </c>
      <c r="C28" t="s">
        <v>23</v>
      </c>
      <c r="D28" s="30">
        <v>14000</v>
      </c>
      <c r="E28" s="48">
        <v>2016</v>
      </c>
    </row>
    <row r="29" spans="1:15" x14ac:dyDescent="0.25">
      <c r="A29" s="1"/>
      <c r="B29" s="5" t="s">
        <v>598</v>
      </c>
      <c r="C29" t="s">
        <v>32</v>
      </c>
      <c r="D29" s="6">
        <v>12700</v>
      </c>
      <c r="E29" s="48">
        <v>2023</v>
      </c>
      <c r="F29" s="6"/>
      <c r="G29" s="6"/>
      <c r="H29" s="3"/>
      <c r="I29" s="6"/>
      <c r="J29" s="9"/>
    </row>
    <row r="30" spans="1:15" x14ac:dyDescent="0.25">
      <c r="A30" s="1"/>
      <c r="B30" t="s">
        <v>1225</v>
      </c>
      <c r="C30" t="s">
        <v>45</v>
      </c>
      <c r="D30" s="6">
        <v>11900</v>
      </c>
      <c r="E30" s="48">
        <v>2017</v>
      </c>
      <c r="F30" s="6"/>
      <c r="G30" s="6"/>
      <c r="H30" s="3"/>
      <c r="I30" s="6"/>
      <c r="J30" s="9"/>
    </row>
    <row r="31" spans="1:15" x14ac:dyDescent="0.25">
      <c r="B31" t="s">
        <v>354</v>
      </c>
      <c r="C31" t="s">
        <v>44</v>
      </c>
      <c r="D31" s="30">
        <v>11700</v>
      </c>
      <c r="E31">
        <v>2021</v>
      </c>
    </row>
    <row r="32" spans="1:15" x14ac:dyDescent="0.25">
      <c r="B32" t="s">
        <v>86</v>
      </c>
      <c r="C32" t="s">
        <v>23</v>
      </c>
      <c r="D32" s="30">
        <v>11600</v>
      </c>
      <c r="E32">
        <v>2022</v>
      </c>
    </row>
    <row r="33" spans="1:7" x14ac:dyDescent="0.25">
      <c r="B33" t="s">
        <v>415</v>
      </c>
      <c r="C33" t="s">
        <v>35</v>
      </c>
      <c r="D33" s="30">
        <v>11600</v>
      </c>
      <c r="E33" s="47">
        <v>43122</v>
      </c>
    </row>
    <row r="34" spans="1:7" x14ac:dyDescent="0.25">
      <c r="B34" t="s">
        <v>400</v>
      </c>
      <c r="C34" t="s">
        <v>23</v>
      </c>
      <c r="D34" s="30">
        <v>11400</v>
      </c>
      <c r="E34" s="12">
        <v>43633</v>
      </c>
    </row>
    <row r="35" spans="1:7" x14ac:dyDescent="0.25">
      <c r="B35" t="s">
        <v>1212</v>
      </c>
      <c r="C35" t="s">
        <v>45</v>
      </c>
      <c r="D35" s="30">
        <v>11000</v>
      </c>
      <c r="E35">
        <v>2011</v>
      </c>
    </row>
    <row r="36" spans="1:7" x14ac:dyDescent="0.25">
      <c r="A36" s="1"/>
      <c r="B36" t="s">
        <v>1012</v>
      </c>
      <c r="C36" t="s">
        <v>18</v>
      </c>
      <c r="D36" s="30">
        <v>10100</v>
      </c>
      <c r="E36" s="12">
        <v>45260</v>
      </c>
    </row>
    <row r="37" spans="1:7" x14ac:dyDescent="0.25">
      <c r="B37" t="s">
        <v>1209</v>
      </c>
      <c r="C37" t="s">
        <v>30</v>
      </c>
      <c r="D37" s="30">
        <v>9700</v>
      </c>
      <c r="E37">
        <v>2019</v>
      </c>
    </row>
    <row r="38" spans="1:7" x14ac:dyDescent="0.25">
      <c r="B38" t="s">
        <v>1239</v>
      </c>
      <c r="C38" t="s">
        <v>1200</v>
      </c>
      <c r="D38" s="30">
        <v>9000</v>
      </c>
      <c r="E38">
        <v>2018</v>
      </c>
    </row>
    <row r="39" spans="1:7" x14ac:dyDescent="0.25">
      <c r="B39" t="s">
        <v>1210</v>
      </c>
      <c r="C39" t="s">
        <v>30</v>
      </c>
      <c r="D39" s="30">
        <v>8700</v>
      </c>
      <c r="E39">
        <v>2018</v>
      </c>
    </row>
    <row r="40" spans="1:7" x14ac:dyDescent="0.25">
      <c r="B40" t="s">
        <v>146</v>
      </c>
      <c r="C40" t="s">
        <v>18</v>
      </c>
      <c r="D40" s="30">
        <v>8700</v>
      </c>
      <c r="F40" s="12">
        <v>45505</v>
      </c>
    </row>
    <row r="41" spans="1:7" x14ac:dyDescent="0.25">
      <c r="B41" t="s">
        <v>1226</v>
      </c>
      <c r="C41" t="s">
        <v>1227</v>
      </c>
      <c r="D41" s="30">
        <v>8700</v>
      </c>
      <c r="E41" s="12">
        <v>41421</v>
      </c>
      <c r="F41" s="12"/>
    </row>
    <row r="42" spans="1:7" x14ac:dyDescent="0.25">
      <c r="B42" t="s">
        <v>1208</v>
      </c>
      <c r="C42" t="s">
        <v>28</v>
      </c>
      <c r="D42" s="30">
        <v>8400</v>
      </c>
      <c r="E42">
        <v>2014</v>
      </c>
    </row>
    <row r="43" spans="1:7" x14ac:dyDescent="0.25">
      <c r="B43" t="s">
        <v>1256</v>
      </c>
      <c r="C43" t="s">
        <v>1257</v>
      </c>
      <c r="D43" s="30">
        <v>7700</v>
      </c>
      <c r="E43">
        <v>2005</v>
      </c>
      <c r="G43" t="s">
        <v>1245</v>
      </c>
    </row>
    <row r="44" spans="1:7" x14ac:dyDescent="0.25">
      <c r="B44" t="s">
        <v>1234</v>
      </c>
      <c r="C44" t="s">
        <v>1235</v>
      </c>
      <c r="D44" s="30">
        <v>7600</v>
      </c>
      <c r="E44">
        <v>2004</v>
      </c>
      <c r="G44" t="s">
        <v>1236</v>
      </c>
    </row>
    <row r="45" spans="1:7" x14ac:dyDescent="0.25">
      <c r="B45" t="s">
        <v>1238</v>
      </c>
      <c r="C45" t="s">
        <v>92</v>
      </c>
      <c r="D45" s="30">
        <v>7200</v>
      </c>
      <c r="E45">
        <v>2021</v>
      </c>
    </row>
    <row r="46" spans="1:7" x14ac:dyDescent="0.25">
      <c r="B46" t="s">
        <v>1229</v>
      </c>
      <c r="C46" t="s">
        <v>95</v>
      </c>
      <c r="D46" s="30">
        <v>6800</v>
      </c>
      <c r="E46">
        <v>2011</v>
      </c>
    </row>
    <row r="47" spans="1:7" x14ac:dyDescent="0.25">
      <c r="B47" t="s">
        <v>401</v>
      </c>
      <c r="C47" t="s">
        <v>23</v>
      </c>
      <c r="D47" s="30">
        <v>6700</v>
      </c>
      <c r="E47" s="12">
        <v>44543</v>
      </c>
    </row>
    <row r="48" spans="1:7" x14ac:dyDescent="0.25">
      <c r="B48" t="s">
        <v>1252</v>
      </c>
      <c r="C48" t="s">
        <v>1250</v>
      </c>
      <c r="D48" s="30">
        <v>6500</v>
      </c>
      <c r="E48">
        <v>2008</v>
      </c>
      <c r="G48" t="s">
        <v>1253</v>
      </c>
    </row>
    <row r="49" spans="1:7" x14ac:dyDescent="0.25">
      <c r="B49" t="s">
        <v>1230</v>
      </c>
      <c r="C49" t="s">
        <v>262</v>
      </c>
      <c r="D49" s="30">
        <v>5800</v>
      </c>
      <c r="E49" s="47" t="s">
        <v>1231</v>
      </c>
    </row>
    <row r="50" spans="1:7" x14ac:dyDescent="0.25">
      <c r="B50" s="1" t="s">
        <v>188</v>
      </c>
      <c r="C50" s="1" t="s">
        <v>23</v>
      </c>
      <c r="D50" s="30">
        <v>5400</v>
      </c>
      <c r="F50" s="12">
        <v>44840</v>
      </c>
    </row>
    <row r="51" spans="1:7" x14ac:dyDescent="0.25">
      <c r="B51" t="s">
        <v>1232</v>
      </c>
      <c r="C51" t="s">
        <v>29</v>
      </c>
      <c r="D51" s="30">
        <v>5100</v>
      </c>
      <c r="E51">
        <v>2005</v>
      </c>
      <c r="F51" s="12"/>
      <c r="G51" s="22" t="s">
        <v>1233</v>
      </c>
    </row>
    <row r="52" spans="1:7" x14ac:dyDescent="0.25">
      <c r="B52" t="s">
        <v>345</v>
      </c>
      <c r="C52" t="s">
        <v>14</v>
      </c>
      <c r="D52" s="30">
        <v>4900</v>
      </c>
      <c r="E52">
        <v>1999</v>
      </c>
    </row>
    <row r="53" spans="1:7" x14ac:dyDescent="0.25">
      <c r="A53" s="1"/>
      <c r="B53" t="s">
        <v>599</v>
      </c>
      <c r="C53" t="s">
        <v>600</v>
      </c>
      <c r="D53" s="6">
        <v>4800</v>
      </c>
      <c r="E53" s="12">
        <v>45207</v>
      </c>
    </row>
    <row r="54" spans="1:7" x14ac:dyDescent="0.25">
      <c r="B54" t="s">
        <v>344</v>
      </c>
      <c r="C54" t="s">
        <v>35</v>
      </c>
      <c r="D54" s="30">
        <v>4800</v>
      </c>
      <c r="E54" s="12">
        <v>43129</v>
      </c>
    </row>
    <row r="55" spans="1:7" x14ac:dyDescent="0.25">
      <c r="B55" t="s">
        <v>751</v>
      </c>
      <c r="C55" t="s">
        <v>45</v>
      </c>
      <c r="D55" s="30">
        <v>4300</v>
      </c>
      <c r="E55">
        <v>2024</v>
      </c>
    </row>
    <row r="56" spans="1:7" x14ac:dyDescent="0.25">
      <c r="A56" s="1"/>
      <c r="B56" s="1" t="s">
        <v>149</v>
      </c>
      <c r="C56" s="1" t="s">
        <v>150</v>
      </c>
      <c r="D56" s="6">
        <v>4100</v>
      </c>
      <c r="E56" s="12">
        <v>44715</v>
      </c>
    </row>
    <row r="57" spans="1:7" x14ac:dyDescent="0.25">
      <c r="A57" s="1"/>
      <c r="B57" t="s">
        <v>1237</v>
      </c>
      <c r="C57" t="s">
        <v>80</v>
      </c>
      <c r="D57" s="6">
        <v>4000</v>
      </c>
      <c r="E57">
        <v>2010</v>
      </c>
    </row>
    <row r="58" spans="1:7" x14ac:dyDescent="0.25">
      <c r="B58" t="s">
        <v>1213</v>
      </c>
      <c r="C58" t="s">
        <v>28</v>
      </c>
      <c r="D58" s="30">
        <v>3850</v>
      </c>
      <c r="E58">
        <v>2014</v>
      </c>
      <c r="G58" t="s">
        <v>1303</v>
      </c>
    </row>
    <row r="59" spans="1:7" x14ac:dyDescent="0.25">
      <c r="B59" s="1" t="s">
        <v>185</v>
      </c>
      <c r="C59" s="1" t="s">
        <v>34</v>
      </c>
      <c r="D59" s="6">
        <v>3700</v>
      </c>
      <c r="E59" s="12">
        <v>44777</v>
      </c>
    </row>
    <row r="60" spans="1:7" x14ac:dyDescent="0.25">
      <c r="B60" t="s">
        <v>1224</v>
      </c>
      <c r="C60" t="s">
        <v>45</v>
      </c>
      <c r="D60" s="30">
        <v>2500</v>
      </c>
      <c r="E60">
        <v>2006</v>
      </c>
    </row>
    <row r="61" spans="1:7" x14ac:dyDescent="0.25">
      <c r="B61" t="s">
        <v>346</v>
      </c>
      <c r="C61" t="s">
        <v>32</v>
      </c>
      <c r="D61" s="30">
        <v>2400</v>
      </c>
      <c r="F61" s="12">
        <v>40057</v>
      </c>
    </row>
    <row r="62" spans="1:7" x14ac:dyDescent="0.25">
      <c r="B62" t="s">
        <v>1216</v>
      </c>
      <c r="C62" t="s">
        <v>14</v>
      </c>
      <c r="D62" s="30">
        <v>2400</v>
      </c>
      <c r="E62">
        <v>2003</v>
      </c>
    </row>
    <row r="63" spans="1:7" x14ac:dyDescent="0.25">
      <c r="B63" t="s">
        <v>1249</v>
      </c>
      <c r="C63" t="s">
        <v>1250</v>
      </c>
      <c r="D63" s="30">
        <v>2300</v>
      </c>
      <c r="E63">
        <v>2006</v>
      </c>
    </row>
    <row r="64" spans="1:7" x14ac:dyDescent="0.25">
      <c r="B64" t="s">
        <v>1217</v>
      </c>
      <c r="C64" t="s">
        <v>21</v>
      </c>
      <c r="D64" s="30">
        <v>2100</v>
      </c>
      <c r="E64">
        <v>1990</v>
      </c>
      <c r="G64" t="s">
        <v>1218</v>
      </c>
    </row>
    <row r="65" spans="1:10" x14ac:dyDescent="0.25">
      <c r="B65" t="s">
        <v>1251</v>
      </c>
      <c r="C65" t="s">
        <v>1250</v>
      </c>
      <c r="D65" s="30">
        <v>2100</v>
      </c>
      <c r="E65">
        <v>2006</v>
      </c>
    </row>
    <row r="66" spans="1:10" x14ac:dyDescent="0.25">
      <c r="B66" t="s">
        <v>434</v>
      </c>
      <c r="C66" t="s">
        <v>28</v>
      </c>
      <c r="D66" s="30">
        <v>1350</v>
      </c>
      <c r="E66" s="12">
        <v>44886</v>
      </c>
    </row>
    <row r="67" spans="1:10" x14ac:dyDescent="0.25">
      <c r="B67" t="s">
        <v>1240</v>
      </c>
      <c r="C67" t="s">
        <v>14</v>
      </c>
      <c r="D67" s="30">
        <v>1000</v>
      </c>
      <c r="E67" s="12">
        <v>39955</v>
      </c>
    </row>
    <row r="68" spans="1:10" x14ac:dyDescent="0.25">
      <c r="B68" t="s">
        <v>1066</v>
      </c>
      <c r="C68" t="s">
        <v>39</v>
      </c>
      <c r="D68" s="30">
        <v>1000</v>
      </c>
      <c r="E68" s="12">
        <v>45300</v>
      </c>
    </row>
    <row r="69" spans="1:10" x14ac:dyDescent="0.25">
      <c r="B69" t="s">
        <v>253</v>
      </c>
      <c r="C69" t="s">
        <v>1241</v>
      </c>
      <c r="D69" s="30">
        <v>770</v>
      </c>
      <c r="E69" s="12">
        <v>44796</v>
      </c>
    </row>
    <row r="70" spans="1:10" x14ac:dyDescent="0.25">
      <c r="B70" t="s">
        <v>1205</v>
      </c>
      <c r="C70" t="s">
        <v>1204</v>
      </c>
      <c r="D70" s="30">
        <v>650</v>
      </c>
      <c r="E70" s="48" t="s">
        <v>1206</v>
      </c>
    </row>
    <row r="71" spans="1:10" x14ac:dyDescent="0.25">
      <c r="B71" t="s">
        <v>318</v>
      </c>
      <c r="C71" t="s">
        <v>45</v>
      </c>
      <c r="D71" s="30">
        <v>405</v>
      </c>
      <c r="E71" s="12">
        <v>44777</v>
      </c>
    </row>
    <row r="72" spans="1:10" x14ac:dyDescent="0.25">
      <c r="B72" t="s">
        <v>433</v>
      </c>
      <c r="C72" t="s">
        <v>18</v>
      </c>
    </row>
    <row r="73" spans="1:10" x14ac:dyDescent="0.25">
      <c r="B73" t="s">
        <v>995</v>
      </c>
      <c r="C73" t="s">
        <v>254</v>
      </c>
      <c r="E73">
        <v>2021</v>
      </c>
    </row>
    <row r="74" spans="1:10" x14ac:dyDescent="0.25">
      <c r="B74" t="s">
        <v>996</v>
      </c>
      <c r="C74" t="s">
        <v>254</v>
      </c>
      <c r="E74">
        <v>2020</v>
      </c>
    </row>
    <row r="75" spans="1:10" x14ac:dyDescent="0.25">
      <c r="B75" t="s">
        <v>997</v>
      </c>
      <c r="C75" t="s">
        <v>254</v>
      </c>
      <c r="E75">
        <v>2019</v>
      </c>
    </row>
    <row r="76" spans="1:10" x14ac:dyDescent="0.25">
      <c r="A76" s="1"/>
      <c r="B76" s="5" t="s">
        <v>258</v>
      </c>
      <c r="C76" s="1" t="s">
        <v>259</v>
      </c>
      <c r="D76" s="18">
        <v>44.85</v>
      </c>
      <c r="E76" s="6" cm="1">
        <f t="array" ref="E76">+D76*I76/HKD</f>
        <v>24515.28782275</v>
      </c>
      <c r="F76" s="6">
        <f>([198]Main!$J$5-[198]Main!$J$6)/HKD</f>
        <v>991.71512820512828</v>
      </c>
      <c r="G76" s="6">
        <f>+E76-F76</f>
        <v>23523.572694544873</v>
      </c>
      <c r="H76" s="3" t="s">
        <v>300</v>
      </c>
      <c r="I76" s="6">
        <f>+[198]Main!$J$3</f>
        <v>4263.5283170000002</v>
      </c>
      <c r="J76" s="9">
        <v>45086</v>
      </c>
    </row>
    <row r="77" spans="1:10" x14ac:dyDescent="0.25">
      <c r="A77" s="1"/>
      <c r="B77" s="1" t="s">
        <v>140</v>
      </c>
      <c r="C77" s="1" t="s">
        <v>141</v>
      </c>
      <c r="D77" s="7">
        <v>12.2</v>
      </c>
    </row>
    <row r="78" spans="1:10" x14ac:dyDescent="0.25">
      <c r="A78" s="1"/>
      <c r="B78" t="s">
        <v>687</v>
      </c>
      <c r="C78" t="s">
        <v>688</v>
      </c>
      <c r="D78" s="3">
        <v>92.93</v>
      </c>
      <c r="E78" s="6">
        <v>3490</v>
      </c>
    </row>
    <row r="79" spans="1:10" ht="13" x14ac:dyDescent="0.3">
      <c r="A79" s="1"/>
      <c r="B79" s="24" t="s">
        <v>507</v>
      </c>
      <c r="C79" s="24" t="s">
        <v>508</v>
      </c>
      <c r="D79" s="7">
        <v>23.01</v>
      </c>
      <c r="E79" s="6">
        <v>2080</v>
      </c>
    </row>
    <row r="80" spans="1:10" ht="13" x14ac:dyDescent="0.3">
      <c r="A80" s="1"/>
      <c r="B80" s="33" t="s">
        <v>342</v>
      </c>
      <c r="C80" s="33" t="s">
        <v>343</v>
      </c>
      <c r="D80" s="34">
        <v>14.86</v>
      </c>
      <c r="E80" s="35">
        <v>2880</v>
      </c>
    </row>
    <row r="81" spans="1:5" x14ac:dyDescent="0.25">
      <c r="A81" s="1"/>
      <c r="B81" s="1" t="s">
        <v>167</v>
      </c>
      <c r="C81" s="1" t="s">
        <v>168</v>
      </c>
      <c r="D81" s="3">
        <v>2.15</v>
      </c>
      <c r="E81" s="6">
        <v>1050</v>
      </c>
    </row>
    <row r="82" spans="1:5" x14ac:dyDescent="0.25">
      <c r="A82" s="1"/>
      <c r="B82" t="s">
        <v>823</v>
      </c>
      <c r="C82" t="s">
        <v>824</v>
      </c>
    </row>
    <row r="83" spans="1:5" x14ac:dyDescent="0.25">
      <c r="A83" s="1"/>
      <c r="B83" t="s">
        <v>723</v>
      </c>
      <c r="C83" t="s">
        <v>724</v>
      </c>
    </row>
    <row r="84" spans="1:5" x14ac:dyDescent="0.25">
      <c r="B84" t="s">
        <v>1139</v>
      </c>
      <c r="C84" t="s">
        <v>67</v>
      </c>
    </row>
    <row r="85" spans="1:5" x14ac:dyDescent="0.25">
      <c r="B85" t="s">
        <v>1144</v>
      </c>
    </row>
    <row r="86" spans="1:5" x14ac:dyDescent="0.25">
      <c r="B86" t="s">
        <v>1147</v>
      </c>
      <c r="C86" t="s">
        <v>39</v>
      </c>
    </row>
    <row r="87" spans="1:5" x14ac:dyDescent="0.25">
      <c r="B87" t="s">
        <v>1148</v>
      </c>
      <c r="C87" t="s">
        <v>39</v>
      </c>
    </row>
    <row r="88" spans="1:5" x14ac:dyDescent="0.25">
      <c r="B88" t="s">
        <v>1149</v>
      </c>
      <c r="C88" t="s">
        <v>15</v>
      </c>
    </row>
    <row r="89" spans="1:5" x14ac:dyDescent="0.25">
      <c r="B89" t="s">
        <v>1162</v>
      </c>
      <c r="C89" t="s">
        <v>39</v>
      </c>
    </row>
    <row r="90" spans="1:5" x14ac:dyDescent="0.25">
      <c r="B90" t="s">
        <v>1258</v>
      </c>
      <c r="C90" t="s">
        <v>102</v>
      </c>
    </row>
    <row r="91" spans="1:5" x14ac:dyDescent="0.25">
      <c r="C91" t="s">
        <v>102</v>
      </c>
    </row>
    <row r="92" spans="1:5" x14ac:dyDescent="0.25">
      <c r="B92" t="s">
        <v>1261</v>
      </c>
      <c r="C92" t="s">
        <v>1262</v>
      </c>
      <c r="E92">
        <v>1970</v>
      </c>
    </row>
    <row r="93" spans="1:5" x14ac:dyDescent="0.25">
      <c r="B93" t="s">
        <v>1263</v>
      </c>
    </row>
    <row r="94" spans="1:5" x14ac:dyDescent="0.25">
      <c r="B94" t="s">
        <v>1264</v>
      </c>
    </row>
    <row r="95" spans="1:5" x14ac:dyDescent="0.25">
      <c r="B95" t="s">
        <v>1265</v>
      </c>
    </row>
    <row r="96" spans="1:5" x14ac:dyDescent="0.25">
      <c r="B96" t="s">
        <v>1266</v>
      </c>
    </row>
    <row r="97" spans="2:5" x14ac:dyDescent="0.25">
      <c r="B97" t="s">
        <v>1269</v>
      </c>
      <c r="C97" t="s">
        <v>262</v>
      </c>
    </row>
    <row r="98" spans="2:5" x14ac:dyDescent="0.25">
      <c r="B98" t="s">
        <v>1272</v>
      </c>
      <c r="C98" t="s">
        <v>29</v>
      </c>
    </row>
    <row r="99" spans="2:5" x14ac:dyDescent="0.25">
      <c r="B99" t="s">
        <v>1273</v>
      </c>
      <c r="C99" t="s">
        <v>1274</v>
      </c>
    </row>
    <row r="100" spans="2:5" x14ac:dyDescent="0.25">
      <c r="B100" t="s">
        <v>1293</v>
      </c>
      <c r="C100" t="s">
        <v>270</v>
      </c>
    </row>
    <row r="101" spans="2:5" x14ac:dyDescent="0.25">
      <c r="B101" t="s">
        <v>1406</v>
      </c>
      <c r="C101" t="s">
        <v>1405</v>
      </c>
      <c r="D101">
        <v>7000</v>
      </c>
      <c r="E101">
        <v>2001</v>
      </c>
    </row>
    <row r="102" spans="2:5" x14ac:dyDescent="0.25">
      <c r="B102" t="s">
        <v>1354</v>
      </c>
      <c r="C102" t="s">
        <v>1200</v>
      </c>
      <c r="D102">
        <v>2900</v>
      </c>
    </row>
    <row r="103" spans="2:5" x14ac:dyDescent="0.25">
      <c r="B103" t="s">
        <v>746</v>
      </c>
      <c r="C103" t="s">
        <v>271</v>
      </c>
      <c r="D103">
        <v>2500</v>
      </c>
    </row>
    <row r="104" spans="2:5" x14ac:dyDescent="0.25">
      <c r="B104" t="s">
        <v>1364</v>
      </c>
      <c r="C104" t="s">
        <v>34</v>
      </c>
      <c r="D104">
        <v>1600</v>
      </c>
      <c r="E104">
        <v>2021</v>
      </c>
    </row>
    <row r="105" spans="2:5" x14ac:dyDescent="0.25">
      <c r="B105" t="s">
        <v>1659</v>
      </c>
      <c r="C105" t="s">
        <v>37</v>
      </c>
      <c r="D105">
        <v>1300</v>
      </c>
      <c r="E105">
        <v>2006</v>
      </c>
    </row>
    <row r="106" spans="2:5" x14ac:dyDescent="0.25">
      <c r="B106" t="s">
        <v>1362</v>
      </c>
      <c r="C106" t="s">
        <v>34</v>
      </c>
      <c r="D106">
        <v>993</v>
      </c>
      <c r="E106">
        <v>2021</v>
      </c>
    </row>
    <row r="107" spans="2:5" x14ac:dyDescent="0.25">
      <c r="B107" t="s">
        <v>1353</v>
      </c>
      <c r="C107" t="s">
        <v>32</v>
      </c>
    </row>
    <row r="108" spans="2:5" x14ac:dyDescent="0.25">
      <c r="B108" t="s">
        <v>1361</v>
      </c>
      <c r="C108" t="s">
        <v>34</v>
      </c>
    </row>
    <row r="109" spans="2:5" x14ac:dyDescent="0.25">
      <c r="B109" t="s">
        <v>1363</v>
      </c>
      <c r="C109" t="s">
        <v>34</v>
      </c>
    </row>
    <row r="110" spans="2:5" x14ac:dyDescent="0.25">
      <c r="B110" t="s">
        <v>1434</v>
      </c>
      <c r="C110" t="s">
        <v>1435</v>
      </c>
    </row>
    <row r="111" spans="2:5" x14ac:dyDescent="0.25">
      <c r="B111" t="s">
        <v>1436</v>
      </c>
      <c r="C111" t="s">
        <v>14</v>
      </c>
    </row>
    <row r="112" spans="2:5" x14ac:dyDescent="0.25">
      <c r="B112" t="s">
        <v>802</v>
      </c>
      <c r="C112" t="s">
        <v>29</v>
      </c>
    </row>
    <row r="113" spans="1:30" x14ac:dyDescent="0.25">
      <c r="B113" t="s">
        <v>672</v>
      </c>
      <c r="C113" t="s">
        <v>1250</v>
      </c>
      <c r="E113" s="12">
        <v>45520</v>
      </c>
    </row>
    <row r="114" spans="1:30" x14ac:dyDescent="0.25">
      <c r="B114" t="s">
        <v>1649</v>
      </c>
      <c r="C114" t="s">
        <v>1650</v>
      </c>
    </row>
    <row r="115" spans="1:30" x14ac:dyDescent="0.25">
      <c r="B115" t="s">
        <v>1660</v>
      </c>
      <c r="C115" t="s">
        <v>39</v>
      </c>
    </row>
    <row r="116" spans="1:30" x14ac:dyDescent="0.25">
      <c r="B116" t="s">
        <v>1677</v>
      </c>
      <c r="C116" t="s">
        <v>18</v>
      </c>
    </row>
    <row r="117" spans="1:30" x14ac:dyDescent="0.25">
      <c r="B117" t="s">
        <v>1678</v>
      </c>
      <c r="C117" t="s">
        <v>18</v>
      </c>
    </row>
    <row r="118" spans="1:30" x14ac:dyDescent="0.25">
      <c r="B118" t="s">
        <v>1682</v>
      </c>
      <c r="C118" t="s">
        <v>14</v>
      </c>
    </row>
    <row r="119" spans="1:30" x14ac:dyDescent="0.25">
      <c r="B119" t="s">
        <v>1785</v>
      </c>
      <c r="C119" t="s">
        <v>28</v>
      </c>
    </row>
    <row r="120" spans="1:30" s="33" customFormat="1" ht="13" x14ac:dyDescent="0.3">
      <c r="B120" s="57" t="s">
        <v>128</v>
      </c>
      <c r="C120" s="33" t="s">
        <v>129</v>
      </c>
      <c r="D120" s="34">
        <v>131</v>
      </c>
      <c r="E120" s="35">
        <f>+D120*I120</f>
        <v>13842.367175000001</v>
      </c>
      <c r="F120" s="35">
        <f>+[199]Main!$L$5-[199]Main!$L$6</f>
        <v>1024.6570000000002</v>
      </c>
      <c r="G120" s="35">
        <f>+E120-F120</f>
        <v>12817.710175</v>
      </c>
      <c r="H120" s="58" t="s">
        <v>1069</v>
      </c>
      <c r="I120" s="35">
        <f>+[199]Main!$L$3</f>
        <v>105.66692500000001</v>
      </c>
      <c r="J120" s="59">
        <v>45545</v>
      </c>
      <c r="N120" s="58"/>
      <c r="O120" s="58"/>
      <c r="P120" s="58"/>
      <c r="Q120" s="58"/>
      <c r="R120" s="58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</row>
    <row r="121" spans="1:30" s="93" customFormat="1" x14ac:dyDescent="0.25">
      <c r="B121" s="94" t="s">
        <v>949</v>
      </c>
      <c r="C121" s="93" t="s">
        <v>950</v>
      </c>
      <c r="D121" s="95">
        <v>33.89</v>
      </c>
      <c r="E121" s="96">
        <f>+D121*I121</f>
        <v>1318.30476669</v>
      </c>
      <c r="F121" s="96">
        <f>+[200]Main!$K$5-[200]Main!$K$6</f>
        <v>304.87299999999999</v>
      </c>
      <c r="G121" s="96">
        <f>+E121-F121</f>
        <v>1013.4317666899999</v>
      </c>
      <c r="H121" s="95" t="s">
        <v>1069</v>
      </c>
      <c r="I121" s="96">
        <f>+[200]Main!$K$3</f>
        <v>38.899521</v>
      </c>
      <c r="J121" s="97">
        <v>45558</v>
      </c>
      <c r="K121" s="95"/>
      <c r="L121" s="95"/>
      <c r="M121" s="95"/>
      <c r="N121" s="95"/>
      <c r="O121" s="95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</row>
    <row r="122" spans="1:30" x14ac:dyDescent="0.25">
      <c r="B122" t="s">
        <v>1976</v>
      </c>
      <c r="C122" t="s">
        <v>102</v>
      </c>
    </row>
    <row r="123" spans="1:30" s="33" customFormat="1" ht="13" x14ac:dyDescent="0.3">
      <c r="A123" s="107" t="s">
        <v>333</v>
      </c>
      <c r="D123" s="33">
        <f>+Main!D82+1</f>
        <v>72</v>
      </c>
      <c r="E123" s="57" t="s">
        <v>151</v>
      </c>
      <c r="F123" s="33" t="s">
        <v>152</v>
      </c>
      <c r="G123" s="58">
        <v>86.95</v>
      </c>
      <c r="H123" s="35">
        <f>+G123*L123</f>
        <v>5465.1553000000004</v>
      </c>
      <c r="I123" s="35">
        <f>+[201]Main!$K$5-[201]Main!$K$6</f>
        <v>481.55700000000002</v>
      </c>
      <c r="J123" s="35">
        <f>+H123-I123</f>
        <v>4983.5983000000006</v>
      </c>
      <c r="K123" s="58" t="s">
        <v>1069</v>
      </c>
      <c r="L123" s="35">
        <f>+[201]Main!$K$3</f>
        <v>62.853999999999999</v>
      </c>
      <c r="M123" s="59">
        <v>45549</v>
      </c>
      <c r="N123" s="58"/>
      <c r="O123" s="58"/>
      <c r="P123" s="58"/>
      <c r="Q123" s="58"/>
      <c r="R123" s="58"/>
      <c r="S123" s="60"/>
      <c r="T123" s="60"/>
      <c r="U123" s="60"/>
      <c r="V123" s="60"/>
      <c r="W123" s="60"/>
      <c r="X123" s="60"/>
      <c r="Y123" s="108"/>
      <c r="Z123" s="108"/>
      <c r="AA123" s="108"/>
      <c r="AB123" s="108"/>
      <c r="AC123" s="108"/>
      <c r="AD123" s="108"/>
    </row>
  </sheetData>
  <hyperlinks>
    <hyperlink ref="A1" location="Main!A1" display="Main" xr:uid="{D25979DB-5EBB-4C30-9F58-BD318CF0CEE3}"/>
    <hyperlink ref="B14" r:id="rId1" xr:uid="{547F117B-55D8-401A-AD75-411778B2F717}"/>
    <hyperlink ref="B20" r:id="rId2" xr:uid="{30732F31-0D9B-4774-8215-75872BFC9B96}"/>
    <hyperlink ref="B76" r:id="rId3" xr:uid="{C216ACFE-A1E7-4490-95CC-33302FDEACB6}"/>
    <hyperlink ref="B29" r:id="rId4" xr:uid="{5448F263-AB4A-41FB-B7B9-A94746C9D9E1}"/>
    <hyperlink ref="B120" r:id="rId5" xr:uid="{57A317C3-FCD5-4B9D-9890-302872D6263D}"/>
    <hyperlink ref="B121" r:id="rId6" xr:uid="{C2EF7A04-6E03-432E-AE39-F9FC0944E6B7}"/>
    <hyperlink ref="E123" r:id="rId7" xr:uid="{5DA9C2AA-A278-4FF3-A2FD-E53617E5E8B8}"/>
  </hyperlinks>
  <pageMargins left="0.7" right="0.7" top="0.75" bottom="0.75" header="0.3" footer="0.3"/>
  <legacyDrawing r:id="rId8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D41BE-7DF5-4675-8FFC-5A92EEFC7409}">
  <dimension ref="B2:GA66"/>
  <sheetViews>
    <sheetView zoomScale="130" zoomScaleNormal="130" workbookViewId="0">
      <pane xSplit="2" ySplit="2" topLeftCell="C28" activePane="bottomRight" state="frozen"/>
      <selection pane="topRight" activeCell="C1" sqref="C1"/>
      <selection pane="bottomLeft" activeCell="A3" sqref="A3"/>
      <selection pane="bottomRight" activeCell="B34" sqref="A34:XFD34"/>
    </sheetView>
  </sheetViews>
  <sheetFormatPr defaultRowHeight="12.5" x14ac:dyDescent="0.25"/>
  <cols>
    <col min="2" max="2" width="26.54296875" bestFit="1" customWidth="1"/>
    <col min="3" max="38" width="5.81640625" customWidth="1"/>
    <col min="39" max="40" width="5" bestFit="1" customWidth="1"/>
    <col min="41" max="41" width="10.1796875" customWidth="1"/>
    <col min="84" max="84" width="22.7265625" customWidth="1"/>
    <col min="85" max="85" width="25.26953125" customWidth="1"/>
    <col min="98" max="98" width="25" customWidth="1"/>
    <col min="110" max="110" width="16" bestFit="1" customWidth="1"/>
    <col min="125" max="125" width="16" bestFit="1" customWidth="1"/>
    <col min="129" max="129" width="24.453125" bestFit="1" customWidth="1"/>
    <col min="134" max="134" width="20.453125" customWidth="1"/>
    <col min="139" max="140" width="20.453125" customWidth="1"/>
    <col min="141" max="143" width="16.54296875" customWidth="1"/>
    <col min="144" max="144" width="24.453125" bestFit="1" customWidth="1"/>
    <col min="145" max="148" width="15.81640625" customWidth="1"/>
    <col min="149" max="149" width="25.26953125" customWidth="1"/>
    <col min="150" max="151" width="19.81640625" customWidth="1"/>
    <col min="152" max="152" width="18.453125" customWidth="1"/>
    <col min="153" max="153" width="21" customWidth="1"/>
    <col min="154" max="154" width="19" customWidth="1"/>
    <col min="155" max="156" width="17.453125" customWidth="1"/>
    <col min="158" max="158" width="18.26953125" customWidth="1"/>
    <col min="159" max="159" width="14.7265625" customWidth="1"/>
    <col min="160" max="160" width="16.453125" customWidth="1"/>
    <col min="161" max="161" width="16.1796875" customWidth="1"/>
    <col min="162" max="162" width="14.1796875" customWidth="1"/>
    <col min="163" max="163" width="11.453125" customWidth="1"/>
    <col min="164" max="164" width="28.54296875" bestFit="1" customWidth="1"/>
    <col min="165" max="165" width="26.54296875" customWidth="1"/>
    <col min="166" max="166" width="27.7265625" customWidth="1"/>
    <col min="167" max="167" width="29.26953125" customWidth="1"/>
    <col min="168" max="168" width="28.7265625" bestFit="1" customWidth="1"/>
    <col min="169" max="169" width="25.7265625" customWidth="1"/>
    <col min="170" max="179" width="28.7265625" bestFit="1" customWidth="1"/>
  </cols>
  <sheetData>
    <row r="2" spans="2:183" x14ac:dyDescent="0.25">
      <c r="C2">
        <v>1849</v>
      </c>
      <c r="D2">
        <v>1850</v>
      </c>
      <c r="E2">
        <v>1851</v>
      </c>
      <c r="F2">
        <v>1852</v>
      </c>
      <c r="G2">
        <v>1853</v>
      </c>
      <c r="H2">
        <v>1854</v>
      </c>
      <c r="I2">
        <v>1855</v>
      </c>
      <c r="J2">
        <v>1856</v>
      </c>
      <c r="K2">
        <v>1857</v>
      </c>
      <c r="L2">
        <v>1858</v>
      </c>
      <c r="M2">
        <v>1859</v>
      </c>
      <c r="N2">
        <v>1860</v>
      </c>
      <c r="O2">
        <v>1861</v>
      </c>
      <c r="P2">
        <v>1862</v>
      </c>
      <c r="Q2">
        <v>1863</v>
      </c>
      <c r="R2">
        <v>1864</v>
      </c>
      <c r="S2">
        <v>1865</v>
      </c>
      <c r="T2">
        <v>1866</v>
      </c>
      <c r="U2">
        <v>1867</v>
      </c>
      <c r="V2">
        <v>1868</v>
      </c>
      <c r="W2">
        <v>1869</v>
      </c>
      <c r="X2">
        <v>1870</v>
      </c>
      <c r="Y2">
        <v>1871</v>
      </c>
      <c r="Z2">
        <v>1872</v>
      </c>
      <c r="AA2">
        <v>1873</v>
      </c>
      <c r="AB2">
        <v>1874</v>
      </c>
      <c r="AC2">
        <v>1875</v>
      </c>
      <c r="AD2">
        <v>1876</v>
      </c>
      <c r="AE2">
        <v>1877</v>
      </c>
      <c r="AF2">
        <v>1878</v>
      </c>
      <c r="AG2">
        <v>1879</v>
      </c>
      <c r="AH2">
        <v>1880</v>
      </c>
      <c r="AI2">
        <v>1881</v>
      </c>
      <c r="AJ2">
        <v>1882</v>
      </c>
      <c r="AK2">
        <v>1883</v>
      </c>
      <c r="AL2">
        <v>1884</v>
      </c>
      <c r="AM2">
        <v>1885</v>
      </c>
      <c r="AN2">
        <v>1886</v>
      </c>
      <c r="AO2">
        <v>1887</v>
      </c>
      <c r="AP2">
        <v>1888</v>
      </c>
      <c r="AQ2">
        <f>+AP2+1</f>
        <v>1889</v>
      </c>
      <c r="AR2">
        <f t="shared" ref="AR2:DC2" si="0">+AQ2+1</f>
        <v>1890</v>
      </c>
      <c r="AS2">
        <f t="shared" si="0"/>
        <v>1891</v>
      </c>
      <c r="AT2">
        <f t="shared" si="0"/>
        <v>1892</v>
      </c>
      <c r="AU2">
        <f t="shared" si="0"/>
        <v>1893</v>
      </c>
      <c r="AV2">
        <f t="shared" si="0"/>
        <v>1894</v>
      </c>
      <c r="AW2">
        <f t="shared" si="0"/>
        <v>1895</v>
      </c>
      <c r="AX2">
        <f t="shared" si="0"/>
        <v>1896</v>
      </c>
      <c r="AY2">
        <f t="shared" si="0"/>
        <v>1897</v>
      </c>
      <c r="AZ2">
        <f t="shared" si="0"/>
        <v>1898</v>
      </c>
      <c r="BA2">
        <f t="shared" si="0"/>
        <v>1899</v>
      </c>
      <c r="BB2">
        <f t="shared" si="0"/>
        <v>1900</v>
      </c>
      <c r="BC2">
        <f t="shared" si="0"/>
        <v>1901</v>
      </c>
      <c r="BD2">
        <f t="shared" si="0"/>
        <v>1902</v>
      </c>
      <c r="BE2">
        <f t="shared" si="0"/>
        <v>1903</v>
      </c>
      <c r="BF2">
        <f t="shared" si="0"/>
        <v>1904</v>
      </c>
      <c r="BG2">
        <f t="shared" si="0"/>
        <v>1905</v>
      </c>
      <c r="BH2">
        <f t="shared" si="0"/>
        <v>1906</v>
      </c>
      <c r="BI2">
        <f t="shared" si="0"/>
        <v>1907</v>
      </c>
      <c r="BJ2">
        <f t="shared" si="0"/>
        <v>1908</v>
      </c>
      <c r="BK2">
        <f t="shared" si="0"/>
        <v>1909</v>
      </c>
      <c r="BL2">
        <f t="shared" si="0"/>
        <v>1910</v>
      </c>
      <c r="BM2">
        <f t="shared" si="0"/>
        <v>1911</v>
      </c>
      <c r="BN2">
        <f t="shared" si="0"/>
        <v>1912</v>
      </c>
      <c r="BO2">
        <f t="shared" si="0"/>
        <v>1913</v>
      </c>
      <c r="BP2">
        <f t="shared" si="0"/>
        <v>1914</v>
      </c>
      <c r="BQ2">
        <f t="shared" si="0"/>
        <v>1915</v>
      </c>
      <c r="BR2">
        <f t="shared" si="0"/>
        <v>1916</v>
      </c>
      <c r="BS2">
        <f t="shared" si="0"/>
        <v>1917</v>
      </c>
      <c r="BT2">
        <f t="shared" si="0"/>
        <v>1918</v>
      </c>
      <c r="BU2">
        <f t="shared" si="0"/>
        <v>1919</v>
      </c>
      <c r="BV2">
        <f t="shared" si="0"/>
        <v>1920</v>
      </c>
      <c r="BW2">
        <f t="shared" si="0"/>
        <v>1921</v>
      </c>
      <c r="BX2">
        <f t="shared" si="0"/>
        <v>1922</v>
      </c>
      <c r="BY2">
        <f t="shared" si="0"/>
        <v>1923</v>
      </c>
      <c r="BZ2">
        <f t="shared" si="0"/>
        <v>1924</v>
      </c>
      <c r="CA2">
        <f t="shared" si="0"/>
        <v>1925</v>
      </c>
      <c r="CB2">
        <f t="shared" si="0"/>
        <v>1926</v>
      </c>
      <c r="CC2">
        <f t="shared" si="0"/>
        <v>1927</v>
      </c>
      <c r="CD2">
        <f t="shared" si="0"/>
        <v>1928</v>
      </c>
      <c r="CE2">
        <f t="shared" si="0"/>
        <v>1929</v>
      </c>
      <c r="CF2">
        <f t="shared" si="0"/>
        <v>1930</v>
      </c>
      <c r="CG2">
        <f t="shared" si="0"/>
        <v>1931</v>
      </c>
      <c r="CH2">
        <f t="shared" si="0"/>
        <v>1932</v>
      </c>
      <c r="CI2">
        <f t="shared" si="0"/>
        <v>1933</v>
      </c>
      <c r="CJ2">
        <f t="shared" si="0"/>
        <v>1934</v>
      </c>
      <c r="CK2">
        <f t="shared" si="0"/>
        <v>1935</v>
      </c>
      <c r="CL2">
        <f t="shared" si="0"/>
        <v>1936</v>
      </c>
      <c r="CM2">
        <f t="shared" si="0"/>
        <v>1937</v>
      </c>
      <c r="CN2">
        <f t="shared" si="0"/>
        <v>1938</v>
      </c>
      <c r="CO2">
        <f t="shared" si="0"/>
        <v>1939</v>
      </c>
      <c r="CP2">
        <f t="shared" si="0"/>
        <v>1940</v>
      </c>
      <c r="CQ2">
        <f t="shared" si="0"/>
        <v>1941</v>
      </c>
      <c r="CR2">
        <f t="shared" si="0"/>
        <v>1942</v>
      </c>
      <c r="CS2">
        <f t="shared" si="0"/>
        <v>1943</v>
      </c>
      <c r="CT2">
        <f t="shared" si="0"/>
        <v>1944</v>
      </c>
      <c r="CU2">
        <f t="shared" si="0"/>
        <v>1945</v>
      </c>
      <c r="CV2">
        <f t="shared" si="0"/>
        <v>1946</v>
      </c>
      <c r="CW2">
        <f t="shared" si="0"/>
        <v>1947</v>
      </c>
      <c r="CX2">
        <f t="shared" si="0"/>
        <v>1948</v>
      </c>
      <c r="CY2">
        <f t="shared" si="0"/>
        <v>1949</v>
      </c>
      <c r="CZ2">
        <f t="shared" si="0"/>
        <v>1950</v>
      </c>
      <c r="DA2">
        <f t="shared" si="0"/>
        <v>1951</v>
      </c>
      <c r="DB2">
        <f t="shared" si="0"/>
        <v>1952</v>
      </c>
      <c r="DC2">
        <f t="shared" si="0"/>
        <v>1953</v>
      </c>
      <c r="DD2">
        <f t="shared" ref="DD2:FO2" si="1">+DC2+1</f>
        <v>1954</v>
      </c>
      <c r="DE2">
        <f t="shared" si="1"/>
        <v>1955</v>
      </c>
      <c r="DF2">
        <f t="shared" si="1"/>
        <v>1956</v>
      </c>
      <c r="DG2">
        <f t="shared" si="1"/>
        <v>1957</v>
      </c>
      <c r="DH2">
        <f t="shared" si="1"/>
        <v>1958</v>
      </c>
      <c r="DI2">
        <f t="shared" si="1"/>
        <v>1959</v>
      </c>
      <c r="DJ2">
        <f t="shared" si="1"/>
        <v>1960</v>
      </c>
      <c r="DK2">
        <f t="shared" si="1"/>
        <v>1961</v>
      </c>
      <c r="DL2">
        <f t="shared" si="1"/>
        <v>1962</v>
      </c>
      <c r="DM2">
        <f t="shared" si="1"/>
        <v>1963</v>
      </c>
      <c r="DN2">
        <f t="shared" si="1"/>
        <v>1964</v>
      </c>
      <c r="DO2">
        <f t="shared" si="1"/>
        <v>1965</v>
      </c>
      <c r="DP2">
        <f t="shared" si="1"/>
        <v>1966</v>
      </c>
      <c r="DQ2">
        <f t="shared" si="1"/>
        <v>1967</v>
      </c>
      <c r="DR2">
        <f t="shared" si="1"/>
        <v>1968</v>
      </c>
      <c r="DS2">
        <f t="shared" si="1"/>
        <v>1969</v>
      </c>
      <c r="DT2">
        <f t="shared" si="1"/>
        <v>1970</v>
      </c>
      <c r="DU2">
        <f t="shared" si="1"/>
        <v>1971</v>
      </c>
      <c r="DV2">
        <f t="shared" si="1"/>
        <v>1972</v>
      </c>
      <c r="DW2">
        <f t="shared" si="1"/>
        <v>1973</v>
      </c>
      <c r="DX2">
        <f t="shared" si="1"/>
        <v>1974</v>
      </c>
      <c r="DY2">
        <f t="shared" si="1"/>
        <v>1975</v>
      </c>
      <c r="DZ2">
        <f t="shared" si="1"/>
        <v>1976</v>
      </c>
      <c r="EA2">
        <f t="shared" si="1"/>
        <v>1977</v>
      </c>
      <c r="EB2">
        <f t="shared" si="1"/>
        <v>1978</v>
      </c>
      <c r="EC2">
        <f t="shared" si="1"/>
        <v>1979</v>
      </c>
      <c r="ED2">
        <f t="shared" si="1"/>
        <v>1980</v>
      </c>
      <c r="EE2">
        <f t="shared" si="1"/>
        <v>1981</v>
      </c>
      <c r="EF2">
        <f t="shared" si="1"/>
        <v>1982</v>
      </c>
      <c r="EG2">
        <f t="shared" si="1"/>
        <v>1983</v>
      </c>
      <c r="EH2">
        <f t="shared" si="1"/>
        <v>1984</v>
      </c>
      <c r="EI2">
        <f t="shared" si="1"/>
        <v>1985</v>
      </c>
      <c r="EJ2">
        <f t="shared" si="1"/>
        <v>1986</v>
      </c>
      <c r="EK2">
        <f t="shared" si="1"/>
        <v>1987</v>
      </c>
      <c r="EL2">
        <f t="shared" si="1"/>
        <v>1988</v>
      </c>
      <c r="EM2">
        <f t="shared" si="1"/>
        <v>1989</v>
      </c>
      <c r="EN2">
        <f t="shared" si="1"/>
        <v>1990</v>
      </c>
      <c r="EO2">
        <f t="shared" si="1"/>
        <v>1991</v>
      </c>
      <c r="EP2">
        <f t="shared" si="1"/>
        <v>1992</v>
      </c>
      <c r="EQ2">
        <f t="shared" si="1"/>
        <v>1993</v>
      </c>
      <c r="ER2">
        <f t="shared" si="1"/>
        <v>1994</v>
      </c>
      <c r="ES2">
        <f t="shared" si="1"/>
        <v>1995</v>
      </c>
      <c r="ET2">
        <f t="shared" si="1"/>
        <v>1996</v>
      </c>
      <c r="EU2">
        <f t="shared" si="1"/>
        <v>1997</v>
      </c>
      <c r="EV2">
        <f t="shared" si="1"/>
        <v>1998</v>
      </c>
      <c r="EW2">
        <f t="shared" si="1"/>
        <v>1999</v>
      </c>
      <c r="EX2">
        <f t="shared" si="1"/>
        <v>2000</v>
      </c>
      <c r="EY2">
        <f t="shared" si="1"/>
        <v>2001</v>
      </c>
      <c r="EZ2">
        <f t="shared" si="1"/>
        <v>2002</v>
      </c>
      <c r="FA2">
        <f t="shared" si="1"/>
        <v>2003</v>
      </c>
      <c r="FB2">
        <f t="shared" si="1"/>
        <v>2004</v>
      </c>
      <c r="FC2">
        <f t="shared" si="1"/>
        <v>2005</v>
      </c>
      <c r="FD2">
        <f t="shared" si="1"/>
        <v>2006</v>
      </c>
      <c r="FE2">
        <f t="shared" si="1"/>
        <v>2007</v>
      </c>
      <c r="FF2">
        <f t="shared" si="1"/>
        <v>2008</v>
      </c>
      <c r="FG2">
        <f t="shared" si="1"/>
        <v>2009</v>
      </c>
      <c r="FH2">
        <f t="shared" si="1"/>
        <v>2010</v>
      </c>
      <c r="FI2">
        <f t="shared" si="1"/>
        <v>2011</v>
      </c>
      <c r="FJ2">
        <f t="shared" si="1"/>
        <v>2012</v>
      </c>
      <c r="FK2">
        <f t="shared" si="1"/>
        <v>2013</v>
      </c>
      <c r="FL2">
        <f t="shared" si="1"/>
        <v>2014</v>
      </c>
      <c r="FM2">
        <f t="shared" si="1"/>
        <v>2015</v>
      </c>
      <c r="FN2">
        <f t="shared" si="1"/>
        <v>2016</v>
      </c>
      <c r="FO2">
        <f t="shared" si="1"/>
        <v>2017</v>
      </c>
      <c r="FP2">
        <f t="shared" ref="FP2:GA2" si="2">+FO2+1</f>
        <v>2018</v>
      </c>
      <c r="FQ2">
        <f t="shared" si="2"/>
        <v>2019</v>
      </c>
      <c r="FR2">
        <f t="shared" si="2"/>
        <v>2020</v>
      </c>
      <c r="FS2">
        <f t="shared" si="2"/>
        <v>2021</v>
      </c>
      <c r="FT2">
        <f t="shared" si="2"/>
        <v>2022</v>
      </c>
      <c r="FU2">
        <f t="shared" si="2"/>
        <v>2023</v>
      </c>
      <c r="FV2">
        <f t="shared" si="2"/>
        <v>2024</v>
      </c>
      <c r="FW2">
        <f t="shared" si="2"/>
        <v>2025</v>
      </c>
      <c r="FX2">
        <f t="shared" si="2"/>
        <v>2026</v>
      </c>
      <c r="FY2">
        <f t="shared" si="2"/>
        <v>2027</v>
      </c>
      <c r="FZ2">
        <f t="shared" si="2"/>
        <v>2028</v>
      </c>
      <c r="GA2">
        <f t="shared" si="2"/>
        <v>2029</v>
      </c>
    </row>
    <row r="3" spans="2:183" ht="13" x14ac:dyDescent="0.3">
      <c r="B3" t="s">
        <v>1692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71" t="s">
        <v>2</v>
      </c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  <c r="BS3" s="72"/>
      <c r="BT3" s="72"/>
      <c r="BU3" s="72"/>
      <c r="BV3" s="72"/>
      <c r="BW3" s="72"/>
      <c r="BX3" s="72"/>
      <c r="BY3" s="72"/>
      <c r="BZ3" s="72"/>
      <c r="CA3" s="72"/>
      <c r="CB3" s="72"/>
      <c r="CC3" s="72"/>
      <c r="CD3" s="72"/>
      <c r="CE3" s="72"/>
      <c r="CF3" s="72"/>
      <c r="CG3" s="72"/>
      <c r="CH3" s="72"/>
      <c r="CI3" s="72"/>
      <c r="CJ3" s="72"/>
      <c r="CK3" s="72"/>
      <c r="CL3" s="72"/>
      <c r="CM3" s="72"/>
      <c r="CN3" s="72"/>
      <c r="CO3" s="72"/>
      <c r="CP3" s="72"/>
      <c r="CQ3" s="72"/>
      <c r="CR3" s="72"/>
      <c r="CS3" s="72"/>
      <c r="CT3" s="72"/>
      <c r="CU3" s="72"/>
      <c r="CV3" s="72"/>
      <c r="CW3" s="72"/>
      <c r="CX3" s="72"/>
      <c r="CY3" s="72"/>
      <c r="CZ3" s="72"/>
      <c r="DA3" s="72"/>
      <c r="DB3" s="72"/>
      <c r="DC3" s="72"/>
      <c r="DD3" s="72"/>
      <c r="DE3" s="72"/>
      <c r="DF3" s="72"/>
      <c r="DG3" s="72"/>
      <c r="DH3" s="72"/>
      <c r="DI3" s="72"/>
      <c r="DJ3" s="72"/>
      <c r="DK3" s="72"/>
      <c r="DL3" s="72"/>
      <c r="DM3" s="72"/>
      <c r="DN3" s="72"/>
      <c r="DO3" s="72"/>
      <c r="DP3" s="72"/>
      <c r="DQ3" s="72"/>
      <c r="DR3" s="72"/>
      <c r="DS3" s="72"/>
      <c r="DT3" s="72"/>
      <c r="DU3" s="72"/>
      <c r="DV3" s="72"/>
      <c r="DW3" s="72"/>
      <c r="DX3" s="72"/>
      <c r="DY3" s="72"/>
      <c r="DZ3" s="72"/>
      <c r="EA3" s="72"/>
      <c r="EB3" s="72"/>
      <c r="EC3" s="72"/>
      <c r="ED3" s="72"/>
      <c r="EE3" s="72"/>
      <c r="EF3" s="72"/>
      <c r="EG3" s="72"/>
      <c r="EH3" s="72"/>
      <c r="EI3" s="72"/>
      <c r="EJ3" s="72"/>
      <c r="EK3" s="72"/>
      <c r="EL3" s="72"/>
      <c r="EM3" s="72"/>
      <c r="EN3" s="72"/>
      <c r="EO3" s="72"/>
      <c r="EP3" s="72"/>
      <c r="EQ3" s="72"/>
      <c r="ER3" s="72"/>
      <c r="ES3" s="72"/>
      <c r="ET3" s="72"/>
      <c r="EU3" s="72"/>
      <c r="EV3" s="72"/>
      <c r="EW3" s="72"/>
      <c r="EX3" s="72"/>
      <c r="EY3" s="72"/>
      <c r="EZ3" s="72"/>
      <c r="FA3" s="72"/>
      <c r="FB3" s="72"/>
      <c r="FC3" s="72"/>
      <c r="FD3" s="72"/>
      <c r="FE3" s="72"/>
      <c r="FF3" s="72"/>
      <c r="FG3" s="72"/>
      <c r="FH3" s="72"/>
      <c r="FI3" s="72"/>
      <c r="FJ3" s="72"/>
      <c r="FK3" s="72"/>
      <c r="FL3" s="72"/>
      <c r="FM3" s="72"/>
      <c r="FN3" s="72"/>
      <c r="FO3" s="72"/>
      <c r="FP3" s="72"/>
      <c r="FQ3" s="72"/>
      <c r="FR3" s="72"/>
      <c r="FS3" s="72"/>
      <c r="FT3" s="72"/>
      <c r="FU3" s="72"/>
      <c r="FV3" s="72"/>
      <c r="FW3" s="72"/>
    </row>
    <row r="4" spans="2:183" x14ac:dyDescent="0.25">
      <c r="B4" t="s">
        <v>1254</v>
      </c>
    </row>
    <row r="5" spans="2:183" x14ac:dyDescent="0.25">
      <c r="B5" t="s">
        <v>823</v>
      </c>
    </row>
    <row r="6" spans="2:183" x14ac:dyDescent="0.25">
      <c r="B6" t="s">
        <v>345</v>
      </c>
    </row>
    <row r="7" spans="2:183" ht="12.75" customHeight="1" x14ac:dyDescent="0.3">
      <c r="B7" t="s">
        <v>1204</v>
      </c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73" t="s">
        <v>1738</v>
      </c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  <c r="CG7" s="73"/>
      <c r="CH7" s="73"/>
      <c r="CI7" s="73"/>
      <c r="CJ7" s="73"/>
      <c r="CK7" s="73"/>
      <c r="CL7" s="73"/>
      <c r="CM7" s="73"/>
      <c r="CN7" s="73"/>
      <c r="CO7" s="73"/>
      <c r="CP7" s="73"/>
      <c r="CQ7" s="73"/>
      <c r="CR7" s="73"/>
      <c r="CS7" s="73"/>
      <c r="CT7" s="73"/>
      <c r="CU7" s="73"/>
      <c r="CV7" s="73"/>
      <c r="CW7" s="73"/>
      <c r="CX7" s="73"/>
      <c r="CY7" s="73"/>
      <c r="CZ7" s="73"/>
      <c r="DA7" s="73"/>
      <c r="DB7" s="73"/>
      <c r="DC7" s="73"/>
      <c r="DD7" s="73"/>
      <c r="DE7" s="73"/>
      <c r="DF7" s="73"/>
      <c r="DG7" s="73"/>
      <c r="DH7" s="73"/>
      <c r="DI7" s="73"/>
      <c r="DJ7" s="73"/>
      <c r="DK7" s="73"/>
      <c r="DL7" s="73"/>
      <c r="DM7" s="73"/>
      <c r="DN7" s="73"/>
      <c r="DO7" s="73"/>
      <c r="DP7" s="73"/>
      <c r="DQ7" s="73"/>
      <c r="DR7" s="73"/>
      <c r="DS7" s="73"/>
      <c r="DT7" s="73"/>
      <c r="DU7" s="73"/>
      <c r="DV7" s="73"/>
      <c r="DW7" s="73"/>
      <c r="DX7" s="73"/>
      <c r="DY7" s="83" t="s">
        <v>1204</v>
      </c>
      <c r="DZ7" s="73"/>
      <c r="EA7" s="73"/>
      <c r="EB7" s="73"/>
      <c r="EC7" s="73"/>
      <c r="ED7" s="83" t="s">
        <v>1204</v>
      </c>
      <c r="EE7" s="73"/>
      <c r="EF7" s="73"/>
      <c r="EG7" s="73"/>
      <c r="EH7" s="73"/>
      <c r="EI7" s="83" t="s">
        <v>1204</v>
      </c>
      <c r="EJ7" s="83" t="s">
        <v>1204</v>
      </c>
      <c r="EK7" s="83" t="s">
        <v>1204</v>
      </c>
      <c r="EL7" s="83" t="s">
        <v>1204</v>
      </c>
      <c r="EM7" s="83" t="s">
        <v>1204</v>
      </c>
      <c r="EN7" s="83" t="s">
        <v>1204</v>
      </c>
      <c r="EO7" s="83" t="s">
        <v>1204</v>
      </c>
      <c r="EP7" s="83" t="s">
        <v>1204</v>
      </c>
      <c r="EQ7" s="83" t="s">
        <v>1204</v>
      </c>
      <c r="ER7" s="83" t="s">
        <v>1204</v>
      </c>
      <c r="ES7" s="73" t="s">
        <v>1734</v>
      </c>
      <c r="ET7" s="127" t="s">
        <v>1736</v>
      </c>
      <c r="EU7" s="127" t="s">
        <v>1736</v>
      </c>
      <c r="EV7" s="127" t="s">
        <v>1736</v>
      </c>
      <c r="EW7" s="127" t="s">
        <v>1736</v>
      </c>
      <c r="EX7" s="138" t="s">
        <v>1204</v>
      </c>
      <c r="EY7" s="138" t="s">
        <v>1204</v>
      </c>
      <c r="EZ7" s="138" t="s">
        <v>1204</v>
      </c>
      <c r="FA7" s="139" t="s">
        <v>1730</v>
      </c>
      <c r="FB7" s="135" t="s">
        <v>23</v>
      </c>
      <c r="FC7" s="135" t="s">
        <v>23</v>
      </c>
      <c r="FD7" s="135" t="s">
        <v>23</v>
      </c>
      <c r="FE7" s="135" t="s">
        <v>23</v>
      </c>
      <c r="FF7" s="135" t="s">
        <v>23</v>
      </c>
      <c r="FG7" s="143" t="s">
        <v>1760</v>
      </c>
      <c r="FH7" s="134" t="s">
        <v>23</v>
      </c>
      <c r="FI7" s="134" t="s">
        <v>23</v>
      </c>
      <c r="FJ7" s="134" t="s">
        <v>23</v>
      </c>
      <c r="FK7" s="134" t="s">
        <v>23</v>
      </c>
      <c r="FL7" s="134" t="s">
        <v>23</v>
      </c>
      <c r="FM7" s="134" t="s">
        <v>23</v>
      </c>
      <c r="FN7" s="134" t="s">
        <v>23</v>
      </c>
      <c r="FO7" s="134" t="s">
        <v>23</v>
      </c>
      <c r="FP7" s="134" t="s">
        <v>23</v>
      </c>
      <c r="FQ7" s="134" t="s">
        <v>23</v>
      </c>
      <c r="FR7" s="134" t="s">
        <v>23</v>
      </c>
      <c r="FS7" s="134" t="s">
        <v>23</v>
      </c>
      <c r="FT7" s="134" t="s">
        <v>23</v>
      </c>
      <c r="FU7" s="134" t="s">
        <v>23</v>
      </c>
      <c r="FV7" s="134" t="s">
        <v>23</v>
      </c>
      <c r="FW7" s="134" t="s">
        <v>23</v>
      </c>
    </row>
    <row r="8" spans="2:183" ht="12.75" customHeight="1" x14ac:dyDescent="0.3">
      <c r="B8" t="s">
        <v>1732</v>
      </c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74" t="s">
        <v>1733</v>
      </c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4"/>
      <c r="BL8" s="74"/>
      <c r="BM8" s="74"/>
      <c r="BN8" s="74"/>
      <c r="BO8" s="74"/>
      <c r="BP8" s="74"/>
      <c r="BQ8" s="74"/>
      <c r="BR8" s="74"/>
      <c r="BS8" s="74"/>
      <c r="BT8" s="74"/>
      <c r="BU8" s="74"/>
      <c r="BV8" s="74"/>
      <c r="BW8" s="74"/>
      <c r="BX8" s="74"/>
      <c r="BY8" s="74"/>
      <c r="BZ8" s="74"/>
      <c r="CA8" s="74"/>
      <c r="CB8" s="74"/>
      <c r="CC8" s="74"/>
      <c r="CD8" s="74"/>
      <c r="CE8" s="74"/>
      <c r="CF8" s="74"/>
      <c r="CG8" s="74"/>
      <c r="CH8" s="74"/>
      <c r="CI8" s="74"/>
      <c r="CJ8" s="74"/>
      <c r="CK8" s="74"/>
      <c r="CL8" s="74"/>
      <c r="CM8" s="74"/>
      <c r="CN8" s="74"/>
      <c r="CO8" s="74"/>
      <c r="CP8" s="74"/>
      <c r="CQ8" s="74"/>
      <c r="CR8" s="74"/>
      <c r="CS8" s="74"/>
      <c r="CT8" s="74"/>
      <c r="CU8" s="74"/>
      <c r="CV8" s="74"/>
      <c r="CW8" s="74"/>
      <c r="CX8" s="74"/>
      <c r="CY8" s="74"/>
      <c r="CZ8" s="74"/>
      <c r="DA8" s="74"/>
      <c r="DB8" s="74"/>
      <c r="DC8" s="74"/>
      <c r="DD8" s="74"/>
      <c r="DE8" s="74"/>
      <c r="DF8" s="74"/>
      <c r="DG8" s="74"/>
      <c r="DH8" s="74"/>
      <c r="DI8" s="74"/>
      <c r="DJ8" s="74"/>
      <c r="DK8" s="74"/>
      <c r="DL8" s="74"/>
      <c r="DM8" s="74"/>
      <c r="DN8" s="74"/>
      <c r="DO8" s="74"/>
      <c r="DP8" s="74"/>
      <c r="DQ8" s="74"/>
      <c r="DR8" s="74"/>
      <c r="DS8" s="74"/>
      <c r="DT8" s="74"/>
      <c r="DU8" s="74"/>
      <c r="DV8" s="74"/>
      <c r="DW8" s="74"/>
      <c r="DX8" s="74"/>
      <c r="DY8" s="84" t="s">
        <v>1732</v>
      </c>
      <c r="DZ8" s="74"/>
      <c r="EA8" s="74"/>
      <c r="EB8" s="74"/>
      <c r="EC8" s="74"/>
      <c r="ED8" s="84" t="s">
        <v>1732</v>
      </c>
      <c r="EE8" s="74"/>
      <c r="EF8" s="74"/>
      <c r="EG8" s="74"/>
      <c r="EH8" s="74"/>
      <c r="EI8" s="84" t="s">
        <v>1732</v>
      </c>
      <c r="EJ8" s="84" t="s">
        <v>1732</v>
      </c>
      <c r="EK8" s="84" t="s">
        <v>1732</v>
      </c>
      <c r="EL8" s="84" t="s">
        <v>1732</v>
      </c>
      <c r="EM8" s="84" t="s">
        <v>1732</v>
      </c>
      <c r="EN8" s="84" t="s">
        <v>1732</v>
      </c>
      <c r="EO8" s="84" t="s">
        <v>1732</v>
      </c>
      <c r="EP8" s="84" t="s">
        <v>1732</v>
      </c>
      <c r="EQ8" s="84" t="s">
        <v>1732</v>
      </c>
      <c r="ER8" s="84" t="s">
        <v>1732</v>
      </c>
      <c r="ES8" s="74" t="s">
        <v>1735</v>
      </c>
      <c r="ET8" s="127"/>
      <c r="EU8" s="127"/>
      <c r="EV8" s="127"/>
      <c r="EW8" s="127"/>
      <c r="EX8" s="138"/>
      <c r="EY8" s="138"/>
      <c r="EZ8" s="138"/>
      <c r="FA8" s="139"/>
      <c r="FB8" s="135"/>
      <c r="FC8" s="135"/>
      <c r="FD8" s="135"/>
      <c r="FE8" s="135"/>
      <c r="FF8" s="135"/>
      <c r="FG8" s="143"/>
      <c r="FH8" s="134"/>
      <c r="FI8" s="134"/>
      <c r="FJ8" s="134"/>
      <c r="FK8" s="134"/>
      <c r="FL8" s="134"/>
      <c r="FM8" s="134"/>
      <c r="FN8" s="134"/>
      <c r="FO8" s="134"/>
      <c r="FP8" s="134"/>
      <c r="FQ8" s="134"/>
      <c r="FR8" s="134"/>
      <c r="FS8" s="134"/>
      <c r="FT8" s="134"/>
      <c r="FU8" s="134"/>
      <c r="FV8" s="134"/>
      <c r="FW8" s="134"/>
    </row>
    <row r="9" spans="2:183" ht="12.75" customHeight="1" x14ac:dyDescent="0.3">
      <c r="B9" t="s">
        <v>1255</v>
      </c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76" t="s">
        <v>2</v>
      </c>
      <c r="BD9" s="75"/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  <c r="BW9" s="75"/>
      <c r="BX9" s="75"/>
      <c r="BY9" s="75"/>
      <c r="BZ9" s="75"/>
      <c r="CA9" s="75"/>
      <c r="CB9" s="75"/>
      <c r="CC9" s="75"/>
      <c r="CD9" s="75"/>
      <c r="CE9" s="75"/>
      <c r="CF9" s="75"/>
      <c r="CG9" s="75"/>
      <c r="CH9" s="75"/>
      <c r="CI9" s="75"/>
      <c r="CJ9" s="75"/>
      <c r="CK9" s="75"/>
      <c r="CL9" s="75"/>
      <c r="CM9" s="75"/>
      <c r="CN9" s="75"/>
      <c r="CO9" s="75"/>
      <c r="CP9" s="75"/>
      <c r="CQ9" s="75"/>
      <c r="CR9" s="75"/>
      <c r="CS9" s="75"/>
      <c r="CT9" s="75"/>
      <c r="CU9" s="75"/>
      <c r="CV9" s="75"/>
      <c r="CW9" s="75"/>
      <c r="CX9" s="75"/>
      <c r="CY9" s="75"/>
      <c r="CZ9" s="75"/>
      <c r="DA9" s="75"/>
      <c r="DB9" s="75"/>
      <c r="DC9" s="75"/>
      <c r="DD9" s="75"/>
      <c r="DE9" s="75"/>
      <c r="DF9" s="75"/>
      <c r="DG9" s="75"/>
      <c r="DH9" s="75"/>
      <c r="DI9" s="75"/>
      <c r="DJ9" s="75"/>
      <c r="DK9" s="75"/>
      <c r="DL9" s="75"/>
      <c r="DM9" s="75"/>
      <c r="DN9" s="75"/>
      <c r="DO9" s="75"/>
      <c r="DP9" s="75"/>
      <c r="DQ9" s="75"/>
      <c r="DR9" s="75"/>
      <c r="DS9" s="75"/>
      <c r="DT9" s="75"/>
      <c r="DU9" s="75"/>
      <c r="DV9" s="75"/>
      <c r="DW9" s="75"/>
      <c r="DX9" s="75"/>
      <c r="DY9" s="82" t="s">
        <v>1255</v>
      </c>
      <c r="DZ9" s="75"/>
      <c r="EA9" s="75"/>
      <c r="EB9" s="75"/>
      <c r="EC9" s="75"/>
      <c r="ED9" s="82" t="s">
        <v>1255</v>
      </c>
      <c r="EE9" s="75"/>
      <c r="EF9" s="75"/>
      <c r="EG9" s="75"/>
      <c r="EH9" s="75"/>
      <c r="EI9" s="76" t="s">
        <v>1740</v>
      </c>
      <c r="EJ9" s="124" t="s">
        <v>1255</v>
      </c>
      <c r="EK9" s="124" t="s">
        <v>1255</v>
      </c>
      <c r="EL9" s="124" t="s">
        <v>1255</v>
      </c>
      <c r="EM9" s="124" t="s">
        <v>1255</v>
      </c>
      <c r="EN9" s="124" t="s">
        <v>1255</v>
      </c>
      <c r="EO9" s="124" t="s">
        <v>1255</v>
      </c>
      <c r="EP9" s="124" t="s">
        <v>1255</v>
      </c>
      <c r="EQ9" s="124" t="s">
        <v>1255</v>
      </c>
      <c r="ER9" s="124" t="s">
        <v>1255</v>
      </c>
      <c r="ES9" s="124" t="s">
        <v>1255</v>
      </c>
      <c r="ET9" s="124" t="s">
        <v>1255</v>
      </c>
      <c r="EU9" s="124" t="s">
        <v>1255</v>
      </c>
      <c r="EV9" s="124" t="s">
        <v>1255</v>
      </c>
      <c r="EW9" s="141" t="s">
        <v>1739</v>
      </c>
      <c r="EX9" s="138"/>
      <c r="EY9" s="138"/>
      <c r="EZ9" s="138"/>
      <c r="FA9" s="139"/>
      <c r="FB9" s="135"/>
      <c r="FC9" s="135"/>
      <c r="FD9" s="135"/>
      <c r="FE9" s="135"/>
      <c r="FF9" s="135"/>
      <c r="FG9" s="143"/>
      <c r="FH9" s="134"/>
      <c r="FI9" s="134"/>
      <c r="FJ9" s="134"/>
      <c r="FK9" s="134"/>
      <c r="FL9" s="134"/>
      <c r="FM9" s="134"/>
      <c r="FN9" s="134"/>
      <c r="FO9" s="134"/>
      <c r="FP9" s="134"/>
      <c r="FQ9" s="134"/>
      <c r="FR9" s="134"/>
      <c r="FS9" s="134"/>
      <c r="FT9" s="134"/>
      <c r="FU9" s="134"/>
      <c r="FV9" s="134"/>
      <c r="FW9" s="134"/>
    </row>
    <row r="10" spans="2:183" ht="12.75" customHeight="1" x14ac:dyDescent="0.3">
      <c r="B10" t="s">
        <v>1737</v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73" t="s">
        <v>2</v>
      </c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3"/>
      <c r="DA10" s="73"/>
      <c r="DB10" s="73"/>
      <c r="DC10" s="73"/>
      <c r="DD10" s="73"/>
      <c r="DE10" s="73"/>
      <c r="DF10" s="73"/>
      <c r="DG10" s="73"/>
      <c r="DH10" s="73"/>
      <c r="DI10" s="73"/>
      <c r="DJ10" s="73"/>
      <c r="DK10" s="73"/>
      <c r="DL10" s="73"/>
      <c r="DM10" s="73"/>
      <c r="DN10" s="73"/>
      <c r="DO10" s="73"/>
      <c r="DP10" s="73"/>
      <c r="DQ10" s="73"/>
      <c r="DR10" s="73"/>
      <c r="DS10" s="73"/>
      <c r="DT10" s="73"/>
      <c r="DU10" s="73"/>
      <c r="DV10" s="73"/>
      <c r="DW10" s="73"/>
      <c r="DX10" s="73"/>
      <c r="DY10" s="83" t="s">
        <v>1737</v>
      </c>
      <c r="DZ10" s="73"/>
      <c r="EA10" s="73"/>
      <c r="EB10" s="73"/>
      <c r="EC10" s="73"/>
      <c r="ED10" s="83" t="s">
        <v>1737</v>
      </c>
      <c r="EE10" s="73"/>
      <c r="EF10" s="73"/>
      <c r="EG10" s="73"/>
      <c r="EH10" s="73"/>
      <c r="EI10" s="73" t="s">
        <v>1741</v>
      </c>
      <c r="EJ10" s="124"/>
      <c r="EK10" s="124"/>
      <c r="EL10" s="124"/>
      <c r="EM10" s="124"/>
      <c r="EN10" s="124"/>
      <c r="EO10" s="124"/>
      <c r="EP10" s="124"/>
      <c r="EQ10" s="124"/>
      <c r="ER10" s="124"/>
      <c r="ES10" s="124"/>
      <c r="ET10" s="124"/>
      <c r="EU10" s="124"/>
      <c r="EV10" s="124"/>
      <c r="EW10" s="141"/>
      <c r="EX10" s="138"/>
      <c r="EY10" s="138"/>
      <c r="EZ10" s="138"/>
      <c r="FA10" s="139"/>
      <c r="FB10" s="135"/>
      <c r="FC10" s="135"/>
      <c r="FD10" s="135"/>
      <c r="FE10" s="135"/>
      <c r="FF10" s="135"/>
      <c r="FG10" s="143"/>
      <c r="FH10" s="134"/>
      <c r="FI10" s="134"/>
      <c r="FJ10" s="134"/>
      <c r="FK10" s="134"/>
      <c r="FL10" s="134"/>
      <c r="FM10" s="134"/>
      <c r="FN10" s="134"/>
      <c r="FO10" s="134"/>
      <c r="FP10" s="134"/>
      <c r="FQ10" s="134"/>
      <c r="FR10" s="134"/>
      <c r="FS10" s="134"/>
      <c r="FT10" s="134"/>
      <c r="FU10" s="134"/>
      <c r="FV10" s="134"/>
      <c r="FW10" s="134"/>
    </row>
    <row r="11" spans="2:183" ht="12.75" customHeight="1" x14ac:dyDescent="0.25">
      <c r="B11" t="s">
        <v>1205</v>
      </c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62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2"/>
      <c r="EI11" s="62"/>
      <c r="EJ11" s="62"/>
      <c r="EK11" s="62"/>
      <c r="EL11" s="62"/>
      <c r="EM11" s="62"/>
      <c r="EN11" s="62"/>
      <c r="EO11" s="86" t="s">
        <v>2</v>
      </c>
      <c r="EP11" s="86" t="s">
        <v>1205</v>
      </c>
      <c r="EQ11" s="86" t="s">
        <v>1205</v>
      </c>
      <c r="ER11" s="86" t="s">
        <v>1205</v>
      </c>
      <c r="ES11" s="86" t="s">
        <v>1205</v>
      </c>
      <c r="ET11" s="86" t="s">
        <v>1205</v>
      </c>
      <c r="EU11" s="86" t="s">
        <v>1205</v>
      </c>
      <c r="EV11" s="86" t="s">
        <v>1205</v>
      </c>
      <c r="EW11" s="86" t="s">
        <v>1771</v>
      </c>
      <c r="EX11" s="138"/>
      <c r="EY11" s="138"/>
      <c r="EZ11" s="138"/>
      <c r="FA11" s="139"/>
      <c r="FB11" s="135"/>
      <c r="FC11" s="135"/>
      <c r="FD11" s="135"/>
      <c r="FE11" s="135"/>
      <c r="FF11" s="135"/>
      <c r="FG11" s="143"/>
      <c r="FH11" s="134"/>
      <c r="FI11" s="134"/>
      <c r="FJ11" s="134"/>
      <c r="FK11" s="134"/>
      <c r="FL11" s="134"/>
      <c r="FM11" s="134"/>
      <c r="FN11" s="134"/>
      <c r="FO11" s="134"/>
      <c r="FP11" s="134"/>
      <c r="FQ11" s="134"/>
      <c r="FR11" s="134"/>
      <c r="FS11" s="134"/>
      <c r="FT11" s="134"/>
      <c r="FU11" s="134"/>
      <c r="FV11" s="134"/>
      <c r="FW11" s="134"/>
    </row>
    <row r="12" spans="2:183" ht="12.75" customHeight="1" x14ac:dyDescent="0.3">
      <c r="B12" t="s">
        <v>23</v>
      </c>
      <c r="C12" s="65" t="s">
        <v>2</v>
      </c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  <c r="CI12" s="65"/>
      <c r="CJ12" s="65"/>
      <c r="CK12" s="65"/>
      <c r="CL12" s="65"/>
      <c r="CM12" s="65"/>
      <c r="CN12" s="65"/>
      <c r="CO12" s="65"/>
      <c r="CP12" s="65"/>
      <c r="CQ12" s="65"/>
      <c r="CR12" s="65"/>
      <c r="CS12" s="65"/>
      <c r="CT12" s="65"/>
      <c r="CU12" s="65"/>
      <c r="CV12" s="65"/>
      <c r="CW12" s="65"/>
      <c r="CX12" s="65"/>
      <c r="CY12" s="65"/>
      <c r="CZ12" s="65"/>
      <c r="DA12" s="65"/>
      <c r="DB12" s="65"/>
      <c r="DC12" s="65"/>
      <c r="DD12" s="65"/>
      <c r="DE12" s="65"/>
      <c r="DF12" s="65"/>
      <c r="DG12" s="65"/>
      <c r="DH12" s="65"/>
      <c r="DI12" s="65"/>
      <c r="DJ12" s="65"/>
      <c r="DK12" s="65"/>
      <c r="DL12" s="65"/>
      <c r="DM12" s="65"/>
      <c r="DN12" s="65"/>
      <c r="DO12" s="65"/>
      <c r="DP12" s="65"/>
      <c r="DQ12" s="65"/>
      <c r="DR12" s="65"/>
      <c r="DS12" s="65"/>
      <c r="DT12" s="65"/>
      <c r="DU12" s="81" t="s">
        <v>23</v>
      </c>
      <c r="DV12" s="65"/>
      <c r="DW12" s="65"/>
      <c r="DX12" s="65"/>
      <c r="DY12" s="81" t="s">
        <v>23</v>
      </c>
      <c r="DZ12" s="65"/>
      <c r="EA12" s="65"/>
      <c r="EB12" s="65"/>
      <c r="EC12" s="65"/>
      <c r="ED12" s="81" t="s">
        <v>23</v>
      </c>
      <c r="EE12" s="81" t="s">
        <v>23</v>
      </c>
      <c r="EF12" s="81" t="s">
        <v>23</v>
      </c>
      <c r="EG12" s="81" t="s">
        <v>23</v>
      </c>
      <c r="EH12" s="81" t="s">
        <v>23</v>
      </c>
      <c r="EI12" s="81" t="s">
        <v>23</v>
      </c>
      <c r="EJ12" s="81" t="s">
        <v>23</v>
      </c>
      <c r="EK12" s="81" t="s">
        <v>23</v>
      </c>
      <c r="EL12" s="81" t="s">
        <v>23</v>
      </c>
      <c r="EM12" s="81" t="s">
        <v>23</v>
      </c>
      <c r="EN12" s="81" t="s">
        <v>23</v>
      </c>
      <c r="EO12" s="81" t="s">
        <v>23</v>
      </c>
      <c r="EP12" s="81" t="s">
        <v>23</v>
      </c>
      <c r="EQ12" s="81" t="s">
        <v>23</v>
      </c>
      <c r="ER12" s="81" t="s">
        <v>23</v>
      </c>
      <c r="ES12" s="81" t="s">
        <v>23</v>
      </c>
      <c r="ET12" s="81" t="s">
        <v>23</v>
      </c>
      <c r="EU12" s="81" t="s">
        <v>23</v>
      </c>
      <c r="EV12" s="81" t="s">
        <v>23</v>
      </c>
      <c r="EW12" s="65" t="s">
        <v>1731</v>
      </c>
      <c r="EX12" s="126" t="s">
        <v>23</v>
      </c>
      <c r="EY12" s="126" t="s">
        <v>23</v>
      </c>
      <c r="EZ12" s="126" t="s">
        <v>23</v>
      </c>
      <c r="FA12" s="142" t="s">
        <v>1742</v>
      </c>
      <c r="FB12" s="135"/>
      <c r="FC12" s="135"/>
      <c r="FD12" s="135"/>
      <c r="FE12" s="135"/>
      <c r="FF12" s="135"/>
      <c r="FG12" s="143"/>
      <c r="FH12" s="134"/>
      <c r="FI12" s="134"/>
      <c r="FJ12" s="134"/>
      <c r="FK12" s="134"/>
      <c r="FL12" s="134"/>
      <c r="FM12" s="134"/>
      <c r="FN12" s="134"/>
      <c r="FO12" s="134"/>
      <c r="FP12" s="134"/>
      <c r="FQ12" s="134"/>
      <c r="FR12" s="134"/>
      <c r="FS12" s="134"/>
      <c r="FT12" s="134"/>
      <c r="FU12" s="134"/>
      <c r="FV12" s="134"/>
      <c r="FW12" s="134"/>
    </row>
    <row r="13" spans="2:183" ht="12.75" customHeight="1" x14ac:dyDescent="0.25">
      <c r="B13" s="22" t="s">
        <v>1727</v>
      </c>
      <c r="C13" s="62"/>
      <c r="D13" s="62"/>
      <c r="E13" s="62"/>
      <c r="F13" s="62"/>
      <c r="G13" s="62"/>
      <c r="H13" s="62"/>
      <c r="I13" s="62"/>
      <c r="J13" s="68" t="s">
        <v>2</v>
      </c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68"/>
      <c r="BM13" s="68"/>
      <c r="BN13" s="68"/>
      <c r="BO13" s="68"/>
      <c r="BP13" s="68"/>
      <c r="BQ13" s="68"/>
      <c r="BR13" s="68"/>
      <c r="BS13" s="68"/>
      <c r="BT13" s="68"/>
      <c r="BU13" s="68"/>
      <c r="BV13" s="68"/>
      <c r="BW13" s="68"/>
      <c r="BX13" s="68"/>
      <c r="BY13" s="68"/>
      <c r="BZ13" s="68"/>
      <c r="CA13" s="68"/>
      <c r="CB13" s="68"/>
      <c r="CC13" s="68"/>
      <c r="CD13" s="68"/>
      <c r="CE13" s="68"/>
      <c r="CF13" s="68"/>
      <c r="CG13" s="68"/>
      <c r="CH13" s="68"/>
      <c r="CI13" s="68"/>
      <c r="CJ13" s="68"/>
      <c r="CK13" s="68"/>
      <c r="CL13" s="68"/>
      <c r="CM13" s="68"/>
      <c r="CN13" s="68"/>
      <c r="CO13" s="68"/>
      <c r="CP13" s="68"/>
      <c r="CQ13" s="68"/>
      <c r="CR13" s="68"/>
      <c r="CS13" s="68"/>
      <c r="CT13" s="68"/>
      <c r="CU13" s="68"/>
      <c r="CV13" s="68"/>
      <c r="CW13" s="68"/>
      <c r="CX13" s="68"/>
      <c r="CY13" s="68"/>
      <c r="CZ13" s="70" t="s">
        <v>1728</v>
      </c>
      <c r="DA13" s="70"/>
      <c r="DB13" s="70"/>
      <c r="DC13" s="70"/>
      <c r="DD13" s="70"/>
      <c r="DE13" s="70" t="s">
        <v>1763</v>
      </c>
      <c r="DF13" s="122" t="s">
        <v>1710</v>
      </c>
      <c r="DG13" s="122"/>
      <c r="DH13" s="122"/>
      <c r="DI13" s="122"/>
      <c r="DJ13" s="122"/>
      <c r="DK13" s="122"/>
      <c r="DL13" s="122"/>
      <c r="DM13" s="122"/>
      <c r="DN13" s="122"/>
      <c r="DO13" s="122"/>
      <c r="DP13" s="122"/>
      <c r="DQ13" s="122"/>
      <c r="DR13" s="122"/>
      <c r="DS13" s="122"/>
      <c r="DT13" s="123" t="s">
        <v>1765</v>
      </c>
      <c r="DU13" s="114" t="s">
        <v>1710</v>
      </c>
      <c r="DV13" s="114"/>
      <c r="DW13" s="114"/>
      <c r="DX13" s="114"/>
      <c r="DY13" s="114" t="s">
        <v>1710</v>
      </c>
      <c r="DZ13" s="114"/>
      <c r="EA13" s="114"/>
      <c r="EB13" s="114"/>
      <c r="EC13" s="114"/>
      <c r="ED13" s="114" t="s">
        <v>1710</v>
      </c>
      <c r="EE13" s="114"/>
      <c r="EF13" s="114"/>
      <c r="EG13" s="114"/>
      <c r="EH13" s="114"/>
      <c r="EI13" s="114" t="s">
        <v>1710</v>
      </c>
      <c r="EJ13" s="114" t="s">
        <v>1710</v>
      </c>
      <c r="EK13" s="114" t="s">
        <v>1710</v>
      </c>
      <c r="EL13" s="114" t="s">
        <v>1710</v>
      </c>
      <c r="EM13" s="114" t="s">
        <v>1710</v>
      </c>
      <c r="EN13" s="114" t="s">
        <v>1710</v>
      </c>
      <c r="EO13" s="114" t="s">
        <v>1710</v>
      </c>
      <c r="EP13" s="114" t="s">
        <v>1710</v>
      </c>
      <c r="EQ13" s="114" t="s">
        <v>1710</v>
      </c>
      <c r="ER13" s="114" t="s">
        <v>1710</v>
      </c>
      <c r="ES13" s="114" t="s">
        <v>1710</v>
      </c>
      <c r="ET13" s="114" t="s">
        <v>1710</v>
      </c>
      <c r="EU13" s="114" t="s">
        <v>1710</v>
      </c>
      <c r="EV13" s="114" t="s">
        <v>1710</v>
      </c>
      <c r="EW13" s="125" t="s">
        <v>1730</v>
      </c>
      <c r="EX13" s="126"/>
      <c r="EY13" s="126"/>
      <c r="EZ13" s="126"/>
      <c r="FA13" s="142"/>
      <c r="FB13" s="135"/>
      <c r="FC13" s="135"/>
      <c r="FD13" s="135"/>
      <c r="FE13" s="135"/>
      <c r="FF13" s="135"/>
      <c r="FG13" s="143"/>
      <c r="FH13" s="134"/>
      <c r="FI13" s="134"/>
      <c r="FJ13" s="134"/>
      <c r="FK13" s="134"/>
      <c r="FL13" s="134"/>
      <c r="FM13" s="134"/>
      <c r="FN13" s="134"/>
      <c r="FO13" s="134"/>
      <c r="FP13" s="134"/>
      <c r="FQ13" s="134"/>
      <c r="FR13" s="134"/>
      <c r="FS13" s="134"/>
      <c r="FT13" s="134"/>
      <c r="FU13" s="134"/>
      <c r="FV13" s="134"/>
      <c r="FW13" s="134"/>
    </row>
    <row r="14" spans="2:183" ht="12.75" customHeight="1" x14ac:dyDescent="0.25">
      <c r="B14" s="22" t="s">
        <v>1729</v>
      </c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5" t="s">
        <v>2</v>
      </c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  <c r="CI14" s="65"/>
      <c r="CJ14" s="65"/>
      <c r="CK14" s="65"/>
      <c r="CL14" s="65"/>
      <c r="CM14" s="65"/>
      <c r="CN14" s="65"/>
      <c r="CO14" s="65"/>
      <c r="CP14" s="65"/>
      <c r="CQ14" s="65"/>
      <c r="CR14" s="65"/>
      <c r="CS14" s="65"/>
      <c r="CT14" s="65"/>
      <c r="CU14" s="65"/>
      <c r="CV14" s="65"/>
      <c r="CW14" s="65"/>
      <c r="CX14" s="65"/>
      <c r="CY14" s="65"/>
      <c r="CZ14" s="65"/>
      <c r="DA14" s="65"/>
      <c r="DB14" s="65"/>
      <c r="DC14" s="65"/>
      <c r="DD14" s="65"/>
      <c r="DE14" s="65" t="s">
        <v>1762</v>
      </c>
      <c r="DF14" s="122"/>
      <c r="DG14" s="122"/>
      <c r="DH14" s="122"/>
      <c r="DI14" s="122"/>
      <c r="DJ14" s="122"/>
      <c r="DK14" s="122"/>
      <c r="DL14" s="122"/>
      <c r="DM14" s="122"/>
      <c r="DN14" s="122"/>
      <c r="DO14" s="122"/>
      <c r="DP14" s="122"/>
      <c r="DQ14" s="122"/>
      <c r="DR14" s="122"/>
      <c r="DS14" s="122"/>
      <c r="DT14" s="123"/>
      <c r="DU14" s="114"/>
      <c r="DV14" s="114"/>
      <c r="DW14" s="114"/>
      <c r="DX14" s="114"/>
      <c r="DY14" s="114"/>
      <c r="DZ14" s="114"/>
      <c r="EA14" s="114"/>
      <c r="EB14" s="114"/>
      <c r="EC14" s="114"/>
      <c r="ED14" s="114"/>
      <c r="EE14" s="114"/>
      <c r="EF14" s="114"/>
      <c r="EG14" s="114"/>
      <c r="EH14" s="114"/>
      <c r="EI14" s="114"/>
      <c r="EJ14" s="114"/>
      <c r="EK14" s="114"/>
      <c r="EL14" s="114"/>
      <c r="EM14" s="114"/>
      <c r="EN14" s="114"/>
      <c r="EO14" s="114"/>
      <c r="EP14" s="114"/>
      <c r="EQ14" s="114"/>
      <c r="ER14" s="114"/>
      <c r="ES14" s="114"/>
      <c r="ET14" s="114"/>
      <c r="EU14" s="114"/>
      <c r="EV14" s="114"/>
      <c r="EW14" s="125"/>
      <c r="EX14" s="126"/>
      <c r="EY14" s="126"/>
      <c r="EZ14" s="126"/>
      <c r="FA14" s="142"/>
      <c r="FB14" s="135"/>
      <c r="FC14" s="135"/>
      <c r="FD14" s="135"/>
      <c r="FE14" s="135"/>
      <c r="FF14" s="135"/>
      <c r="FG14" s="143"/>
      <c r="FH14" s="134"/>
      <c r="FI14" s="134"/>
      <c r="FJ14" s="134"/>
      <c r="FK14" s="134"/>
      <c r="FL14" s="134"/>
      <c r="FM14" s="134"/>
      <c r="FN14" s="134"/>
      <c r="FO14" s="134"/>
      <c r="FP14" s="134"/>
      <c r="FQ14" s="134"/>
      <c r="FR14" s="134"/>
      <c r="FS14" s="134"/>
      <c r="FT14" s="134"/>
      <c r="FU14" s="134"/>
      <c r="FV14" s="134"/>
      <c r="FW14" s="134"/>
    </row>
    <row r="15" spans="2:183" ht="12.75" customHeight="1" x14ac:dyDescent="0.25">
      <c r="B15" s="22" t="s">
        <v>1750</v>
      </c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80" t="s">
        <v>1761</v>
      </c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  <c r="BG15" s="80"/>
      <c r="BH15" s="80"/>
      <c r="BI15" s="80"/>
      <c r="BJ15" s="80"/>
      <c r="BK15" s="80"/>
      <c r="BL15" s="80"/>
      <c r="BM15" s="80"/>
      <c r="BN15" s="80"/>
      <c r="BO15" s="80"/>
      <c r="BP15" s="80"/>
      <c r="BQ15" s="80"/>
      <c r="BR15" s="80"/>
      <c r="BS15" s="80"/>
      <c r="BT15" s="80"/>
      <c r="BU15" s="80"/>
      <c r="BV15" s="80"/>
      <c r="BW15" s="80"/>
      <c r="BX15" s="80"/>
      <c r="BY15" s="80"/>
      <c r="BZ15" s="80"/>
      <c r="CA15" s="80"/>
      <c r="CB15" s="80"/>
      <c r="CC15" s="80"/>
      <c r="CD15" s="80"/>
      <c r="CE15" s="80"/>
      <c r="CF15" s="80"/>
      <c r="CG15" s="80"/>
      <c r="CH15" s="80"/>
      <c r="CI15" s="80"/>
      <c r="CJ15" s="80"/>
      <c r="CK15" s="80"/>
      <c r="CL15" s="80"/>
      <c r="CM15" s="80"/>
      <c r="CN15" s="80"/>
      <c r="CO15" s="80"/>
      <c r="CP15" s="80"/>
      <c r="CQ15" s="80"/>
      <c r="CR15" s="80"/>
      <c r="CS15" s="80"/>
      <c r="CT15" s="80"/>
      <c r="CU15" s="80"/>
      <c r="CV15" s="80"/>
      <c r="CW15" s="80"/>
      <c r="CX15" s="80"/>
      <c r="CY15" s="80"/>
      <c r="CZ15" s="80"/>
      <c r="DA15" s="80"/>
      <c r="DB15" s="80"/>
      <c r="DC15" s="80"/>
      <c r="DD15" s="80"/>
      <c r="DE15" s="80"/>
      <c r="DF15" s="80"/>
      <c r="DG15" s="80"/>
      <c r="DH15" s="80"/>
      <c r="DI15" s="80"/>
      <c r="DJ15" s="80"/>
      <c r="DK15" s="80"/>
      <c r="DL15" s="80"/>
      <c r="DM15" s="80"/>
      <c r="DN15" s="80"/>
      <c r="DO15" s="80"/>
      <c r="DP15" s="80"/>
      <c r="DQ15" s="80"/>
      <c r="DR15" s="80"/>
      <c r="DS15" s="80"/>
      <c r="DT15" s="80" t="s">
        <v>1764</v>
      </c>
      <c r="DU15" s="114"/>
      <c r="DV15" s="114"/>
      <c r="DW15" s="114"/>
      <c r="DX15" s="114"/>
      <c r="DY15" s="114"/>
      <c r="DZ15" s="114"/>
      <c r="EA15" s="114"/>
      <c r="EB15" s="114"/>
      <c r="EC15" s="114"/>
      <c r="ED15" s="114"/>
      <c r="EE15" s="114"/>
      <c r="EF15" s="114"/>
      <c r="EG15" s="114"/>
      <c r="EH15" s="114"/>
      <c r="EI15" s="114"/>
      <c r="EJ15" s="114"/>
      <c r="EK15" s="114"/>
      <c r="EL15" s="114"/>
      <c r="EM15" s="114"/>
      <c r="EN15" s="114"/>
      <c r="EO15" s="114"/>
      <c r="EP15" s="114"/>
      <c r="EQ15" s="114"/>
      <c r="ER15" s="114"/>
      <c r="ES15" s="114"/>
      <c r="ET15" s="114"/>
      <c r="EU15" s="114"/>
      <c r="EV15" s="114"/>
      <c r="EW15" s="125"/>
      <c r="EX15" s="126"/>
      <c r="EY15" s="126"/>
      <c r="EZ15" s="126"/>
      <c r="FA15" s="142"/>
      <c r="FB15" s="135"/>
      <c r="FC15" s="135"/>
      <c r="FD15" s="135"/>
      <c r="FE15" s="135"/>
      <c r="FF15" s="135"/>
      <c r="FG15" s="143"/>
      <c r="FH15" s="134"/>
      <c r="FI15" s="134"/>
      <c r="FJ15" s="134"/>
      <c r="FK15" s="134"/>
      <c r="FL15" s="134"/>
      <c r="FM15" s="134"/>
      <c r="FN15" s="134"/>
      <c r="FO15" s="134"/>
      <c r="FP15" s="134"/>
      <c r="FQ15" s="134"/>
      <c r="FR15" s="134"/>
      <c r="FS15" s="134"/>
      <c r="FT15" s="134"/>
      <c r="FU15" s="134"/>
      <c r="FV15" s="134"/>
      <c r="FW15" s="134"/>
    </row>
    <row r="16" spans="2:183" ht="12.75" customHeight="1" x14ac:dyDescent="0.25">
      <c r="B16" t="s">
        <v>1743</v>
      </c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79" t="s">
        <v>2</v>
      </c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79"/>
      <c r="BK16" s="79"/>
      <c r="BL16" s="79"/>
      <c r="BM16" s="79"/>
      <c r="BN16" s="79"/>
      <c r="BO16" s="79"/>
      <c r="BP16" s="79"/>
      <c r="BQ16" s="79"/>
      <c r="BR16" s="79"/>
      <c r="BS16" s="79"/>
      <c r="BT16" s="79"/>
      <c r="BU16" s="79"/>
      <c r="BV16" s="79"/>
      <c r="BW16" s="79"/>
      <c r="BX16" s="79"/>
      <c r="BY16" s="79"/>
      <c r="BZ16" s="79"/>
      <c r="CA16" s="79"/>
      <c r="CB16" s="79"/>
      <c r="CC16" s="79"/>
      <c r="CD16" s="79"/>
      <c r="CE16" s="79"/>
      <c r="CF16" s="79" t="s">
        <v>1749</v>
      </c>
      <c r="CG16" s="128" t="s">
        <v>1743</v>
      </c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33" t="s">
        <v>1758</v>
      </c>
      <c r="CT16" s="132" t="s">
        <v>1743</v>
      </c>
      <c r="CU16" s="132"/>
      <c r="CV16" s="132"/>
      <c r="CW16" s="132"/>
      <c r="CX16" s="132"/>
      <c r="CY16" s="132"/>
      <c r="CZ16" s="132"/>
      <c r="DA16" s="132"/>
      <c r="DB16" s="132"/>
      <c r="DC16" s="132"/>
      <c r="DD16" s="132"/>
      <c r="DE16" s="132"/>
      <c r="DF16" s="132"/>
      <c r="DG16" s="132"/>
      <c r="DH16" s="132"/>
      <c r="DI16" s="132"/>
      <c r="DJ16" s="132"/>
      <c r="DK16" s="132"/>
      <c r="DL16" s="132"/>
      <c r="DM16" s="132"/>
      <c r="DN16" s="132"/>
      <c r="DO16" s="132"/>
      <c r="DP16" s="132"/>
      <c r="DQ16" s="132"/>
      <c r="DR16" s="132"/>
      <c r="DS16" s="132"/>
      <c r="DT16" s="132"/>
      <c r="DU16" s="132"/>
      <c r="DV16" s="132"/>
      <c r="DW16" s="132"/>
      <c r="DX16" s="132"/>
      <c r="DY16" s="113" t="s">
        <v>1743</v>
      </c>
      <c r="DZ16" s="113" t="s">
        <v>1743</v>
      </c>
      <c r="EA16" s="113" t="s">
        <v>1743</v>
      </c>
      <c r="EB16" s="113" t="s">
        <v>1743</v>
      </c>
      <c r="EC16" s="113" t="s">
        <v>1743</v>
      </c>
      <c r="ED16" s="113" t="s">
        <v>1743</v>
      </c>
      <c r="EE16" s="113" t="s">
        <v>1743</v>
      </c>
      <c r="EF16" s="113" t="s">
        <v>1743</v>
      </c>
      <c r="EG16" s="113" t="s">
        <v>1743</v>
      </c>
      <c r="EH16" s="113" t="s">
        <v>1743</v>
      </c>
      <c r="EI16" s="113" t="s">
        <v>1743</v>
      </c>
      <c r="EJ16" s="113" t="s">
        <v>1743</v>
      </c>
      <c r="EK16" s="113" t="s">
        <v>1743</v>
      </c>
      <c r="EL16" s="113" t="s">
        <v>1743</v>
      </c>
      <c r="EM16" s="113" t="s">
        <v>1743</v>
      </c>
      <c r="EN16" s="113" t="s">
        <v>1743</v>
      </c>
      <c r="EO16" s="113" t="s">
        <v>1743</v>
      </c>
      <c r="EP16" s="113" t="s">
        <v>1743</v>
      </c>
      <c r="EQ16" s="136" t="s">
        <v>1743</v>
      </c>
      <c r="ER16" s="137" t="s">
        <v>1759</v>
      </c>
      <c r="ES16" s="127" t="s">
        <v>1743</v>
      </c>
      <c r="ET16" s="128" t="s">
        <v>1743</v>
      </c>
      <c r="EU16" s="128" t="s">
        <v>1743</v>
      </c>
      <c r="EV16" s="128" t="s">
        <v>1743</v>
      </c>
      <c r="EW16" s="128" t="s">
        <v>1743</v>
      </c>
      <c r="EX16" s="128" t="s">
        <v>1743</v>
      </c>
      <c r="EY16" s="128" t="s">
        <v>1743</v>
      </c>
      <c r="EZ16" s="128" t="s">
        <v>1743</v>
      </c>
      <c r="FA16" s="128" t="s">
        <v>1743</v>
      </c>
      <c r="FB16" s="128" t="s">
        <v>1743</v>
      </c>
      <c r="FC16" s="128" t="s">
        <v>1743</v>
      </c>
      <c r="FD16" s="128" t="s">
        <v>1743</v>
      </c>
      <c r="FE16" s="128" t="s">
        <v>1743</v>
      </c>
      <c r="FF16" s="128" t="s">
        <v>1743</v>
      </c>
      <c r="FG16" s="133" t="s">
        <v>1730</v>
      </c>
      <c r="FH16" s="134"/>
      <c r="FI16" s="134"/>
      <c r="FJ16" s="134"/>
      <c r="FK16" s="134"/>
      <c r="FL16" s="134"/>
      <c r="FM16" s="134"/>
      <c r="FN16" s="134"/>
      <c r="FO16" s="134"/>
      <c r="FP16" s="134"/>
      <c r="FQ16" s="134"/>
      <c r="FR16" s="134"/>
      <c r="FS16" s="134"/>
      <c r="FT16" s="134"/>
      <c r="FU16" s="134"/>
      <c r="FV16" s="134"/>
      <c r="FW16" s="134"/>
    </row>
    <row r="17" spans="2:179" ht="12.75" customHeight="1" x14ac:dyDescent="0.25">
      <c r="B17" s="22" t="s">
        <v>1744</v>
      </c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78" t="s">
        <v>1746</v>
      </c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7"/>
      <c r="BX17" s="77"/>
      <c r="BY17" s="77"/>
      <c r="BZ17" s="77"/>
      <c r="CA17" s="77"/>
      <c r="CB17" s="77"/>
      <c r="CC17" s="77"/>
      <c r="CD17" s="77"/>
      <c r="CE17" s="78" t="s">
        <v>1747</v>
      </c>
      <c r="CF17" s="78" t="s">
        <v>1748</v>
      </c>
      <c r="CG17" s="128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33"/>
      <c r="CT17" s="132"/>
      <c r="CU17" s="132"/>
      <c r="CV17" s="132"/>
      <c r="CW17" s="132"/>
      <c r="CX17" s="132"/>
      <c r="CY17" s="132"/>
      <c r="CZ17" s="132"/>
      <c r="DA17" s="132"/>
      <c r="DB17" s="132"/>
      <c r="DC17" s="132"/>
      <c r="DD17" s="132"/>
      <c r="DE17" s="132"/>
      <c r="DF17" s="132"/>
      <c r="DG17" s="132"/>
      <c r="DH17" s="132"/>
      <c r="DI17" s="132"/>
      <c r="DJ17" s="132"/>
      <c r="DK17" s="132"/>
      <c r="DL17" s="132"/>
      <c r="DM17" s="132"/>
      <c r="DN17" s="132"/>
      <c r="DO17" s="132"/>
      <c r="DP17" s="132"/>
      <c r="DQ17" s="132"/>
      <c r="DR17" s="132"/>
      <c r="DS17" s="132"/>
      <c r="DT17" s="132"/>
      <c r="DU17" s="132"/>
      <c r="DV17" s="132"/>
      <c r="DW17" s="132"/>
      <c r="DX17" s="132"/>
      <c r="DY17" s="113"/>
      <c r="DZ17" s="113"/>
      <c r="EA17" s="113"/>
      <c r="EB17" s="113"/>
      <c r="EC17" s="113"/>
      <c r="ED17" s="113"/>
      <c r="EE17" s="113"/>
      <c r="EF17" s="113"/>
      <c r="EG17" s="113"/>
      <c r="EH17" s="113"/>
      <c r="EI17" s="113"/>
      <c r="EJ17" s="113"/>
      <c r="EK17" s="113"/>
      <c r="EL17" s="113"/>
      <c r="EM17" s="113"/>
      <c r="EN17" s="113"/>
      <c r="EO17" s="113"/>
      <c r="EP17" s="113"/>
      <c r="EQ17" s="136"/>
      <c r="ER17" s="137"/>
      <c r="ES17" s="127"/>
      <c r="ET17" s="128"/>
      <c r="EU17" s="128"/>
      <c r="EV17" s="128"/>
      <c r="EW17" s="128"/>
      <c r="EX17" s="128"/>
      <c r="EY17" s="128"/>
      <c r="EZ17" s="128"/>
      <c r="FA17" s="128"/>
      <c r="FB17" s="128"/>
      <c r="FC17" s="128"/>
      <c r="FD17" s="128"/>
      <c r="FE17" s="128"/>
      <c r="FF17" s="128"/>
      <c r="FG17" s="133"/>
      <c r="FH17" s="134"/>
      <c r="FI17" s="134"/>
      <c r="FJ17" s="134"/>
      <c r="FK17" s="134"/>
      <c r="FL17" s="134"/>
      <c r="FM17" s="134"/>
      <c r="FN17" s="134"/>
      <c r="FO17" s="134"/>
      <c r="FP17" s="134"/>
      <c r="FQ17" s="134"/>
      <c r="FR17" s="134"/>
      <c r="FS17" s="134"/>
      <c r="FT17" s="134"/>
      <c r="FU17" s="134"/>
      <c r="FV17" s="134"/>
      <c r="FW17" s="134"/>
    </row>
    <row r="18" spans="2:179" ht="12.75" customHeight="1" x14ac:dyDescent="0.25">
      <c r="B18" s="22" t="s">
        <v>1757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8" t="s">
        <v>2</v>
      </c>
      <c r="CB18" s="68"/>
      <c r="CC18" s="68"/>
      <c r="CD18" s="68"/>
      <c r="CE18" s="68"/>
      <c r="CF18" s="68"/>
      <c r="CG18" s="68"/>
      <c r="CH18" s="68"/>
      <c r="CI18" s="68"/>
      <c r="CJ18" s="68"/>
      <c r="CK18" s="68"/>
      <c r="CL18" s="68"/>
      <c r="CM18" s="68"/>
      <c r="CN18" s="68"/>
      <c r="CO18" s="68"/>
      <c r="CP18" s="68"/>
      <c r="CQ18" s="68"/>
      <c r="CR18" s="68"/>
      <c r="CS18" s="68" t="s">
        <v>1756</v>
      </c>
      <c r="CT18" s="132"/>
      <c r="CU18" s="132"/>
      <c r="CV18" s="132"/>
      <c r="CW18" s="132"/>
      <c r="CX18" s="132"/>
      <c r="CY18" s="132"/>
      <c r="CZ18" s="132"/>
      <c r="DA18" s="132"/>
      <c r="DB18" s="132"/>
      <c r="DC18" s="132"/>
      <c r="DD18" s="132"/>
      <c r="DE18" s="132"/>
      <c r="DF18" s="132"/>
      <c r="DG18" s="132"/>
      <c r="DH18" s="132"/>
      <c r="DI18" s="132"/>
      <c r="DJ18" s="132"/>
      <c r="DK18" s="132"/>
      <c r="DL18" s="132"/>
      <c r="DM18" s="132"/>
      <c r="DN18" s="132"/>
      <c r="DO18" s="132"/>
      <c r="DP18" s="132"/>
      <c r="DQ18" s="132"/>
      <c r="DR18" s="132"/>
      <c r="DS18" s="132"/>
      <c r="DT18" s="132"/>
      <c r="DU18" s="132"/>
      <c r="DV18" s="132"/>
      <c r="DW18" s="132"/>
      <c r="DX18" s="132"/>
      <c r="DY18" s="113"/>
      <c r="DZ18" s="113"/>
      <c r="EA18" s="113"/>
      <c r="EB18" s="113"/>
      <c r="EC18" s="113"/>
      <c r="ED18" s="113"/>
      <c r="EE18" s="113"/>
      <c r="EF18" s="113"/>
      <c r="EG18" s="113"/>
      <c r="EH18" s="113"/>
      <c r="EI18" s="113"/>
      <c r="EJ18" s="113"/>
      <c r="EK18" s="113"/>
      <c r="EL18" s="113"/>
      <c r="EM18" s="113"/>
      <c r="EN18" s="113"/>
      <c r="EO18" s="113"/>
      <c r="EP18" s="113"/>
      <c r="EQ18" s="136"/>
      <c r="ER18" s="137"/>
      <c r="ES18" s="127"/>
      <c r="ET18" s="128"/>
      <c r="EU18" s="128"/>
      <c r="EV18" s="128"/>
      <c r="EW18" s="128"/>
      <c r="EX18" s="128"/>
      <c r="EY18" s="128"/>
      <c r="EZ18" s="128"/>
      <c r="FA18" s="128"/>
      <c r="FB18" s="128"/>
      <c r="FC18" s="128"/>
      <c r="FD18" s="128"/>
      <c r="FE18" s="128"/>
      <c r="FF18" s="128"/>
      <c r="FG18" s="133"/>
      <c r="FH18" s="134"/>
      <c r="FI18" s="134"/>
      <c r="FJ18" s="134"/>
      <c r="FK18" s="134"/>
      <c r="FL18" s="134"/>
      <c r="FM18" s="134"/>
      <c r="FN18" s="134"/>
      <c r="FO18" s="134"/>
      <c r="FP18" s="134"/>
      <c r="FQ18" s="134"/>
      <c r="FR18" s="134"/>
      <c r="FS18" s="134"/>
      <c r="FT18" s="134"/>
      <c r="FU18" s="134"/>
      <c r="FV18" s="134"/>
      <c r="FW18" s="134"/>
    </row>
    <row r="19" spans="2:179" ht="12.75" customHeight="1" x14ac:dyDescent="0.25">
      <c r="B19" s="22" t="s">
        <v>1751</v>
      </c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62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  <c r="DK19" s="62"/>
      <c r="DL19" s="62"/>
      <c r="DM19" s="62"/>
      <c r="DN19" s="62"/>
      <c r="DO19" s="62"/>
      <c r="DP19" s="62"/>
      <c r="DQ19" s="62"/>
      <c r="DR19" s="62"/>
      <c r="DS19" s="62"/>
      <c r="DT19" s="62"/>
      <c r="DU19" s="62"/>
      <c r="DV19" s="62"/>
      <c r="DW19" s="62"/>
      <c r="DX19" s="62"/>
      <c r="DY19" s="62"/>
      <c r="DZ19" s="62"/>
      <c r="EA19" s="62"/>
      <c r="EB19" s="62"/>
      <c r="EC19" s="62"/>
      <c r="ED19" s="85" t="s">
        <v>2</v>
      </c>
      <c r="EE19" s="85"/>
      <c r="EF19" s="85"/>
      <c r="EG19" s="85"/>
      <c r="EH19" s="85"/>
      <c r="EI19" s="85"/>
      <c r="EJ19" s="85"/>
      <c r="EK19" s="85"/>
      <c r="EL19" s="85"/>
      <c r="EM19" s="85"/>
      <c r="EN19" s="85"/>
      <c r="EO19" s="85"/>
      <c r="EP19" s="85" t="s">
        <v>1756</v>
      </c>
      <c r="EQ19" s="136"/>
      <c r="ER19" s="137"/>
      <c r="ES19" s="127"/>
      <c r="ET19" s="128"/>
      <c r="EU19" s="128"/>
      <c r="EV19" s="128"/>
      <c r="EW19" s="128"/>
      <c r="EX19" s="128"/>
      <c r="EY19" s="128"/>
      <c r="EZ19" s="128"/>
      <c r="FA19" s="128"/>
      <c r="FB19" s="128"/>
      <c r="FC19" s="128"/>
      <c r="FD19" s="128"/>
      <c r="FE19" s="128"/>
      <c r="FF19" s="128"/>
      <c r="FG19" s="133"/>
      <c r="FH19" s="134"/>
      <c r="FI19" s="134"/>
      <c r="FJ19" s="134"/>
      <c r="FK19" s="134"/>
      <c r="FL19" s="134"/>
      <c r="FM19" s="134"/>
      <c r="FN19" s="134"/>
      <c r="FO19" s="134"/>
      <c r="FP19" s="134"/>
      <c r="FQ19" s="134"/>
      <c r="FR19" s="134"/>
      <c r="FS19" s="134"/>
      <c r="FT19" s="134"/>
      <c r="FU19" s="134"/>
      <c r="FV19" s="134"/>
      <c r="FW19" s="134"/>
    </row>
    <row r="20" spans="2:179" ht="12.75" customHeight="1" x14ac:dyDescent="0.25">
      <c r="B20" s="22" t="s">
        <v>1745</v>
      </c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6" t="s">
        <v>1753</v>
      </c>
      <c r="BJ20" s="66"/>
      <c r="BK20" s="66"/>
      <c r="BL20" s="66"/>
      <c r="BM20" s="66"/>
      <c r="BN20" s="66"/>
      <c r="BO20" s="66"/>
      <c r="BP20" s="66"/>
      <c r="BQ20" s="66"/>
      <c r="BR20" s="66"/>
      <c r="BS20" s="66"/>
      <c r="BT20" s="66"/>
      <c r="BU20" s="66"/>
      <c r="BV20" s="66"/>
      <c r="BW20" s="66"/>
      <c r="BX20" s="66"/>
      <c r="BY20" s="66"/>
      <c r="BZ20" s="66"/>
      <c r="CA20" s="66"/>
      <c r="CB20" s="66"/>
      <c r="CC20" s="66"/>
      <c r="CD20" s="66"/>
      <c r="CE20" s="66" t="s">
        <v>1755</v>
      </c>
      <c r="CF20" s="131" t="s">
        <v>1745</v>
      </c>
      <c r="CG20" s="130" t="s">
        <v>1745</v>
      </c>
      <c r="CH20" s="130" t="s">
        <v>1745</v>
      </c>
      <c r="CI20" s="130" t="s">
        <v>1745</v>
      </c>
      <c r="CJ20" s="130" t="s">
        <v>1745</v>
      </c>
      <c r="CK20" s="130" t="s">
        <v>1745</v>
      </c>
      <c r="CL20" s="130" t="s">
        <v>1745</v>
      </c>
      <c r="CM20" s="130" t="s">
        <v>1745</v>
      </c>
      <c r="CN20" s="130" t="s">
        <v>1745</v>
      </c>
      <c r="CO20" s="130" t="s">
        <v>1745</v>
      </c>
      <c r="CP20" s="130" t="s">
        <v>1745</v>
      </c>
      <c r="CQ20" s="130" t="s">
        <v>1745</v>
      </c>
      <c r="CR20" s="130" t="s">
        <v>1745</v>
      </c>
      <c r="CS20" s="130" t="s">
        <v>1745</v>
      </c>
      <c r="CT20" s="130" t="s">
        <v>1745</v>
      </c>
      <c r="CU20" s="130" t="s">
        <v>1745</v>
      </c>
      <c r="CV20" s="130" t="s">
        <v>1745</v>
      </c>
      <c r="CW20" s="130" t="s">
        <v>1745</v>
      </c>
      <c r="CX20" s="130" t="s">
        <v>1745</v>
      </c>
      <c r="CY20" s="130" t="s">
        <v>1745</v>
      </c>
      <c r="CZ20" s="130" t="s">
        <v>1745</v>
      </c>
      <c r="DA20" s="130" t="s">
        <v>1745</v>
      </c>
      <c r="DB20" s="130" t="s">
        <v>1745</v>
      </c>
      <c r="DC20" s="130" t="s">
        <v>1745</v>
      </c>
      <c r="DD20" s="130" t="s">
        <v>1745</v>
      </c>
      <c r="DE20" s="130" t="s">
        <v>1745</v>
      </c>
      <c r="DF20" s="130" t="s">
        <v>1745</v>
      </c>
      <c r="DG20" s="130" t="s">
        <v>1745</v>
      </c>
      <c r="DH20" s="130" t="s">
        <v>1745</v>
      </c>
      <c r="DI20" s="130" t="s">
        <v>1745</v>
      </c>
      <c r="DJ20" s="130" t="s">
        <v>1745</v>
      </c>
      <c r="DK20" s="130" t="s">
        <v>1745</v>
      </c>
      <c r="DL20" s="130" t="s">
        <v>1745</v>
      </c>
      <c r="DM20" s="130" t="s">
        <v>1745</v>
      </c>
      <c r="DN20" s="130" t="s">
        <v>1745</v>
      </c>
      <c r="DO20" s="130" t="s">
        <v>1745</v>
      </c>
      <c r="DP20" s="130" t="s">
        <v>1745</v>
      </c>
      <c r="DQ20" s="130" t="s">
        <v>1745</v>
      </c>
      <c r="DR20" s="130" t="s">
        <v>1745</v>
      </c>
      <c r="DS20" s="130" t="s">
        <v>1745</v>
      </c>
      <c r="DT20" s="130" t="s">
        <v>1745</v>
      </c>
      <c r="DU20" s="130" t="s">
        <v>1745</v>
      </c>
      <c r="DV20" s="130" t="s">
        <v>1745</v>
      </c>
      <c r="DW20" s="130" t="s">
        <v>1745</v>
      </c>
      <c r="DX20" s="130" t="s">
        <v>1745</v>
      </c>
      <c r="DY20" s="130" t="s">
        <v>1745</v>
      </c>
      <c r="DZ20" s="130" t="s">
        <v>1745</v>
      </c>
      <c r="EA20" s="130" t="s">
        <v>1745</v>
      </c>
      <c r="EB20" s="130" t="s">
        <v>1745</v>
      </c>
      <c r="EC20" s="130" t="s">
        <v>1745</v>
      </c>
      <c r="ED20" s="130" t="s">
        <v>1745</v>
      </c>
      <c r="EE20" s="130" t="s">
        <v>1745</v>
      </c>
      <c r="EF20" s="130" t="s">
        <v>1745</v>
      </c>
      <c r="EG20" s="130" t="s">
        <v>1745</v>
      </c>
      <c r="EH20" s="130" t="s">
        <v>1745</v>
      </c>
      <c r="EI20" s="130" t="s">
        <v>1745</v>
      </c>
      <c r="EJ20" s="130" t="s">
        <v>1745</v>
      </c>
      <c r="EK20" s="130" t="s">
        <v>1745</v>
      </c>
      <c r="EL20" s="130" t="s">
        <v>1745</v>
      </c>
      <c r="EM20" s="130" t="s">
        <v>1745</v>
      </c>
      <c r="EN20" s="130" t="s">
        <v>1745</v>
      </c>
      <c r="EO20" s="130" t="s">
        <v>1745</v>
      </c>
      <c r="EP20" s="130" t="s">
        <v>1745</v>
      </c>
      <c r="EQ20" s="130" t="s">
        <v>1745</v>
      </c>
      <c r="ER20" s="140" t="s">
        <v>1756</v>
      </c>
      <c r="ES20" s="127"/>
      <c r="ET20" s="128"/>
      <c r="EU20" s="128"/>
      <c r="EV20" s="128"/>
      <c r="EW20" s="128"/>
      <c r="EX20" s="128"/>
      <c r="EY20" s="128"/>
      <c r="EZ20" s="128"/>
      <c r="FA20" s="128"/>
      <c r="FB20" s="128"/>
      <c r="FC20" s="128"/>
      <c r="FD20" s="128"/>
      <c r="FE20" s="128"/>
      <c r="FF20" s="128"/>
      <c r="FG20" s="133"/>
      <c r="FH20" s="134"/>
      <c r="FI20" s="134"/>
      <c r="FJ20" s="134"/>
      <c r="FK20" s="134"/>
      <c r="FL20" s="134"/>
      <c r="FM20" s="134"/>
      <c r="FN20" s="134"/>
      <c r="FO20" s="134"/>
      <c r="FP20" s="134"/>
      <c r="FQ20" s="134"/>
      <c r="FR20" s="134"/>
      <c r="FS20" s="134"/>
      <c r="FT20" s="134"/>
      <c r="FU20" s="134"/>
      <c r="FV20" s="134"/>
      <c r="FW20" s="134"/>
    </row>
    <row r="21" spans="2:179" ht="12.75" customHeight="1" x14ac:dyDescent="0.25">
      <c r="B21" s="22" t="s">
        <v>1752</v>
      </c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7" t="s">
        <v>2</v>
      </c>
      <c r="BI21" s="67"/>
      <c r="BJ21" s="67"/>
      <c r="BK21" s="67"/>
      <c r="BL21" s="67"/>
      <c r="BM21" s="67"/>
      <c r="BN21" s="67"/>
      <c r="BO21" s="67"/>
      <c r="BP21" s="67"/>
      <c r="BQ21" s="67"/>
      <c r="BR21" s="67"/>
      <c r="BS21" s="67"/>
      <c r="BT21" s="67"/>
      <c r="BU21" s="67"/>
      <c r="BV21" s="67"/>
      <c r="BW21" s="67"/>
      <c r="BX21" s="67"/>
      <c r="BY21" s="67"/>
      <c r="BZ21" s="67"/>
      <c r="CA21" s="67"/>
      <c r="CB21" s="67"/>
      <c r="CC21" s="67"/>
      <c r="CD21" s="67"/>
      <c r="CE21" s="67" t="s">
        <v>1754</v>
      </c>
      <c r="CF21" s="131"/>
      <c r="CG21" s="130"/>
      <c r="CH21" s="130"/>
      <c r="CI21" s="130"/>
      <c r="CJ21" s="130"/>
      <c r="CK21" s="130"/>
      <c r="CL21" s="130"/>
      <c r="CM21" s="130"/>
      <c r="CN21" s="130"/>
      <c r="CO21" s="130"/>
      <c r="CP21" s="130"/>
      <c r="CQ21" s="130"/>
      <c r="CR21" s="130"/>
      <c r="CS21" s="130"/>
      <c r="CT21" s="130"/>
      <c r="CU21" s="130"/>
      <c r="CV21" s="130"/>
      <c r="CW21" s="130"/>
      <c r="CX21" s="130"/>
      <c r="CY21" s="130"/>
      <c r="CZ21" s="130"/>
      <c r="DA21" s="130"/>
      <c r="DB21" s="130"/>
      <c r="DC21" s="130"/>
      <c r="DD21" s="130"/>
      <c r="DE21" s="130"/>
      <c r="DF21" s="130"/>
      <c r="DG21" s="130"/>
      <c r="DH21" s="130"/>
      <c r="DI21" s="130"/>
      <c r="DJ21" s="130"/>
      <c r="DK21" s="130"/>
      <c r="DL21" s="130"/>
      <c r="DM21" s="130"/>
      <c r="DN21" s="130"/>
      <c r="DO21" s="130"/>
      <c r="DP21" s="130"/>
      <c r="DQ21" s="130"/>
      <c r="DR21" s="130"/>
      <c r="DS21" s="130"/>
      <c r="DT21" s="130"/>
      <c r="DU21" s="130"/>
      <c r="DV21" s="130"/>
      <c r="DW21" s="130"/>
      <c r="DX21" s="130"/>
      <c r="DY21" s="130"/>
      <c r="DZ21" s="130"/>
      <c r="EA21" s="130"/>
      <c r="EB21" s="130"/>
      <c r="EC21" s="130"/>
      <c r="ED21" s="130"/>
      <c r="EE21" s="130"/>
      <c r="EF21" s="130"/>
      <c r="EG21" s="130"/>
      <c r="EH21" s="130"/>
      <c r="EI21" s="130"/>
      <c r="EJ21" s="130"/>
      <c r="EK21" s="130"/>
      <c r="EL21" s="130"/>
      <c r="EM21" s="130"/>
      <c r="EN21" s="130"/>
      <c r="EO21" s="130"/>
      <c r="EP21" s="130"/>
      <c r="EQ21" s="130"/>
      <c r="ER21" s="140"/>
      <c r="ES21" s="127"/>
      <c r="ET21" s="128"/>
      <c r="EU21" s="128"/>
      <c r="EV21" s="128"/>
      <c r="EW21" s="128"/>
      <c r="EX21" s="128"/>
      <c r="EY21" s="128"/>
      <c r="EZ21" s="128"/>
      <c r="FA21" s="128"/>
      <c r="FB21" s="128"/>
      <c r="FC21" s="128"/>
      <c r="FD21" s="128"/>
      <c r="FE21" s="128"/>
      <c r="FF21" s="128"/>
      <c r="FG21" s="133"/>
      <c r="FH21" s="134"/>
      <c r="FI21" s="134"/>
      <c r="FJ21" s="134"/>
      <c r="FK21" s="134"/>
      <c r="FL21" s="134"/>
      <c r="FM21" s="134"/>
      <c r="FN21" s="134"/>
      <c r="FO21" s="134"/>
      <c r="FP21" s="134"/>
      <c r="FQ21" s="134"/>
      <c r="FR21" s="134"/>
      <c r="FS21" s="134"/>
      <c r="FT21" s="134"/>
      <c r="FU21" s="134"/>
      <c r="FV21" s="134"/>
      <c r="FW21" s="134"/>
    </row>
    <row r="22" spans="2:179" ht="12.75" customHeight="1" x14ac:dyDescent="0.3">
      <c r="B22" t="s">
        <v>1768</v>
      </c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2"/>
      <c r="BS22" s="62"/>
      <c r="BT22" s="62"/>
      <c r="BU22" s="62"/>
      <c r="BV22" s="62"/>
      <c r="BW22" s="62"/>
      <c r="BX22" s="62"/>
      <c r="BY22" s="62"/>
      <c r="BZ22" s="62"/>
      <c r="CA22" s="62"/>
      <c r="CB22" s="62"/>
      <c r="CC22" s="62"/>
      <c r="CD22" s="62"/>
      <c r="CE22" s="62"/>
      <c r="CF22" s="62"/>
      <c r="CG22" s="62"/>
      <c r="CH22" s="62"/>
      <c r="CI22" s="62"/>
      <c r="CJ22" s="62"/>
      <c r="CK22" s="62"/>
      <c r="CL22" s="62"/>
      <c r="CM22" s="62"/>
      <c r="CN22" s="62"/>
      <c r="CO22" s="62"/>
      <c r="CP22" s="62"/>
      <c r="CQ22" s="62"/>
      <c r="CR22" s="62"/>
      <c r="CS22" s="62"/>
      <c r="CT22" s="62"/>
      <c r="CU22" s="62"/>
      <c r="CV22" s="62"/>
      <c r="CW22" s="62"/>
      <c r="CX22" s="62"/>
      <c r="CY22" s="62"/>
      <c r="CZ22" s="62"/>
      <c r="DA22" s="62"/>
      <c r="DB22" s="62"/>
      <c r="DC22" s="62"/>
      <c r="DD22" s="62"/>
      <c r="DE22" s="62"/>
      <c r="DF22" s="62"/>
      <c r="DG22" s="62"/>
      <c r="DH22" s="62"/>
      <c r="DI22" s="62"/>
      <c r="DJ22" s="62"/>
      <c r="DK22" s="62"/>
      <c r="DL22" s="62"/>
      <c r="DM22" s="62"/>
      <c r="DN22" s="62"/>
      <c r="DO22" s="62"/>
      <c r="DP22" s="62"/>
      <c r="DQ22" s="62"/>
      <c r="DR22" s="62"/>
      <c r="DS22" s="62"/>
      <c r="DT22" s="62"/>
      <c r="DU22" s="62"/>
      <c r="DV22" s="62"/>
      <c r="DW22" s="62"/>
      <c r="DX22" s="62"/>
      <c r="DY22" s="62"/>
      <c r="DZ22" s="62"/>
      <c r="EA22" s="62"/>
      <c r="EB22" s="62"/>
      <c r="EC22" s="62"/>
      <c r="ED22" s="62"/>
      <c r="EE22" s="62"/>
      <c r="EF22" s="62"/>
      <c r="EG22" s="62"/>
      <c r="EH22" s="62"/>
      <c r="EI22" s="62"/>
      <c r="EJ22" s="62"/>
      <c r="EK22" s="62"/>
      <c r="EL22" s="62"/>
      <c r="EM22" s="62"/>
      <c r="EN22" s="62"/>
      <c r="EO22" s="62"/>
      <c r="EP22" s="62"/>
      <c r="EQ22" s="62"/>
      <c r="ER22" s="62"/>
      <c r="ES22" s="62"/>
      <c r="ET22" s="62"/>
      <c r="EU22" s="62"/>
      <c r="EV22" s="62"/>
      <c r="EW22" s="62"/>
      <c r="EX22" s="62"/>
      <c r="EY22" s="62"/>
      <c r="EZ22" s="62"/>
      <c r="FA22" s="62"/>
      <c r="FB22" s="87" t="s">
        <v>1772</v>
      </c>
      <c r="FC22" s="89" t="s">
        <v>1197</v>
      </c>
      <c r="FD22" s="89" t="s">
        <v>1197</v>
      </c>
      <c r="FE22" s="89" t="s">
        <v>1197</v>
      </c>
      <c r="FF22" s="89" t="s">
        <v>1197</v>
      </c>
      <c r="FG22" s="89" t="s">
        <v>1197</v>
      </c>
      <c r="FH22" s="134"/>
      <c r="FI22" s="134"/>
      <c r="FJ22" s="134"/>
      <c r="FK22" s="134"/>
      <c r="FL22" s="134"/>
      <c r="FM22" s="134"/>
      <c r="FN22" s="134"/>
      <c r="FO22" s="134"/>
      <c r="FP22" s="134"/>
      <c r="FQ22" s="134"/>
      <c r="FR22" s="134"/>
      <c r="FS22" s="134"/>
      <c r="FT22" s="134"/>
      <c r="FU22" s="134"/>
      <c r="FV22" s="134"/>
      <c r="FW22" s="134"/>
    </row>
    <row r="23" spans="2:179" ht="12.75" customHeight="1" x14ac:dyDescent="0.3">
      <c r="B23" t="s">
        <v>1770</v>
      </c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2"/>
      <c r="BS23" s="62"/>
      <c r="BT23" s="62"/>
      <c r="BU23" s="62"/>
      <c r="BV23" s="62"/>
      <c r="BW23" s="62"/>
      <c r="BX23" s="62"/>
      <c r="BY23" s="62"/>
      <c r="BZ23" s="62"/>
      <c r="CA23" s="62"/>
      <c r="CB23" s="62"/>
      <c r="CC23" s="62"/>
      <c r="CD23" s="62"/>
      <c r="CE23" s="62"/>
      <c r="CF23" s="62"/>
      <c r="CG23" s="62"/>
      <c r="CH23" s="62"/>
      <c r="CI23" s="62"/>
      <c r="CJ23" s="62"/>
      <c r="CK23" s="62"/>
      <c r="CL23" s="62"/>
      <c r="CM23" s="62"/>
      <c r="CN23" s="62"/>
      <c r="CO23" s="62"/>
      <c r="CP23" s="62"/>
      <c r="CQ23" s="62"/>
      <c r="CR23" s="62"/>
      <c r="CS23" s="62"/>
      <c r="CT23" s="62"/>
      <c r="CU23" s="62"/>
      <c r="CV23" s="62"/>
      <c r="CW23" s="62"/>
      <c r="CX23" s="62"/>
      <c r="CY23" s="62"/>
      <c r="CZ23" s="62"/>
      <c r="DA23" s="62"/>
      <c r="DB23" s="62"/>
      <c r="DC23" s="62"/>
      <c r="DD23" s="62"/>
      <c r="DE23" s="62"/>
      <c r="DF23" s="62"/>
      <c r="DG23" s="62"/>
      <c r="DH23" s="62"/>
      <c r="DI23" s="62"/>
      <c r="DJ23" s="62"/>
      <c r="DK23" s="62"/>
      <c r="DL23" s="62"/>
      <c r="DM23" s="62"/>
      <c r="DN23" s="62"/>
      <c r="DO23" s="62"/>
      <c r="DP23" s="62"/>
      <c r="DQ23" s="62"/>
      <c r="DR23" s="62"/>
      <c r="DS23" s="62"/>
      <c r="DT23" s="62"/>
      <c r="DU23" s="62"/>
      <c r="DV23" s="62"/>
      <c r="DW23" s="62"/>
      <c r="DX23" s="62"/>
      <c r="DY23" s="62"/>
      <c r="DZ23" s="62"/>
      <c r="EA23" s="62"/>
      <c r="EB23" s="62"/>
      <c r="EC23" s="62"/>
      <c r="ED23" s="62"/>
      <c r="EE23" s="62"/>
      <c r="EF23" s="62"/>
      <c r="EG23" s="62"/>
      <c r="EH23" s="62"/>
      <c r="EI23" s="62"/>
      <c r="EJ23" s="62"/>
      <c r="EK23" s="62"/>
      <c r="EL23" s="62"/>
      <c r="EM23" s="62"/>
      <c r="EN23" s="62"/>
      <c r="EO23" s="62"/>
      <c r="EP23" s="62"/>
      <c r="EQ23" s="62"/>
      <c r="ER23" s="62"/>
      <c r="ES23" s="62"/>
      <c r="ET23" s="62"/>
      <c r="EU23" s="62"/>
      <c r="EV23" s="62"/>
      <c r="EW23" s="62"/>
      <c r="EX23" s="62"/>
      <c r="EY23" s="62"/>
      <c r="EZ23" s="62"/>
      <c r="FA23" s="62"/>
      <c r="FB23" s="85" t="s">
        <v>2</v>
      </c>
      <c r="FC23" s="90" t="s">
        <v>399</v>
      </c>
      <c r="FD23" s="90" t="s">
        <v>399</v>
      </c>
      <c r="FE23" s="90" t="s">
        <v>399</v>
      </c>
      <c r="FF23" s="90" t="s">
        <v>399</v>
      </c>
      <c r="FG23" s="90" t="s">
        <v>399</v>
      </c>
      <c r="FH23" s="90" t="s">
        <v>399</v>
      </c>
      <c r="FI23" s="90" t="s">
        <v>399</v>
      </c>
      <c r="FJ23" s="90" t="s">
        <v>399</v>
      </c>
      <c r="FK23" s="90" t="s">
        <v>399</v>
      </c>
      <c r="FL23" s="90" t="s">
        <v>399</v>
      </c>
      <c r="FM23" s="90" t="s">
        <v>399</v>
      </c>
      <c r="FN23" s="90" t="s">
        <v>1730</v>
      </c>
      <c r="FO23" s="134"/>
      <c r="FP23" s="134"/>
      <c r="FQ23" s="134"/>
      <c r="FR23" s="134"/>
      <c r="FS23" s="134"/>
      <c r="FT23" s="134"/>
      <c r="FU23" s="134"/>
      <c r="FV23" s="134"/>
      <c r="FW23" s="134"/>
    </row>
    <row r="24" spans="2:179" ht="12.75" customHeight="1" x14ac:dyDescent="0.3">
      <c r="B24" t="s">
        <v>1767</v>
      </c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2"/>
      <c r="BS24" s="62"/>
      <c r="BT24" s="62"/>
      <c r="BU24" s="62"/>
      <c r="BV24" s="62"/>
      <c r="BW24" s="62"/>
      <c r="BX24" s="62"/>
      <c r="BY24" s="62"/>
      <c r="BZ24" s="62"/>
      <c r="CA24" s="62"/>
      <c r="CB24" s="62"/>
      <c r="CC24" s="62"/>
      <c r="CD24" s="62"/>
      <c r="CE24" s="62"/>
      <c r="CF24" s="62"/>
      <c r="CG24" s="62"/>
      <c r="CH24" s="62"/>
      <c r="CI24" s="62"/>
      <c r="CJ24" s="62"/>
      <c r="CK24" s="62"/>
      <c r="CL24" s="62"/>
      <c r="CM24" s="62"/>
      <c r="CN24" s="62"/>
      <c r="CO24" s="62"/>
      <c r="CP24" s="62"/>
      <c r="CQ24" s="62"/>
      <c r="CR24" s="62"/>
      <c r="CS24" s="62"/>
      <c r="CT24" s="62"/>
      <c r="CU24" s="62"/>
      <c r="CV24" s="62"/>
      <c r="CW24" s="62"/>
      <c r="CX24" s="62"/>
      <c r="CY24" s="62"/>
      <c r="CZ24" s="62"/>
      <c r="DA24" s="62"/>
      <c r="DB24" s="62"/>
      <c r="DC24" s="62"/>
      <c r="DD24" s="62"/>
      <c r="DE24" s="62"/>
      <c r="DF24" s="62"/>
      <c r="DG24" s="62"/>
      <c r="DH24" s="62"/>
      <c r="DI24" s="62"/>
      <c r="DJ24" s="62"/>
      <c r="DK24" s="62"/>
      <c r="DL24" s="62"/>
      <c r="DM24" s="62"/>
      <c r="DN24" s="62"/>
      <c r="DO24" s="62"/>
      <c r="DP24" s="62"/>
      <c r="DQ24" s="62"/>
      <c r="DR24" s="62"/>
      <c r="DS24" s="62"/>
      <c r="DT24" s="62"/>
      <c r="DU24" s="62"/>
      <c r="DV24" s="62"/>
      <c r="DW24" s="62"/>
      <c r="DX24" s="62"/>
      <c r="DY24" s="62"/>
      <c r="DZ24" s="62"/>
      <c r="EA24" s="62"/>
      <c r="EB24" s="62"/>
      <c r="EC24" s="62"/>
      <c r="ED24" s="62"/>
      <c r="EE24" s="62"/>
      <c r="EF24" s="62"/>
      <c r="EG24" s="62"/>
      <c r="EH24" s="62"/>
      <c r="EI24" s="62"/>
      <c r="EJ24" s="62"/>
      <c r="EK24" s="62"/>
      <c r="EL24" s="62"/>
      <c r="EM24" s="62"/>
      <c r="EN24" s="62"/>
      <c r="EO24" s="62"/>
      <c r="EP24" s="62"/>
      <c r="EQ24" s="62"/>
      <c r="ER24" s="62"/>
      <c r="ES24" s="62"/>
      <c r="ET24" s="62"/>
      <c r="EU24" s="91" t="s">
        <v>2</v>
      </c>
      <c r="EV24" s="92" t="s">
        <v>401</v>
      </c>
      <c r="EW24" s="92" t="s">
        <v>401</v>
      </c>
      <c r="EX24" s="92" t="s">
        <v>401</v>
      </c>
      <c r="EY24" s="92" t="s">
        <v>401</v>
      </c>
      <c r="EZ24" s="92" t="s">
        <v>401</v>
      </c>
      <c r="FA24" s="92" t="s">
        <v>401</v>
      </c>
      <c r="FB24" s="92" t="s">
        <v>401</v>
      </c>
      <c r="FC24" s="92" t="s">
        <v>401</v>
      </c>
      <c r="FD24" s="92" t="s">
        <v>401</v>
      </c>
      <c r="FE24" s="92" t="s">
        <v>401</v>
      </c>
      <c r="FF24" s="92" t="s">
        <v>401</v>
      </c>
      <c r="FG24" s="92" t="s">
        <v>401</v>
      </c>
      <c r="FH24" s="92" t="s">
        <v>401</v>
      </c>
      <c r="FI24" s="92" t="s">
        <v>401</v>
      </c>
      <c r="FJ24" s="92" t="s">
        <v>401</v>
      </c>
      <c r="FK24" s="92" t="s">
        <v>401</v>
      </c>
      <c r="FL24" s="92" t="s">
        <v>401</v>
      </c>
      <c r="FM24" s="92" t="s">
        <v>401</v>
      </c>
      <c r="FN24" s="92" t="s">
        <v>401</v>
      </c>
      <c r="FO24" s="92" t="s">
        <v>401</v>
      </c>
      <c r="FP24" s="92" t="s">
        <v>401</v>
      </c>
      <c r="FQ24" s="92" t="s">
        <v>401</v>
      </c>
      <c r="FR24" s="92" t="s">
        <v>401</v>
      </c>
      <c r="FS24" s="92" t="s">
        <v>401</v>
      </c>
      <c r="FT24" s="92" t="s">
        <v>1730</v>
      </c>
      <c r="FU24" s="134"/>
      <c r="FV24" s="134"/>
      <c r="FW24" s="134"/>
    </row>
    <row r="25" spans="2:179" ht="12.75" customHeight="1" x14ac:dyDescent="0.3">
      <c r="B25" t="s">
        <v>1774</v>
      </c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2"/>
      <c r="BS25" s="62"/>
      <c r="BT25" s="62"/>
      <c r="BU25" s="62"/>
      <c r="BV25" s="62"/>
      <c r="BW25" s="62"/>
      <c r="BX25" s="62"/>
      <c r="BY25" s="62"/>
      <c r="BZ25" s="62"/>
      <c r="CA25" s="62"/>
      <c r="CB25" s="62"/>
      <c r="CC25" s="62"/>
      <c r="CD25" s="62"/>
      <c r="CE25" s="62"/>
      <c r="CF25" s="62"/>
      <c r="CG25" s="62"/>
      <c r="CH25" s="62"/>
      <c r="CI25" s="62"/>
      <c r="CJ25" s="62"/>
      <c r="CK25" s="62"/>
      <c r="CL25" s="62"/>
      <c r="CM25" s="62"/>
      <c r="CN25" s="62"/>
      <c r="CO25" s="62"/>
      <c r="CP25" s="62"/>
      <c r="CQ25" s="62"/>
      <c r="CR25" s="62"/>
      <c r="CS25" s="62"/>
      <c r="CT25" s="62"/>
      <c r="CU25" s="62"/>
      <c r="CV25" s="62"/>
      <c r="CW25" s="62"/>
      <c r="CX25" s="62"/>
      <c r="CY25" s="62"/>
      <c r="CZ25" s="62"/>
      <c r="DA25" s="62"/>
      <c r="DB25" s="62"/>
      <c r="DC25" s="62"/>
      <c r="DD25" s="62"/>
      <c r="DE25" s="62"/>
      <c r="DF25" s="62"/>
      <c r="DG25" s="62"/>
      <c r="DH25" s="62"/>
      <c r="DI25" s="62"/>
      <c r="DJ25" s="62"/>
      <c r="DK25" s="62"/>
      <c r="DL25" s="62"/>
      <c r="DM25" s="62"/>
      <c r="DN25" s="62"/>
      <c r="DO25" s="62"/>
      <c r="DP25" s="62"/>
      <c r="DQ25" s="62"/>
      <c r="DR25" s="62"/>
      <c r="DS25" s="62"/>
      <c r="DT25" s="62"/>
      <c r="DU25" s="62"/>
      <c r="DV25" s="62"/>
      <c r="DW25" s="62"/>
      <c r="DX25" s="62"/>
      <c r="DY25" s="62"/>
      <c r="DZ25" s="62"/>
      <c r="EA25" s="62"/>
      <c r="EB25" s="62"/>
      <c r="EC25" s="62"/>
      <c r="ED25" s="62"/>
      <c r="EE25" s="62"/>
      <c r="EF25" s="62"/>
      <c r="EG25" s="62"/>
      <c r="EH25" s="62"/>
      <c r="EI25" s="62"/>
      <c r="EJ25" s="62"/>
      <c r="EK25" s="62"/>
      <c r="EL25" s="62"/>
      <c r="EM25" s="62"/>
      <c r="EN25" s="62"/>
      <c r="EO25" s="62"/>
      <c r="EP25" s="62"/>
      <c r="EQ25" s="62"/>
      <c r="ER25" s="62"/>
      <c r="ES25" s="62"/>
      <c r="ET25" s="62"/>
      <c r="EU25" s="62"/>
      <c r="EV25" s="62"/>
      <c r="EW25" s="62"/>
      <c r="EX25" s="62"/>
      <c r="EY25" s="62"/>
      <c r="EZ25" s="62"/>
      <c r="FA25" s="62"/>
      <c r="FB25" s="62"/>
      <c r="FC25" s="62"/>
      <c r="FD25" s="62"/>
      <c r="FE25" s="62"/>
      <c r="FF25" s="62"/>
      <c r="FG25" s="62"/>
      <c r="FH25" s="62"/>
      <c r="FI25" s="62"/>
      <c r="FJ25" s="62"/>
      <c r="FK25" s="88" t="s">
        <v>2</v>
      </c>
      <c r="FL25" s="89" t="s">
        <v>86</v>
      </c>
      <c r="FM25" s="89" t="s">
        <v>86</v>
      </c>
      <c r="FN25" s="89" t="s">
        <v>86</v>
      </c>
      <c r="FO25" s="89" t="s">
        <v>86</v>
      </c>
      <c r="FP25" s="89" t="s">
        <v>86</v>
      </c>
      <c r="FQ25" s="89" t="s">
        <v>86</v>
      </c>
      <c r="FR25" s="89" t="s">
        <v>86</v>
      </c>
      <c r="FS25" s="89" t="s">
        <v>86</v>
      </c>
      <c r="FT25" s="89" t="s">
        <v>1730</v>
      </c>
      <c r="FU25" s="134"/>
      <c r="FV25" s="134"/>
      <c r="FW25" s="134"/>
    </row>
    <row r="26" spans="2:179" ht="12.75" customHeight="1" x14ac:dyDescent="0.3">
      <c r="B26" t="s">
        <v>1769</v>
      </c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2"/>
      <c r="BF26" s="62"/>
      <c r="BG26" s="62"/>
      <c r="BH26" s="62"/>
      <c r="BI26" s="62"/>
      <c r="BJ26" s="62"/>
      <c r="BK26" s="62"/>
      <c r="BL26" s="62"/>
      <c r="BM26" s="62"/>
      <c r="BN26" s="62"/>
      <c r="BO26" s="62"/>
      <c r="BP26" s="62"/>
      <c r="BQ26" s="62"/>
      <c r="BR26" s="62"/>
      <c r="BS26" s="62"/>
      <c r="BT26" s="62"/>
      <c r="BU26" s="62"/>
      <c r="BV26" s="62"/>
      <c r="BW26" s="62"/>
      <c r="BX26" s="62"/>
      <c r="BY26" s="62"/>
      <c r="BZ26" s="62"/>
      <c r="CA26" s="62"/>
      <c r="CB26" s="62"/>
      <c r="CC26" s="62"/>
      <c r="CD26" s="62"/>
      <c r="CE26" s="62"/>
      <c r="CF26" s="62"/>
      <c r="CG26" s="62"/>
      <c r="CH26" s="62"/>
      <c r="CI26" s="62"/>
      <c r="CJ26" s="62"/>
      <c r="CK26" s="62"/>
      <c r="CL26" s="62"/>
      <c r="CM26" s="62"/>
      <c r="CN26" s="62"/>
      <c r="CO26" s="62"/>
      <c r="CP26" s="62"/>
      <c r="CQ26" s="62"/>
      <c r="CR26" s="62"/>
      <c r="CS26" s="62"/>
      <c r="CT26" s="62"/>
      <c r="CU26" s="62"/>
      <c r="CV26" s="62"/>
      <c r="CW26" s="62"/>
      <c r="CX26" s="62"/>
      <c r="CY26" s="62"/>
      <c r="CZ26" s="62"/>
      <c r="DA26" s="62"/>
      <c r="DB26" s="62"/>
      <c r="DC26" s="62"/>
      <c r="DD26" s="62"/>
      <c r="DE26" s="62"/>
      <c r="DF26" s="62"/>
      <c r="DG26" s="62"/>
      <c r="DH26" s="62"/>
      <c r="DI26" s="62"/>
      <c r="DJ26" s="62"/>
      <c r="DK26" s="62"/>
      <c r="DL26" s="62"/>
      <c r="DM26" s="62"/>
      <c r="DN26" s="62"/>
      <c r="DO26" s="62"/>
      <c r="DP26" s="62"/>
      <c r="DQ26" s="62"/>
      <c r="DR26" s="62"/>
      <c r="DS26" s="62"/>
      <c r="DT26" s="62"/>
      <c r="DU26" s="62"/>
      <c r="DV26" s="62"/>
      <c r="DW26" s="62"/>
      <c r="DX26" s="62"/>
      <c r="DY26" s="62"/>
      <c r="DZ26" s="62"/>
      <c r="EA26" s="62"/>
      <c r="EB26" s="62"/>
      <c r="EC26" s="62"/>
      <c r="ED26" s="62"/>
      <c r="EE26" s="62"/>
      <c r="EF26" s="62"/>
      <c r="EG26" s="62"/>
      <c r="EH26" s="62"/>
      <c r="EI26" s="62"/>
      <c r="EJ26" s="62"/>
      <c r="EK26" s="62"/>
      <c r="EL26" s="62"/>
      <c r="EM26" s="62"/>
      <c r="EN26" s="62"/>
      <c r="EO26" s="62"/>
      <c r="EP26" s="62"/>
      <c r="EQ26" s="62"/>
      <c r="ER26" s="62"/>
      <c r="ES26" s="62"/>
      <c r="ET26" s="62"/>
      <c r="EU26" s="76" t="s">
        <v>2</v>
      </c>
      <c r="EV26" s="82" t="s">
        <v>1766</v>
      </c>
      <c r="EW26" s="82" t="s">
        <v>1766</v>
      </c>
      <c r="EX26" s="82" t="s">
        <v>1766</v>
      </c>
      <c r="EY26" s="82" t="s">
        <v>1766</v>
      </c>
      <c r="EZ26" s="82" t="s">
        <v>1766</v>
      </c>
      <c r="FA26" s="82" t="s">
        <v>1766</v>
      </c>
      <c r="FB26" s="82" t="s">
        <v>1766</v>
      </c>
      <c r="FC26" s="82" t="s">
        <v>1766</v>
      </c>
      <c r="FD26" s="82" t="s">
        <v>1766</v>
      </c>
      <c r="FE26" s="82" t="s">
        <v>1766</v>
      </c>
      <c r="FF26" s="82" t="s">
        <v>1766</v>
      </c>
      <c r="FG26" s="82" t="s">
        <v>1766</v>
      </c>
      <c r="FH26" s="82" t="s">
        <v>1766</v>
      </c>
      <c r="FI26" s="82" t="s">
        <v>1766</v>
      </c>
      <c r="FJ26" s="82" t="s">
        <v>1766</v>
      </c>
      <c r="FK26" s="82" t="s">
        <v>1766</v>
      </c>
      <c r="FL26" s="82" t="s">
        <v>1766</v>
      </c>
      <c r="FM26" s="82" t="s">
        <v>1766</v>
      </c>
      <c r="FN26" s="82" t="s">
        <v>1766</v>
      </c>
      <c r="FO26" s="82" t="s">
        <v>1766</v>
      </c>
      <c r="FP26" s="82" t="s">
        <v>1766</v>
      </c>
      <c r="FQ26" s="82" t="s">
        <v>1766</v>
      </c>
      <c r="FR26" s="82" t="s">
        <v>1766</v>
      </c>
      <c r="FS26" s="82" t="s">
        <v>1766</v>
      </c>
      <c r="FT26" s="82" t="s">
        <v>1766</v>
      </c>
      <c r="FU26" s="82" t="s">
        <v>1730</v>
      </c>
      <c r="FV26" s="134"/>
      <c r="FW26" s="134"/>
    </row>
    <row r="27" spans="2:179" ht="12.75" customHeight="1" x14ac:dyDescent="0.25">
      <c r="B27" t="s">
        <v>1221</v>
      </c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</row>
    <row r="28" spans="2:179" ht="12.75" customHeight="1" x14ac:dyDescent="0.25">
      <c r="B28" t="s">
        <v>1775</v>
      </c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</row>
    <row r="29" spans="2:179" ht="12.75" customHeight="1" x14ac:dyDescent="0.25">
      <c r="B29" t="s">
        <v>1243</v>
      </c>
    </row>
    <row r="30" spans="2:179" ht="12.75" customHeight="1" x14ac:dyDescent="0.25">
      <c r="B30" t="s">
        <v>1244</v>
      </c>
    </row>
    <row r="31" spans="2:179" ht="12.75" customHeight="1" x14ac:dyDescent="0.25">
      <c r="B31" t="s">
        <v>1693</v>
      </c>
    </row>
    <row r="32" spans="2:179" ht="12.75" customHeight="1" x14ac:dyDescent="0.25">
      <c r="B32" t="s">
        <v>1696</v>
      </c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2"/>
      <c r="BI32" s="62"/>
    </row>
    <row r="33" spans="2:179" ht="12.75" customHeight="1" x14ac:dyDescent="0.25">
      <c r="B33" t="s">
        <v>1207</v>
      </c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2"/>
      <c r="BI33" s="62"/>
    </row>
    <row r="34" spans="2:179" ht="12.75" customHeight="1" x14ac:dyDescent="0.25">
      <c r="B34" t="s">
        <v>1209</v>
      </c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2"/>
      <c r="BF34" s="62"/>
      <c r="BG34" s="62"/>
      <c r="BH34" s="62"/>
      <c r="BI34" s="62"/>
    </row>
    <row r="35" spans="2:179" ht="12.75" customHeight="1" x14ac:dyDescent="0.25">
      <c r="B35" t="s">
        <v>1232</v>
      </c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</row>
    <row r="36" spans="2:179" ht="12.75" customHeight="1" x14ac:dyDescent="0.25">
      <c r="B36" t="s">
        <v>1694</v>
      </c>
      <c r="C36" s="62"/>
      <c r="D36" s="63" t="s">
        <v>1700</v>
      </c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/>
      <c r="BU36" s="63"/>
      <c r="BV36" s="63"/>
      <c r="BW36" s="63"/>
      <c r="BX36" s="63"/>
      <c r="BY36" s="63"/>
      <c r="BZ36" s="63"/>
      <c r="CA36" s="63"/>
      <c r="CB36" s="63"/>
      <c r="CC36" s="63"/>
      <c r="CD36" s="63"/>
      <c r="CE36" s="63"/>
      <c r="CF36" s="63"/>
      <c r="CG36" s="63"/>
      <c r="CH36" s="63"/>
      <c r="CI36" s="63"/>
      <c r="CJ36" s="63"/>
      <c r="CK36" s="63"/>
      <c r="CL36" s="63"/>
      <c r="CM36" s="63"/>
      <c r="CN36" s="63"/>
      <c r="CO36" s="63"/>
      <c r="CP36" s="63"/>
      <c r="CQ36" s="63"/>
      <c r="CR36" s="63"/>
      <c r="CS36" s="63"/>
      <c r="CT36" s="63"/>
      <c r="CU36" s="63"/>
      <c r="CV36" s="63"/>
      <c r="CW36" s="63"/>
      <c r="CX36" s="63"/>
      <c r="CY36" s="63"/>
      <c r="CZ36" s="63"/>
      <c r="DA36" s="63"/>
      <c r="DB36" s="63"/>
      <c r="DC36" s="63"/>
      <c r="DD36" s="63"/>
      <c r="DE36" s="63"/>
      <c r="DF36" s="63"/>
      <c r="DG36" s="63"/>
      <c r="DH36" s="63"/>
      <c r="DI36" s="63"/>
      <c r="DJ36" s="63"/>
      <c r="DK36" s="63"/>
      <c r="DL36" s="63"/>
      <c r="DM36" s="63"/>
      <c r="DN36" s="63"/>
      <c r="DO36" s="63"/>
      <c r="DP36" s="63"/>
      <c r="DQ36" s="63"/>
      <c r="DR36" s="63"/>
      <c r="DS36" s="63"/>
      <c r="DT36" s="63" t="s">
        <v>1698</v>
      </c>
      <c r="DU36" s="114" t="s">
        <v>1259</v>
      </c>
      <c r="DV36" s="115"/>
      <c r="DW36" s="115"/>
      <c r="DX36" s="115"/>
      <c r="DY36" s="115"/>
      <c r="DZ36" s="115"/>
      <c r="EA36" s="115"/>
      <c r="EB36" s="115"/>
      <c r="EC36" s="115"/>
      <c r="ED36" s="64"/>
      <c r="EE36" s="64"/>
      <c r="EF36" s="64"/>
      <c r="EG36" s="64"/>
      <c r="EH36" s="64"/>
      <c r="EI36" s="64"/>
      <c r="EJ36" s="64"/>
      <c r="EK36" s="62"/>
      <c r="EL36" s="62"/>
      <c r="EM36" s="62"/>
      <c r="EN36" s="62"/>
      <c r="EO36" s="62"/>
      <c r="EP36" s="62"/>
      <c r="EQ36" s="62"/>
      <c r="ER36" s="62"/>
      <c r="ES36" s="62"/>
      <c r="ET36" s="62"/>
      <c r="EU36" s="62"/>
      <c r="EV36" s="62"/>
      <c r="EW36" s="62"/>
      <c r="EX36" s="62"/>
      <c r="EY36" s="62"/>
      <c r="EZ36" s="62"/>
      <c r="FA36" s="62"/>
      <c r="FB36" s="62"/>
      <c r="FC36" s="62"/>
      <c r="FD36" s="62"/>
      <c r="FE36" s="62"/>
      <c r="FF36" s="62"/>
      <c r="FG36" s="62"/>
      <c r="FH36" s="62"/>
      <c r="FI36" s="62"/>
      <c r="FJ36" s="62"/>
      <c r="FK36" s="62"/>
      <c r="FL36" s="62"/>
      <c r="FM36" s="62"/>
      <c r="FN36" s="62"/>
      <c r="FO36" s="62"/>
      <c r="FP36" s="62"/>
      <c r="FQ36" s="62"/>
      <c r="FR36" s="62"/>
      <c r="FS36" s="62"/>
      <c r="FT36" s="62"/>
      <c r="FU36" s="62"/>
      <c r="FV36" s="62"/>
      <c r="FW36" s="62"/>
    </row>
    <row r="37" spans="2:179" ht="12.75" customHeight="1" x14ac:dyDescent="0.25">
      <c r="B37" t="s">
        <v>1695</v>
      </c>
      <c r="C37" s="64" t="s">
        <v>1699</v>
      </c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  <c r="BQ37" s="64"/>
      <c r="BR37" s="64"/>
      <c r="BS37" s="64"/>
      <c r="BT37" s="64"/>
      <c r="BU37" s="64"/>
      <c r="BV37" s="64"/>
      <c r="BW37" s="64"/>
      <c r="BX37" s="64"/>
      <c r="BY37" s="64"/>
      <c r="BZ37" s="64"/>
      <c r="CA37" s="64"/>
      <c r="CB37" s="64"/>
      <c r="CC37" s="64"/>
      <c r="CD37" s="64"/>
      <c r="CE37" s="64"/>
      <c r="CF37" s="64"/>
      <c r="CG37" s="64"/>
      <c r="CH37" s="64"/>
      <c r="CI37" s="64"/>
      <c r="CJ37" s="64"/>
      <c r="CK37" s="64"/>
      <c r="CL37" s="64"/>
      <c r="CM37" s="64"/>
      <c r="CN37" s="64"/>
      <c r="CO37" s="64"/>
      <c r="CP37" s="64"/>
      <c r="CQ37" s="64"/>
      <c r="CR37" s="64"/>
      <c r="CS37" s="64"/>
      <c r="CT37" s="64"/>
      <c r="CU37" s="64"/>
      <c r="CV37" s="64"/>
      <c r="CW37" s="64"/>
      <c r="CX37" s="64"/>
      <c r="CY37" s="64"/>
      <c r="CZ37" s="64"/>
      <c r="DA37" s="64"/>
      <c r="DB37" s="64"/>
      <c r="DC37" s="64"/>
      <c r="DD37" s="64"/>
      <c r="DE37" s="64"/>
      <c r="DF37" s="64"/>
      <c r="DG37" s="64"/>
      <c r="DH37" s="64"/>
      <c r="DI37" s="64"/>
      <c r="DJ37" s="64"/>
      <c r="DK37" s="64"/>
      <c r="DL37" s="64"/>
      <c r="DM37" s="64"/>
      <c r="DN37" s="64"/>
      <c r="DO37" s="64"/>
      <c r="DP37" s="64"/>
      <c r="DQ37" s="64"/>
      <c r="DR37" s="64"/>
      <c r="DS37" s="64"/>
      <c r="DT37" s="64" t="s">
        <v>1701</v>
      </c>
      <c r="DU37" s="114"/>
      <c r="DV37" s="115"/>
      <c r="DW37" s="115"/>
      <c r="DX37" s="115"/>
      <c r="DY37" s="115"/>
      <c r="DZ37" s="115"/>
      <c r="EA37" s="115"/>
      <c r="EB37" s="115"/>
      <c r="EC37" s="115"/>
      <c r="ED37" s="64"/>
      <c r="EE37" s="64"/>
      <c r="EF37" s="64"/>
      <c r="EG37" s="64"/>
      <c r="EH37" s="64"/>
      <c r="EI37" s="64"/>
      <c r="EJ37" s="64"/>
      <c r="EK37" s="62"/>
      <c r="EL37" s="62"/>
      <c r="EM37" s="62"/>
      <c r="EN37" s="62"/>
      <c r="EO37" s="62"/>
      <c r="EP37" s="62"/>
      <c r="EQ37" s="62"/>
      <c r="ER37" s="62"/>
      <c r="ES37" s="62"/>
      <c r="ET37" s="62"/>
      <c r="EU37" s="62"/>
      <c r="EV37" s="62"/>
      <c r="EW37" s="62"/>
      <c r="EX37" s="62"/>
      <c r="EY37" s="62"/>
      <c r="EZ37" s="62"/>
      <c r="FA37" s="62"/>
      <c r="FB37" s="62"/>
      <c r="FC37" s="62"/>
      <c r="FD37" s="62"/>
      <c r="FE37" s="62"/>
      <c r="FF37" s="62"/>
      <c r="FG37" s="62"/>
      <c r="FH37" s="62"/>
      <c r="FI37" s="62"/>
      <c r="FJ37" s="62"/>
      <c r="FK37" s="62"/>
      <c r="FL37" s="62"/>
      <c r="FM37" s="62"/>
      <c r="FN37" s="62"/>
      <c r="FO37" s="62"/>
      <c r="FP37" s="62"/>
      <c r="FQ37" s="62"/>
      <c r="FR37" s="62"/>
      <c r="FS37" s="62"/>
      <c r="FT37" s="62"/>
      <c r="FU37" s="62"/>
      <c r="FV37" s="62"/>
      <c r="FW37" s="62"/>
    </row>
    <row r="38" spans="2:179" x14ac:dyDescent="0.25">
      <c r="B38" t="s">
        <v>17</v>
      </c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2"/>
      <c r="BQ38" s="62"/>
      <c r="BR38" s="62"/>
      <c r="BS38" s="62"/>
      <c r="BT38" s="62"/>
      <c r="BU38" s="62"/>
      <c r="BV38" s="62"/>
      <c r="BW38" s="62"/>
      <c r="BX38" s="62"/>
      <c r="BY38" s="62"/>
      <c r="BZ38" s="62"/>
      <c r="CA38" s="62"/>
      <c r="CB38" s="62"/>
      <c r="CC38" s="62"/>
      <c r="CD38" s="62"/>
      <c r="CE38" s="62"/>
      <c r="CF38" s="62"/>
      <c r="CG38" s="62"/>
      <c r="CH38" s="62"/>
      <c r="CI38" s="62"/>
      <c r="CJ38" s="62"/>
      <c r="CK38" s="62"/>
      <c r="CL38" s="62"/>
      <c r="CM38" s="62"/>
      <c r="CN38" s="62"/>
      <c r="CO38" s="62"/>
      <c r="CP38" s="62"/>
      <c r="CQ38" s="62"/>
      <c r="CR38" s="62"/>
      <c r="CS38" s="62"/>
      <c r="CT38" s="62"/>
      <c r="CU38" s="62"/>
      <c r="CV38" s="62"/>
      <c r="CW38" s="62"/>
      <c r="CX38" s="62"/>
      <c r="CY38" s="62"/>
      <c r="CZ38" s="62"/>
      <c r="DA38" s="62"/>
      <c r="DB38" s="62"/>
      <c r="DC38" s="62"/>
      <c r="DD38" s="62"/>
      <c r="DE38" s="62"/>
      <c r="DF38" s="62"/>
      <c r="DG38" s="62"/>
      <c r="DH38" s="62"/>
      <c r="DI38" s="62"/>
      <c r="DJ38" s="62"/>
      <c r="DK38" s="62"/>
      <c r="DL38" s="62"/>
      <c r="DM38" s="62"/>
      <c r="DN38" s="62"/>
      <c r="DO38" s="62"/>
      <c r="DP38" s="62"/>
      <c r="DQ38" s="62"/>
      <c r="DR38" s="62"/>
      <c r="DS38" s="62"/>
      <c r="DT38" s="62"/>
      <c r="DU38" s="62"/>
    </row>
    <row r="39" spans="2:179" ht="13" x14ac:dyDescent="0.3">
      <c r="B39" t="s">
        <v>1697</v>
      </c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5" t="s">
        <v>2</v>
      </c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FB39" s="43" t="s">
        <v>1773</v>
      </c>
    </row>
    <row r="40" spans="2:179" x14ac:dyDescent="0.25">
      <c r="B40" t="s">
        <v>45</v>
      </c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2"/>
      <c r="BQ40" s="62"/>
      <c r="BR40" s="62"/>
      <c r="BS40" s="62"/>
      <c r="BT40" s="62"/>
      <c r="BU40" s="62"/>
      <c r="BV40" s="62"/>
      <c r="BW40" s="62"/>
      <c r="BX40" s="62"/>
      <c r="BY40" s="62"/>
      <c r="BZ40" s="62"/>
      <c r="CA40" s="62"/>
      <c r="CB40" s="62"/>
      <c r="CC40" s="62"/>
      <c r="CD40" s="62"/>
      <c r="CE40" s="62"/>
      <c r="CF40" s="62"/>
      <c r="CG40" s="62"/>
      <c r="CH40" s="62"/>
      <c r="CI40" s="62"/>
      <c r="CJ40" s="62"/>
      <c r="CK40" s="62"/>
      <c r="CL40" s="62"/>
      <c r="CM40" s="62"/>
      <c r="CN40" s="62"/>
      <c r="CO40" s="62"/>
      <c r="CP40" s="62"/>
      <c r="CQ40" s="62"/>
      <c r="CR40" s="62"/>
      <c r="CS40" s="62"/>
      <c r="CT40" s="62"/>
      <c r="CU40" s="62"/>
      <c r="CV40" s="62"/>
      <c r="CW40" s="62"/>
      <c r="CX40" s="62"/>
      <c r="CY40" s="62"/>
      <c r="CZ40" s="62"/>
      <c r="DA40" s="62"/>
      <c r="DB40" s="62"/>
      <c r="DC40" s="62"/>
      <c r="DD40" s="62"/>
      <c r="DE40" s="62"/>
      <c r="DF40" s="62"/>
      <c r="DG40" s="62"/>
      <c r="DH40" s="62"/>
      <c r="DI40" s="62"/>
      <c r="DJ40" s="62"/>
      <c r="DK40" s="62"/>
      <c r="DL40" s="62"/>
      <c r="DM40" s="62"/>
      <c r="DN40" s="62"/>
      <c r="DO40" s="62"/>
      <c r="DP40" s="62"/>
      <c r="DQ40" s="62"/>
      <c r="DR40" s="62"/>
      <c r="DS40" s="62"/>
      <c r="DT40" s="62"/>
      <c r="DU40" s="62"/>
      <c r="DV40" s="62"/>
      <c r="DW40" s="62"/>
      <c r="DX40" s="62"/>
      <c r="DY40" s="62"/>
      <c r="DZ40" s="62"/>
      <c r="EA40" s="62"/>
      <c r="EB40" s="62"/>
      <c r="EC40" s="62"/>
      <c r="ED40" s="62"/>
      <c r="EE40" s="62"/>
      <c r="EF40" s="62"/>
      <c r="EG40" s="62"/>
      <c r="EH40" s="62"/>
      <c r="EI40" s="62"/>
      <c r="EJ40" s="62"/>
      <c r="EK40" s="68" t="s">
        <v>2</v>
      </c>
      <c r="EL40" s="68"/>
      <c r="EM40" s="68"/>
      <c r="EN40" s="68"/>
      <c r="EO40" s="68"/>
      <c r="EP40" s="68"/>
      <c r="EQ40" s="68"/>
      <c r="ER40" s="68"/>
      <c r="ES40" s="68"/>
      <c r="ET40" s="68"/>
      <c r="EU40" s="68"/>
      <c r="EV40" s="68"/>
      <c r="EW40" s="68"/>
      <c r="EX40" s="68"/>
      <c r="EY40" s="68"/>
      <c r="EZ40" s="68"/>
      <c r="FA40" s="68"/>
      <c r="FB40" s="68"/>
      <c r="FC40" s="68"/>
      <c r="FD40" s="68"/>
      <c r="FE40" s="68"/>
      <c r="FF40" s="68"/>
      <c r="FG40" s="68"/>
      <c r="FH40" s="68"/>
      <c r="FI40" s="68"/>
      <c r="FJ40" s="68"/>
      <c r="FK40" s="68"/>
      <c r="FL40" s="68"/>
      <c r="FM40" s="68"/>
      <c r="FN40" s="68"/>
      <c r="FO40" s="68"/>
      <c r="FP40" s="68"/>
      <c r="FQ40" s="68"/>
      <c r="FR40" s="68"/>
      <c r="FS40" s="68"/>
      <c r="FT40" s="68"/>
      <c r="FU40" s="68"/>
      <c r="FV40" s="68"/>
      <c r="FW40" s="68"/>
    </row>
    <row r="41" spans="2:179" x14ac:dyDescent="0.25">
      <c r="B41" t="s">
        <v>33</v>
      </c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62"/>
      <c r="AW41" s="62"/>
      <c r="AX41" s="62"/>
      <c r="AY41" s="62"/>
      <c r="AZ41" s="62"/>
      <c r="BA41" s="62"/>
      <c r="BB41" s="62"/>
      <c r="BC41" s="62"/>
      <c r="BD41" s="62"/>
      <c r="BE41" s="62"/>
      <c r="BF41" s="62"/>
      <c r="BG41" s="62"/>
      <c r="BH41" s="62"/>
      <c r="BI41" s="62"/>
      <c r="BJ41" s="62"/>
      <c r="BK41" s="62"/>
      <c r="BL41" s="62"/>
      <c r="BM41" s="62"/>
      <c r="BN41" s="62"/>
      <c r="BO41" s="62"/>
      <c r="BP41" s="62"/>
      <c r="BQ41" s="62"/>
      <c r="BR41" s="62"/>
      <c r="BS41" s="62"/>
      <c r="BT41" s="62"/>
      <c r="BU41" s="62"/>
      <c r="BV41" s="62"/>
      <c r="BW41" s="62"/>
      <c r="BX41" s="62"/>
      <c r="BY41" s="62"/>
      <c r="BZ41" s="62"/>
      <c r="CA41" s="62"/>
      <c r="CB41" s="62"/>
      <c r="CC41" s="62"/>
      <c r="CD41" s="62"/>
      <c r="CE41" s="62"/>
      <c r="CF41" s="62"/>
      <c r="CG41" s="62"/>
      <c r="CH41" s="62"/>
      <c r="CI41" s="62"/>
      <c r="CJ41" s="62"/>
      <c r="CK41" s="62"/>
      <c r="CL41" s="62"/>
      <c r="CM41" s="62"/>
      <c r="CN41" s="62"/>
      <c r="CO41" s="62"/>
      <c r="CP41" s="62"/>
      <c r="CQ41" s="62"/>
      <c r="CR41" s="62"/>
      <c r="CS41" s="62"/>
      <c r="CT41" s="62"/>
      <c r="CU41" s="62"/>
      <c r="CV41" s="62"/>
      <c r="CW41" s="62"/>
      <c r="CX41" s="62"/>
      <c r="CY41" s="62"/>
      <c r="CZ41" s="62"/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62"/>
      <c r="DX41" s="62"/>
      <c r="DY41" s="62"/>
      <c r="DZ41" s="62"/>
      <c r="EA41" s="62"/>
      <c r="EB41" s="62"/>
      <c r="EC41" s="62"/>
      <c r="ED41" t="s">
        <v>2</v>
      </c>
    </row>
    <row r="42" spans="2:179" x14ac:dyDescent="0.25">
      <c r="B42" t="s">
        <v>1217</v>
      </c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62"/>
      <c r="AW42" s="62"/>
      <c r="AX42" s="62"/>
      <c r="AY42" s="62"/>
      <c r="AZ42" s="62"/>
      <c r="BA42" s="62"/>
      <c r="BB42" s="62"/>
      <c r="BC42" s="62"/>
      <c r="BD42" s="62"/>
      <c r="BE42" s="62"/>
      <c r="BF42" s="62"/>
      <c r="BG42" s="62"/>
      <c r="BH42" s="62"/>
      <c r="BI42" s="62"/>
      <c r="BJ42" s="62"/>
      <c r="BK42" s="62"/>
      <c r="BL42" s="62"/>
      <c r="BM42" s="62"/>
      <c r="BN42" s="62"/>
      <c r="BO42" s="62"/>
      <c r="BP42" s="62"/>
      <c r="BQ42" s="62"/>
      <c r="BR42" s="62"/>
      <c r="BS42" s="62"/>
      <c r="BT42" s="62"/>
      <c r="BU42" s="62"/>
      <c r="BV42" s="62"/>
      <c r="BW42" s="62"/>
      <c r="BX42" s="62"/>
      <c r="BY42" s="62"/>
      <c r="BZ42" s="62"/>
      <c r="CA42" s="62"/>
      <c r="CB42" s="62"/>
      <c r="CC42" s="62"/>
      <c r="CD42" s="62"/>
      <c r="CE42" s="62"/>
      <c r="CF42" s="62"/>
      <c r="CG42" s="62"/>
      <c r="CH42" s="62"/>
      <c r="CI42" s="62"/>
      <c r="CJ42" s="62"/>
      <c r="CK42" s="62"/>
      <c r="CL42" s="62"/>
      <c r="CM42" s="62"/>
      <c r="CN42" s="62"/>
      <c r="CO42" s="62"/>
      <c r="CP42" s="62"/>
      <c r="CQ42" s="62"/>
      <c r="CR42" s="62"/>
      <c r="CS42" s="62"/>
      <c r="CT42" s="62"/>
      <c r="CU42" s="62"/>
      <c r="CV42" s="62"/>
      <c r="CW42" s="62"/>
      <c r="CX42" s="62"/>
      <c r="CY42" s="62"/>
      <c r="CZ42" s="62"/>
      <c r="DA42" s="62"/>
      <c r="DB42" s="62"/>
      <c r="DC42" s="62"/>
      <c r="DD42" s="62"/>
      <c r="DE42" s="62"/>
      <c r="DF42" s="62"/>
      <c r="DG42" s="62"/>
      <c r="DH42" s="62"/>
      <c r="DI42" s="62"/>
      <c r="DJ42" s="62"/>
      <c r="DK42" s="62"/>
      <c r="DL42" s="62"/>
      <c r="DM42" s="62"/>
      <c r="DN42" s="62"/>
      <c r="DO42" s="62"/>
      <c r="DP42" s="62"/>
      <c r="DQ42" s="62"/>
      <c r="DR42" s="62"/>
      <c r="DS42" s="62"/>
      <c r="DT42" s="62"/>
      <c r="DU42" s="62"/>
      <c r="DV42" s="62"/>
      <c r="DW42" s="62"/>
      <c r="DX42" s="62"/>
      <c r="DY42" s="62"/>
      <c r="DZ42" t="s">
        <v>2</v>
      </c>
    </row>
    <row r="43" spans="2:179" x14ac:dyDescent="0.25">
      <c r="B43" t="s">
        <v>21</v>
      </c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  <c r="AX43" t="s">
        <v>2</v>
      </c>
    </row>
    <row r="44" spans="2:179" x14ac:dyDescent="0.25">
      <c r="B44" t="s">
        <v>1702</v>
      </c>
      <c r="C44" s="62"/>
      <c r="D44" s="62"/>
      <c r="E44" s="62"/>
      <c r="F44" s="62"/>
      <c r="G44" s="62"/>
      <c r="H44" s="62"/>
      <c r="I44" s="62"/>
      <c r="J44" s="62"/>
      <c r="K44" s="62"/>
      <c r="L44" s="67" t="s">
        <v>2</v>
      </c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  <c r="BM44" s="67"/>
      <c r="BN44" s="67"/>
      <c r="BO44" s="67"/>
      <c r="BP44" s="67"/>
      <c r="BQ44" s="67"/>
      <c r="BR44" s="67"/>
      <c r="BS44" s="67"/>
      <c r="BT44" s="67"/>
      <c r="BU44" s="67"/>
      <c r="BV44" s="67"/>
      <c r="BW44" s="67"/>
      <c r="BX44" s="67"/>
      <c r="BY44" s="67"/>
      <c r="BZ44" s="67"/>
      <c r="CA44" s="67"/>
      <c r="CB44" s="67"/>
      <c r="CC44" s="67"/>
      <c r="CD44" s="67"/>
      <c r="CE44" s="67"/>
      <c r="CF44" s="67"/>
      <c r="CG44" s="67"/>
      <c r="CH44" s="67"/>
      <c r="CI44" s="67"/>
      <c r="CJ44" s="67"/>
      <c r="CK44" s="67"/>
      <c r="CL44" s="67"/>
      <c r="CM44" s="67"/>
      <c r="CN44" s="67"/>
      <c r="CO44" s="67"/>
      <c r="CP44" s="67"/>
      <c r="CQ44" s="67"/>
      <c r="CR44" s="67"/>
      <c r="CS44" s="67"/>
      <c r="CT44" s="67"/>
      <c r="CU44" s="67"/>
      <c r="CV44" s="67"/>
      <c r="CW44" s="67"/>
      <c r="CX44" s="67"/>
      <c r="CY44" s="67"/>
      <c r="CZ44" s="67"/>
      <c r="DA44" s="67"/>
      <c r="DB44" s="67"/>
      <c r="DC44" s="67"/>
      <c r="DD44" s="67"/>
      <c r="DE44" s="67"/>
      <c r="DF44" s="67"/>
      <c r="DG44" s="67"/>
      <c r="DH44" s="67"/>
      <c r="DI44" s="67"/>
      <c r="DJ44" s="67"/>
      <c r="DK44" s="67"/>
      <c r="DL44" s="67"/>
      <c r="DM44" s="67"/>
      <c r="DN44" s="67"/>
      <c r="DO44" s="67"/>
      <c r="DP44" s="67"/>
      <c r="DQ44" s="67"/>
      <c r="DR44" s="67"/>
      <c r="DS44" s="67"/>
      <c r="DT44" s="67"/>
      <c r="DU44" s="67"/>
      <c r="DV44" s="67"/>
      <c r="DW44" s="67"/>
      <c r="DX44" s="67"/>
      <c r="DY44" s="67"/>
      <c r="DZ44" s="67"/>
      <c r="EA44" s="67"/>
      <c r="EB44" s="67"/>
      <c r="EC44" s="67"/>
      <c r="ED44" s="67"/>
      <c r="EE44" s="67"/>
      <c r="EF44" s="67"/>
      <c r="EG44" s="67"/>
      <c r="EH44" s="67"/>
      <c r="EI44" s="67"/>
      <c r="EJ44" s="67"/>
      <c r="EK44" s="67"/>
      <c r="EL44" s="67"/>
      <c r="EM44" s="67" t="s">
        <v>1707</v>
      </c>
      <c r="EN44" s="119" t="s">
        <v>1709</v>
      </c>
      <c r="EO44" s="116"/>
      <c r="EP44" s="116"/>
      <c r="EQ44" s="119" t="s">
        <v>1709</v>
      </c>
      <c r="ER44" s="116"/>
      <c r="ES44" s="116"/>
      <c r="ET44" s="116"/>
      <c r="EU44" s="119" t="s">
        <v>1709</v>
      </c>
      <c r="EV44" s="116"/>
      <c r="EW44" s="116"/>
      <c r="EX44" s="116"/>
      <c r="EY44" s="116"/>
      <c r="EZ44" s="116"/>
    </row>
    <row r="45" spans="2:179" x14ac:dyDescent="0.25">
      <c r="B45" t="s">
        <v>31</v>
      </c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6" t="s">
        <v>1703</v>
      </c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 t="s">
        <v>1705</v>
      </c>
      <c r="BA45" s="66" t="s">
        <v>1704</v>
      </c>
      <c r="BB45" s="66"/>
      <c r="BC45" s="66"/>
      <c r="BD45" s="66"/>
      <c r="BE45" s="66"/>
      <c r="BF45" s="66"/>
      <c r="BG45" s="66"/>
      <c r="BH45" s="66"/>
      <c r="BI45" s="66"/>
      <c r="BJ45" s="66"/>
      <c r="BK45" s="66"/>
      <c r="BL45" s="66"/>
      <c r="BM45" s="66"/>
      <c r="BN45" s="66"/>
      <c r="BO45" s="66"/>
      <c r="BP45" s="66"/>
      <c r="BQ45" s="66"/>
      <c r="BR45" s="66"/>
      <c r="BS45" s="66"/>
      <c r="BT45" s="66"/>
      <c r="BU45" s="66"/>
      <c r="BV45" s="66"/>
      <c r="BW45" s="66"/>
      <c r="BX45" s="66"/>
      <c r="BY45" s="66"/>
      <c r="BZ45" s="66"/>
      <c r="CA45" s="66"/>
      <c r="CB45" s="66"/>
      <c r="CC45" s="66"/>
      <c r="CD45" s="66"/>
      <c r="CE45" s="66" t="s">
        <v>1706</v>
      </c>
      <c r="CF45" s="66"/>
      <c r="CG45" s="66"/>
      <c r="CH45" s="66"/>
      <c r="CI45" s="66"/>
      <c r="CJ45" s="66"/>
      <c r="CK45" s="66"/>
      <c r="CL45" s="66"/>
      <c r="CM45" s="66"/>
      <c r="CN45" s="66"/>
      <c r="CO45" s="66"/>
      <c r="CP45" s="66"/>
      <c r="CQ45" s="66"/>
      <c r="CR45" s="66"/>
      <c r="CS45" s="66"/>
      <c r="CT45" s="66"/>
      <c r="CU45" s="66"/>
      <c r="CV45" s="66"/>
      <c r="CW45" s="66"/>
      <c r="CX45" s="66"/>
      <c r="CY45" s="66"/>
      <c r="CZ45" s="66"/>
      <c r="DA45" s="66"/>
      <c r="DB45" s="66"/>
      <c r="DC45" s="66"/>
      <c r="DD45" s="66"/>
      <c r="DE45" s="66"/>
      <c r="DF45" s="66"/>
      <c r="DG45" s="66"/>
      <c r="DH45" s="66"/>
      <c r="DI45" s="66"/>
      <c r="DJ45" s="66"/>
      <c r="DK45" s="66"/>
      <c r="DL45" s="66"/>
      <c r="DM45" s="66"/>
      <c r="DN45" s="66"/>
      <c r="DO45" s="66"/>
      <c r="DP45" s="66"/>
      <c r="DQ45" s="66"/>
      <c r="DR45" s="66"/>
      <c r="DS45" s="66"/>
      <c r="DT45" s="66"/>
      <c r="DU45" s="66"/>
      <c r="DV45" s="66"/>
      <c r="DW45" s="66"/>
      <c r="DX45" s="66"/>
      <c r="DY45" s="66"/>
      <c r="DZ45" s="66"/>
      <c r="EA45" s="66"/>
      <c r="EB45" s="66"/>
      <c r="EC45" s="66"/>
      <c r="ED45" s="66"/>
      <c r="EE45" s="66"/>
      <c r="EF45" s="66"/>
      <c r="EG45" s="66"/>
      <c r="EH45" s="66"/>
      <c r="EI45" s="66"/>
      <c r="EJ45" s="66"/>
      <c r="EK45" s="66"/>
      <c r="EL45" s="66"/>
      <c r="EM45" s="67" t="s">
        <v>1708</v>
      </c>
      <c r="EN45" s="119"/>
      <c r="EO45" s="116"/>
      <c r="EP45" s="116"/>
      <c r="EQ45" s="119"/>
      <c r="ER45" s="116"/>
      <c r="ES45" s="116"/>
      <c r="ET45" s="116"/>
      <c r="EU45" s="119"/>
      <c r="EV45" s="116"/>
      <c r="EW45" s="116"/>
      <c r="EX45" s="116"/>
      <c r="EY45" s="116"/>
      <c r="EZ45" s="116"/>
    </row>
    <row r="46" spans="2:179" x14ac:dyDescent="0.25">
      <c r="B46" t="s">
        <v>35</v>
      </c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62"/>
      <c r="BD46" s="62"/>
      <c r="BE46" s="62"/>
      <c r="BF46" s="62"/>
      <c r="BG46" s="62"/>
      <c r="BH46" s="62"/>
      <c r="BI46" s="62"/>
      <c r="BJ46" s="62"/>
      <c r="BK46" s="62"/>
      <c r="BL46" s="62"/>
      <c r="BM46" s="62"/>
      <c r="BN46" s="62"/>
      <c r="BO46" s="62"/>
      <c r="BP46" s="62"/>
      <c r="BQ46" s="62"/>
      <c r="BR46" s="62"/>
      <c r="BS46" s="62"/>
      <c r="BT46" s="62"/>
      <c r="BU46" s="62"/>
      <c r="BV46" s="62"/>
      <c r="BW46" s="62"/>
      <c r="BX46" s="62"/>
      <c r="BY46" s="62"/>
      <c r="BZ46" s="62"/>
      <c r="CA46" s="62"/>
      <c r="CB46" s="62"/>
      <c r="CC46" s="62"/>
      <c r="CD46" s="62"/>
      <c r="CE46" s="62"/>
      <c r="CF46" s="62"/>
      <c r="CG46" s="62"/>
      <c r="CH46" s="62"/>
      <c r="CI46" s="62"/>
      <c r="CJ46" s="62"/>
      <c r="CK46" s="62"/>
      <c r="CL46" s="62"/>
      <c r="CM46" s="62"/>
      <c r="CN46" s="62"/>
      <c r="CO46" s="62"/>
      <c r="CP46" s="62"/>
      <c r="CQ46" s="62"/>
      <c r="CR46" s="62"/>
      <c r="CS46" s="62"/>
      <c r="CT46" s="62"/>
      <c r="CU46" s="62"/>
      <c r="CV46" s="62"/>
      <c r="CW46" s="62"/>
      <c r="CX46" s="62"/>
      <c r="CY46" s="62"/>
      <c r="CZ46" s="62"/>
      <c r="DA46" s="62"/>
      <c r="DB46" s="62"/>
      <c r="DC46" s="62"/>
      <c r="DD46" s="62"/>
      <c r="DE46" s="62"/>
      <c r="DF46" s="62"/>
      <c r="DG46" s="62"/>
      <c r="DH46" s="62"/>
      <c r="DI46" s="62"/>
      <c r="DJ46" s="62"/>
      <c r="DK46" s="62"/>
      <c r="DL46" s="62"/>
      <c r="DM46" s="62"/>
      <c r="DN46" s="62"/>
      <c r="DO46" s="62"/>
      <c r="DP46" s="62"/>
      <c r="DQ46" s="62"/>
      <c r="DR46" s="62"/>
      <c r="DS46" s="62"/>
      <c r="DT46" s="62"/>
      <c r="DU46" s="62"/>
      <c r="DV46" s="62"/>
      <c r="DW46" s="69" t="s">
        <v>1725</v>
      </c>
      <c r="DX46" s="69"/>
      <c r="DY46" s="69"/>
      <c r="DZ46" s="69"/>
      <c r="EA46" s="69"/>
      <c r="EB46" s="69"/>
      <c r="EC46" s="69"/>
      <c r="ED46" s="69"/>
      <c r="EE46" s="69"/>
      <c r="EF46" s="69"/>
      <c r="EG46" s="69"/>
      <c r="EH46" s="69"/>
      <c r="EI46" s="69"/>
      <c r="EJ46" s="69"/>
      <c r="EK46" s="69"/>
      <c r="EL46" s="69"/>
      <c r="EM46" s="69"/>
      <c r="EN46" s="69"/>
      <c r="EO46" s="69"/>
      <c r="EP46" s="69"/>
      <c r="EQ46" s="69"/>
      <c r="ER46" s="69"/>
      <c r="ES46" s="69"/>
      <c r="ET46" s="69"/>
      <c r="EU46" s="69"/>
      <c r="EV46" s="69"/>
      <c r="EW46" s="69"/>
      <c r="EX46" s="120" t="s">
        <v>1726</v>
      </c>
      <c r="EY46" s="120"/>
      <c r="EZ46" s="120" t="s">
        <v>1726</v>
      </c>
      <c r="FA46" s="120"/>
      <c r="FB46" s="120" t="s">
        <v>1726</v>
      </c>
      <c r="FC46" s="120"/>
    </row>
    <row r="47" spans="2:179" x14ac:dyDescent="0.25">
      <c r="B47" t="s">
        <v>1717</v>
      </c>
      <c r="C47" s="64" t="s">
        <v>1718</v>
      </c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64"/>
      <c r="BS47" s="64"/>
      <c r="BT47" s="64"/>
      <c r="BU47" s="64"/>
      <c r="BV47" s="64"/>
      <c r="BW47" s="64"/>
      <c r="BX47" s="64"/>
      <c r="BY47" s="64"/>
      <c r="BZ47" s="64"/>
      <c r="CA47" s="64"/>
      <c r="CB47" s="64"/>
      <c r="CC47" s="64"/>
      <c r="CD47" s="64"/>
      <c r="CE47" s="64"/>
      <c r="CF47" s="64"/>
      <c r="CG47" s="64"/>
      <c r="CH47" s="64"/>
      <c r="CI47" s="64"/>
      <c r="CJ47" s="64"/>
      <c r="CK47" s="64"/>
      <c r="CL47" s="64"/>
      <c r="CM47" s="64"/>
      <c r="CN47" s="64"/>
      <c r="CO47" s="64"/>
      <c r="CP47" s="64"/>
      <c r="CQ47" s="64"/>
      <c r="CR47" s="64"/>
      <c r="CS47" s="64"/>
      <c r="CT47" s="64"/>
      <c r="CU47" s="64"/>
      <c r="CV47" s="64"/>
      <c r="CW47" s="64"/>
      <c r="CX47" s="64"/>
      <c r="CY47" s="64"/>
      <c r="CZ47" s="64"/>
      <c r="DA47" s="64"/>
      <c r="DB47" s="64"/>
      <c r="DC47" s="64"/>
      <c r="DD47" s="64"/>
      <c r="DE47" s="64"/>
      <c r="DF47" s="64"/>
      <c r="DG47" s="64"/>
      <c r="DH47" s="64"/>
      <c r="DI47" s="64"/>
      <c r="DJ47" s="64"/>
      <c r="DK47" s="64"/>
      <c r="DL47" s="64"/>
      <c r="DM47" s="64"/>
      <c r="DN47" s="64"/>
      <c r="DO47" s="64"/>
      <c r="DP47" s="64"/>
      <c r="DQ47" s="64"/>
      <c r="DR47" s="64"/>
      <c r="DS47" s="64"/>
      <c r="DT47" s="64" t="s">
        <v>1720</v>
      </c>
      <c r="DU47" s="117" t="s">
        <v>1715</v>
      </c>
      <c r="DV47" s="118"/>
      <c r="DW47" s="118"/>
      <c r="DX47" s="118"/>
      <c r="DY47" s="118"/>
      <c r="DZ47" s="118"/>
      <c r="EA47" s="118"/>
      <c r="EB47" s="118"/>
      <c r="EC47" s="118"/>
      <c r="ED47" s="118"/>
      <c r="EE47" s="118"/>
      <c r="EF47" s="118"/>
      <c r="EG47" s="118"/>
      <c r="EH47" s="118"/>
      <c r="EI47" s="118"/>
      <c r="EJ47" s="118"/>
      <c r="EK47" s="118"/>
      <c r="EL47" s="118"/>
      <c r="EM47" s="118"/>
      <c r="EN47" s="118"/>
      <c r="EO47" s="118"/>
      <c r="EP47" s="118"/>
      <c r="EQ47" s="118"/>
      <c r="ER47" s="118"/>
      <c r="ES47" s="118"/>
      <c r="ET47" s="118"/>
      <c r="EU47" s="118"/>
      <c r="EV47" s="118"/>
      <c r="EW47" s="121" t="s">
        <v>1722</v>
      </c>
      <c r="EX47" s="120"/>
      <c r="EY47" s="120"/>
      <c r="EZ47" s="120"/>
      <c r="FA47" s="120"/>
      <c r="FB47" s="120"/>
      <c r="FC47" s="120"/>
    </row>
    <row r="48" spans="2:179" x14ac:dyDescent="0.25">
      <c r="B48" t="s">
        <v>1719</v>
      </c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8" t="s">
        <v>2</v>
      </c>
      <c r="BB48" s="68"/>
      <c r="BC48" s="68"/>
      <c r="BD48" s="68"/>
      <c r="BE48" s="68"/>
      <c r="BF48" s="68"/>
      <c r="BG48" s="68"/>
      <c r="BH48" s="68"/>
      <c r="BI48" s="68"/>
      <c r="BJ48" s="68"/>
      <c r="BK48" s="68"/>
      <c r="BL48" s="68"/>
      <c r="BM48" s="68"/>
      <c r="BN48" s="68"/>
      <c r="BO48" s="68"/>
      <c r="BP48" s="68"/>
      <c r="BQ48" s="68"/>
      <c r="BR48" s="68"/>
      <c r="BS48" s="68"/>
      <c r="BT48" s="68"/>
      <c r="BU48" s="68"/>
      <c r="BV48" s="68"/>
      <c r="BW48" s="68"/>
      <c r="BX48" s="68"/>
      <c r="BY48" s="68"/>
      <c r="BZ48" s="68"/>
      <c r="CA48" s="68"/>
      <c r="CB48" s="68"/>
      <c r="CC48" s="68"/>
      <c r="CD48" s="68"/>
      <c r="CE48" s="68"/>
      <c r="CF48" s="68"/>
      <c r="CG48" s="68"/>
      <c r="CH48" s="68"/>
      <c r="CI48" s="68"/>
      <c r="CJ48" s="68"/>
      <c r="CK48" s="68"/>
      <c r="CL48" s="68"/>
      <c r="CM48" s="68"/>
      <c r="CN48" s="68"/>
      <c r="CO48" s="68"/>
      <c r="CP48" s="68"/>
      <c r="CQ48" s="68"/>
      <c r="CR48" s="68"/>
      <c r="CS48" s="68"/>
      <c r="CT48" s="68"/>
      <c r="CU48" s="68"/>
      <c r="CV48" s="68"/>
      <c r="CW48" s="68"/>
      <c r="CX48" s="68"/>
      <c r="CY48" s="68"/>
      <c r="CZ48" s="68"/>
      <c r="DA48" s="68"/>
      <c r="DB48" s="68"/>
      <c r="DC48" s="68"/>
      <c r="DD48" s="68"/>
      <c r="DE48" s="68"/>
      <c r="DF48" s="68"/>
      <c r="DG48" s="68"/>
      <c r="DH48" s="68"/>
      <c r="DI48" s="68"/>
      <c r="DJ48" s="68"/>
      <c r="DK48" s="68"/>
      <c r="DL48" s="68"/>
      <c r="DM48" s="68"/>
      <c r="DN48" s="68"/>
      <c r="DO48" s="68"/>
      <c r="DP48" s="68"/>
      <c r="DQ48" s="68"/>
      <c r="DR48" s="68"/>
      <c r="DS48" s="68"/>
      <c r="DT48" s="68" t="s">
        <v>1721</v>
      </c>
      <c r="DU48" s="117"/>
      <c r="DV48" s="118"/>
      <c r="DW48" s="118"/>
      <c r="DX48" s="118"/>
      <c r="DY48" s="118"/>
      <c r="DZ48" s="118"/>
      <c r="EA48" s="118"/>
      <c r="EB48" s="118"/>
      <c r="EC48" s="118"/>
      <c r="ED48" s="118"/>
      <c r="EE48" s="118"/>
      <c r="EF48" s="118"/>
      <c r="EG48" s="118"/>
      <c r="EH48" s="118"/>
      <c r="EI48" s="118"/>
      <c r="EJ48" s="118"/>
      <c r="EK48" s="118"/>
      <c r="EL48" s="118"/>
      <c r="EM48" s="118"/>
      <c r="EN48" s="118"/>
      <c r="EO48" s="118"/>
      <c r="EP48" s="118"/>
      <c r="EQ48" s="118"/>
      <c r="ER48" s="118"/>
      <c r="ES48" s="118"/>
      <c r="ET48" s="118"/>
      <c r="EU48" s="118"/>
      <c r="EV48" s="118"/>
      <c r="EW48" s="121"/>
      <c r="EX48" s="120"/>
      <c r="EY48" s="120"/>
      <c r="EZ48" s="120"/>
      <c r="FA48" s="120"/>
      <c r="FB48" s="120"/>
      <c r="FC48" s="120"/>
    </row>
    <row r="49" spans="2:77" x14ac:dyDescent="0.25">
      <c r="B49" t="s">
        <v>1711</v>
      </c>
    </row>
    <row r="50" spans="2:77" x14ac:dyDescent="0.25">
      <c r="B50" t="s">
        <v>1712</v>
      </c>
    </row>
    <row r="51" spans="2:77" x14ac:dyDescent="0.25">
      <c r="B51" t="s">
        <v>1713</v>
      </c>
    </row>
    <row r="52" spans="2:77" x14ac:dyDescent="0.25">
      <c r="B52" t="s">
        <v>1714</v>
      </c>
    </row>
    <row r="53" spans="2:77" x14ac:dyDescent="0.25">
      <c r="B53" t="s">
        <v>1716</v>
      </c>
    </row>
    <row r="54" spans="2:77" x14ac:dyDescent="0.25">
      <c r="B54" t="s">
        <v>1723</v>
      </c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t="s">
        <v>2</v>
      </c>
    </row>
    <row r="55" spans="2:77" x14ac:dyDescent="0.25">
      <c r="B55" t="s">
        <v>1724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t="s">
        <v>2</v>
      </c>
    </row>
    <row r="56" spans="2:77" x14ac:dyDescent="0.25">
      <c r="B56" t="s">
        <v>19</v>
      </c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t="s">
        <v>2</v>
      </c>
    </row>
    <row r="57" spans="2:77" x14ac:dyDescent="0.25">
      <c r="B57" t="s">
        <v>1252</v>
      </c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</row>
    <row r="58" spans="2:77" x14ac:dyDescent="0.25">
      <c r="B58" t="s">
        <v>1249</v>
      </c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  <c r="BA58" s="62"/>
      <c r="BB58" s="62"/>
      <c r="BC58" s="62"/>
      <c r="BD58" s="62"/>
      <c r="BE58" s="62"/>
      <c r="BF58" s="62"/>
      <c r="BG58" s="62"/>
      <c r="BH58" s="62"/>
      <c r="BI58" s="62"/>
      <c r="BJ58" s="62"/>
      <c r="BK58" s="62"/>
      <c r="BL58" s="62"/>
      <c r="BM58" s="62"/>
      <c r="BN58" s="62"/>
      <c r="BO58" s="62"/>
      <c r="BP58" s="62"/>
      <c r="BQ58" s="62"/>
    </row>
    <row r="59" spans="2:77" x14ac:dyDescent="0.25">
      <c r="B59" t="s">
        <v>25</v>
      </c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  <c r="BD59" s="62"/>
      <c r="BE59" s="62"/>
      <c r="BF59" s="62"/>
      <c r="BG59" s="62"/>
      <c r="BH59" s="62"/>
      <c r="BI59" s="62"/>
      <c r="BJ59" s="62"/>
      <c r="BK59" s="62"/>
      <c r="BL59" s="62"/>
      <c r="BM59" s="62"/>
      <c r="BN59" s="62"/>
      <c r="BO59" s="62"/>
      <c r="BP59" s="62"/>
      <c r="BQ59" s="62"/>
      <c r="BR59" s="62"/>
      <c r="BS59" s="62"/>
      <c r="BT59" s="62"/>
      <c r="BU59" s="62"/>
      <c r="BV59" s="62"/>
      <c r="BW59" s="62"/>
      <c r="BX59" s="62"/>
      <c r="BY59" t="s">
        <v>2</v>
      </c>
    </row>
    <row r="60" spans="2:77" x14ac:dyDescent="0.25">
      <c r="B60" t="s">
        <v>61</v>
      </c>
    </row>
    <row r="61" spans="2:77" x14ac:dyDescent="0.25">
      <c r="B61" t="s">
        <v>1256</v>
      </c>
    </row>
    <row r="62" spans="2:77" x14ac:dyDescent="0.25">
      <c r="B62" t="s">
        <v>1235</v>
      </c>
    </row>
    <row r="63" spans="2:77" x14ac:dyDescent="0.25">
      <c r="B63" t="s">
        <v>1234</v>
      </c>
    </row>
    <row r="64" spans="2:77" x14ac:dyDescent="0.25">
      <c r="B64" t="s">
        <v>254</v>
      </c>
    </row>
    <row r="65" spans="2:120" x14ac:dyDescent="0.25">
      <c r="B65" t="s">
        <v>51</v>
      </c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  <c r="AW65" s="62"/>
      <c r="AX65" s="62"/>
      <c r="AY65" s="62"/>
      <c r="AZ65" s="62"/>
      <c r="BA65" s="62"/>
      <c r="BB65" s="62"/>
      <c r="BC65" s="62"/>
      <c r="BD65" s="62"/>
      <c r="BE65" s="62"/>
      <c r="BF65" s="62"/>
      <c r="BG65" s="62"/>
      <c r="BH65" s="62"/>
      <c r="BI65" s="62"/>
      <c r="BJ65" s="62"/>
      <c r="BK65" s="62"/>
      <c r="BL65" s="62"/>
      <c r="BM65" s="62"/>
      <c r="BN65" s="62"/>
      <c r="BO65" s="62"/>
      <c r="BP65" s="62"/>
      <c r="BQ65" s="62"/>
      <c r="BR65" s="62"/>
      <c r="BS65" s="62"/>
      <c r="BT65" s="62"/>
      <c r="BU65" s="62"/>
      <c r="BV65" s="62"/>
      <c r="BW65" s="62"/>
      <c r="BX65" s="62"/>
      <c r="BY65" s="62"/>
      <c r="BZ65" s="62"/>
      <c r="CA65" s="62"/>
      <c r="CB65" s="62"/>
      <c r="CC65" s="62"/>
      <c r="CD65" s="62"/>
      <c r="CE65" s="62"/>
      <c r="CF65" s="62"/>
      <c r="CG65" s="62"/>
      <c r="CH65" s="62"/>
      <c r="CI65" s="62"/>
      <c r="CJ65" s="62"/>
      <c r="CK65" s="62"/>
      <c r="CL65" s="62"/>
      <c r="CM65" s="62"/>
      <c r="CN65" s="62"/>
      <c r="CO65" s="62"/>
      <c r="CP65" s="62"/>
      <c r="CQ65" s="62"/>
      <c r="CR65" s="62"/>
      <c r="CS65" s="62"/>
      <c r="CT65" s="62"/>
      <c r="CU65" s="62"/>
      <c r="CV65" s="62"/>
      <c r="CW65" s="62"/>
      <c r="CX65" s="62"/>
      <c r="CY65" s="62"/>
      <c r="CZ65" s="62"/>
      <c r="DA65" s="62"/>
      <c r="DB65" s="62"/>
      <c r="DC65" s="62"/>
      <c r="DD65" s="62"/>
      <c r="DE65" s="62"/>
      <c r="DF65" s="62"/>
      <c r="DG65" s="62"/>
    </row>
    <row r="66" spans="2:120" x14ac:dyDescent="0.25">
      <c r="B66" t="s">
        <v>262</v>
      </c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  <c r="AR66" s="62"/>
      <c r="AS66" s="62"/>
      <c r="AT66" s="62"/>
      <c r="AU66" s="62"/>
      <c r="AV66" s="62"/>
      <c r="AW66" s="62"/>
      <c r="AX66" s="62"/>
      <c r="AY66" s="62"/>
      <c r="AZ66" s="62"/>
      <c r="BA66" s="62"/>
      <c r="BB66" s="62"/>
      <c r="BC66" s="62"/>
      <c r="BD66" s="62"/>
      <c r="BE66" s="62"/>
      <c r="BF66" s="62"/>
      <c r="BG66" s="62"/>
      <c r="BH66" s="62"/>
      <c r="BI66" s="62"/>
      <c r="BJ66" s="62"/>
      <c r="BK66" s="62"/>
      <c r="BL66" s="62"/>
      <c r="BM66" s="62"/>
      <c r="BN66" s="62"/>
      <c r="BO66" s="62"/>
      <c r="BP66" s="62"/>
      <c r="BQ66" s="62"/>
      <c r="BR66" s="62"/>
      <c r="BS66" s="62"/>
      <c r="BT66" s="62"/>
      <c r="BU66" s="62"/>
      <c r="BV66" s="62"/>
      <c r="BW66" s="62"/>
      <c r="BX66" s="62"/>
      <c r="BY66" s="62"/>
      <c r="BZ66" s="62"/>
      <c r="CA66" s="62"/>
      <c r="CB66" s="62"/>
      <c r="CC66" s="62"/>
      <c r="CD66" s="62"/>
      <c r="CE66" s="62"/>
      <c r="CF66" s="62"/>
      <c r="CG66" s="62"/>
      <c r="CH66" s="62"/>
      <c r="CI66" s="62"/>
      <c r="CJ66" s="62"/>
      <c r="CK66" s="62"/>
      <c r="CL66" s="62"/>
      <c r="CM66" s="62"/>
      <c r="CN66" s="62"/>
      <c r="CO66" s="62"/>
      <c r="CP66" s="62"/>
      <c r="CQ66" s="62"/>
      <c r="CR66" s="62"/>
      <c r="CS66" s="62"/>
      <c r="CT66" s="62"/>
      <c r="CU66" s="62"/>
      <c r="CV66" s="62"/>
      <c r="CW66" s="62"/>
      <c r="CX66" s="62"/>
      <c r="CY66" s="62"/>
      <c r="CZ66" s="62"/>
      <c r="DA66" s="62"/>
      <c r="DB66" s="62"/>
      <c r="DC66" s="62"/>
      <c r="DD66" s="62"/>
      <c r="DE66" s="62"/>
      <c r="DF66" s="62"/>
      <c r="DG66" s="62"/>
      <c r="DH66" s="62"/>
      <c r="DI66" s="62"/>
      <c r="DJ66" s="62"/>
      <c r="DK66" s="62"/>
      <c r="DL66" s="62"/>
      <c r="DM66" s="62"/>
      <c r="DN66" s="62"/>
      <c r="DO66" s="62"/>
      <c r="DP66" s="62"/>
    </row>
  </sheetData>
  <mergeCells count="293">
    <mergeCell ref="FU7:FU25"/>
    <mergeCell ref="FV7:FV26"/>
    <mergeCell ref="FW7:FW26"/>
    <mergeCell ref="FO7:FO23"/>
    <mergeCell ref="FP7:FP23"/>
    <mergeCell ref="FQ7:FQ23"/>
    <mergeCell ref="FR7:FR23"/>
    <mergeCell ref="FS7:FS23"/>
    <mergeCell ref="FT7:FT23"/>
    <mergeCell ref="FJ7:FJ22"/>
    <mergeCell ref="FK7:FK22"/>
    <mergeCell ref="FL7:FL22"/>
    <mergeCell ref="FM7:FM22"/>
    <mergeCell ref="EQ16:EQ19"/>
    <mergeCell ref="ER16:ER19"/>
    <mergeCell ref="EX7:EX11"/>
    <mergeCell ref="EY7:EY11"/>
    <mergeCell ref="EZ7:EZ11"/>
    <mergeCell ref="FA7:FA11"/>
    <mergeCell ref="FB16:FB21"/>
    <mergeCell ref="ES16:ES21"/>
    <mergeCell ref="ET16:ET21"/>
    <mergeCell ref="EU16:EU21"/>
    <mergeCell ref="EV16:EV21"/>
    <mergeCell ref="ER20:ER21"/>
    <mergeCell ref="FB7:FB15"/>
    <mergeCell ref="EW9:EW10"/>
    <mergeCell ref="EY12:EY15"/>
    <mergeCell ref="EZ12:EZ15"/>
    <mergeCell ref="FA12:FA15"/>
    <mergeCell ref="ET13:ET15"/>
    <mergeCell ref="FF7:FF15"/>
    <mergeCell ref="FG7:FG15"/>
    <mergeCell ref="EW16:EW21"/>
    <mergeCell ref="EX16:EX21"/>
    <mergeCell ref="EY16:EY21"/>
    <mergeCell ref="EZ16:EZ21"/>
    <mergeCell ref="FA16:FA21"/>
    <mergeCell ref="FH7:FH22"/>
    <mergeCell ref="FI7:FI22"/>
    <mergeCell ref="EP16:EP18"/>
    <mergeCell ref="EE16:EE18"/>
    <mergeCell ref="EF16:EF18"/>
    <mergeCell ref="EG16:EG18"/>
    <mergeCell ref="EH16:EH18"/>
    <mergeCell ref="EI16:EI18"/>
    <mergeCell ref="EJ16:EJ18"/>
    <mergeCell ref="EP9:EP10"/>
    <mergeCell ref="EQ9:EQ10"/>
    <mergeCell ref="ER9:ER10"/>
    <mergeCell ref="ES9:ES10"/>
    <mergeCell ref="ET9:ET10"/>
    <mergeCell ref="EU9:EU10"/>
    <mergeCell ref="EJ9:EJ10"/>
    <mergeCell ref="EK9:EK10"/>
    <mergeCell ref="EL9:EL10"/>
    <mergeCell ref="EM9:EM10"/>
    <mergeCell ref="FN7:FN22"/>
    <mergeCell ref="DF13:DF14"/>
    <mergeCell ref="DG13:DG14"/>
    <mergeCell ref="DH13:DH14"/>
    <mergeCell ref="DI13:DI14"/>
    <mergeCell ref="DJ13:DJ14"/>
    <mergeCell ref="DK13:DK14"/>
    <mergeCell ref="DL13:DL14"/>
    <mergeCell ref="DM13:DM14"/>
    <mergeCell ref="FC16:FC21"/>
    <mergeCell ref="FD16:FD21"/>
    <mergeCell ref="FE16:FE21"/>
    <mergeCell ref="FF16:FF21"/>
    <mergeCell ref="FG16:FG21"/>
    <mergeCell ref="FC7:FC15"/>
    <mergeCell ref="FD7:FD15"/>
    <mergeCell ref="FE7:FE15"/>
    <mergeCell ref="DY16:DY18"/>
    <mergeCell ref="DZ16:DZ18"/>
    <mergeCell ref="EA16:EA18"/>
    <mergeCell ref="EB16:EB18"/>
    <mergeCell ref="EC16:EC18"/>
    <mergeCell ref="ED16:ED18"/>
    <mergeCell ref="DS16:DS18"/>
    <mergeCell ref="DT16:DT18"/>
    <mergeCell ref="DU16:DU18"/>
    <mergeCell ref="DV16:DV18"/>
    <mergeCell ref="DW16:DW18"/>
    <mergeCell ref="DX16:DX18"/>
    <mergeCell ref="DN16:DN18"/>
    <mergeCell ref="DO16:DO18"/>
    <mergeCell ref="DP16:DP18"/>
    <mergeCell ref="DQ16:DQ18"/>
    <mergeCell ref="DR16:DR18"/>
    <mergeCell ref="DG16:DG18"/>
    <mergeCell ref="DH16:DH18"/>
    <mergeCell ref="DI16:DI18"/>
    <mergeCell ref="DJ16:DJ18"/>
    <mergeCell ref="DK16:DK18"/>
    <mergeCell ref="DL16:DL18"/>
    <mergeCell ref="DE16:DE18"/>
    <mergeCell ref="DF16:DF18"/>
    <mergeCell ref="CU16:CU18"/>
    <mergeCell ref="CV16:CV18"/>
    <mergeCell ref="CW16:CW18"/>
    <mergeCell ref="CX16:CX18"/>
    <mergeCell ref="CY16:CY18"/>
    <mergeCell ref="CZ16:CZ18"/>
    <mergeCell ref="DD16:DD18"/>
    <mergeCell ref="DM16:DM18"/>
    <mergeCell ref="CS16:CS17"/>
    <mergeCell ref="CT16:CT18"/>
    <mergeCell ref="EO20:EO21"/>
    <mergeCell ref="EP20:EP21"/>
    <mergeCell ref="EQ20:EQ21"/>
    <mergeCell ref="EL20:EL21"/>
    <mergeCell ref="EM20:EM21"/>
    <mergeCell ref="EN20:EN21"/>
    <mergeCell ref="DT20:DT21"/>
    <mergeCell ref="DU20:DU21"/>
    <mergeCell ref="DV20:DV21"/>
    <mergeCell ref="DK20:DK21"/>
    <mergeCell ref="DL20:DL21"/>
    <mergeCell ref="DM20:DM21"/>
    <mergeCell ref="DN20:DN21"/>
    <mergeCell ref="DO20:DO21"/>
    <mergeCell ref="DP20:DP21"/>
    <mergeCell ref="DE20:DE21"/>
    <mergeCell ref="DF20:DF21"/>
    <mergeCell ref="DG20:DG21"/>
    <mergeCell ref="DA16:DA18"/>
    <mergeCell ref="DB16:DB18"/>
    <mergeCell ref="DC16:DC18"/>
    <mergeCell ref="CM16:CM17"/>
    <mergeCell ref="CN16:CN17"/>
    <mergeCell ref="EI20:EI21"/>
    <mergeCell ref="EJ20:EJ21"/>
    <mergeCell ref="EK20:EK21"/>
    <mergeCell ref="EC20:EC21"/>
    <mergeCell ref="ED20:ED21"/>
    <mergeCell ref="EE20:EE21"/>
    <mergeCell ref="EF20:EF21"/>
    <mergeCell ref="EG20:EG21"/>
    <mergeCell ref="EH20:EH21"/>
    <mergeCell ref="DW20:DW21"/>
    <mergeCell ref="DX20:DX21"/>
    <mergeCell ref="DY20:DY21"/>
    <mergeCell ref="DZ20:DZ21"/>
    <mergeCell ref="EA20:EA21"/>
    <mergeCell ref="EB20:EB21"/>
    <mergeCell ref="DQ20:DQ21"/>
    <mergeCell ref="DR20:DR21"/>
    <mergeCell ref="DS20:DS21"/>
    <mergeCell ref="CO16:CO17"/>
    <mergeCell ref="CP16:CP17"/>
    <mergeCell ref="CQ16:CQ17"/>
    <mergeCell ref="CR16:CR17"/>
    <mergeCell ref="DH20:DH21"/>
    <mergeCell ref="DI20:DI21"/>
    <mergeCell ref="DJ20:DJ21"/>
    <mergeCell ref="CY20:CY21"/>
    <mergeCell ref="CZ20:CZ21"/>
    <mergeCell ref="DA20:DA21"/>
    <mergeCell ref="DB20:DB21"/>
    <mergeCell ref="DC20:DC21"/>
    <mergeCell ref="DD20:DD21"/>
    <mergeCell ref="CS20:CS21"/>
    <mergeCell ref="CT20:CT21"/>
    <mergeCell ref="CU20:CU21"/>
    <mergeCell ref="CV20:CV21"/>
    <mergeCell ref="CW20:CW21"/>
    <mergeCell ref="CX20:CX21"/>
    <mergeCell ref="CM20:CM21"/>
    <mergeCell ref="CN20:CN21"/>
    <mergeCell ref="CO20:CO21"/>
    <mergeCell ref="CP20:CP21"/>
    <mergeCell ref="CQ20:CQ21"/>
    <mergeCell ref="CR20:CR21"/>
    <mergeCell ref="CG16:CG17"/>
    <mergeCell ref="CH16:CH17"/>
    <mergeCell ref="CG20:CG21"/>
    <mergeCell ref="CF20:CF21"/>
    <mergeCell ref="CH20:CH21"/>
    <mergeCell ref="CI20:CI21"/>
    <mergeCell ref="CJ20:CJ21"/>
    <mergeCell ref="CK20:CK21"/>
    <mergeCell ref="CL20:CL21"/>
    <mergeCell ref="CI16:CI17"/>
    <mergeCell ref="CJ16:CJ17"/>
    <mergeCell ref="CK16:CK17"/>
    <mergeCell ref="CL16:CL17"/>
    <mergeCell ref="EN9:EN10"/>
    <mergeCell ref="EO9:EO10"/>
    <mergeCell ref="EU13:EU15"/>
    <mergeCell ref="EV13:EV15"/>
    <mergeCell ref="EW13:EW15"/>
    <mergeCell ref="EX12:EX15"/>
    <mergeCell ref="ET7:ET8"/>
    <mergeCell ref="EU7:EU8"/>
    <mergeCell ref="EV7:EV8"/>
    <mergeCell ref="EW7:EW8"/>
    <mergeCell ref="EV9:EV10"/>
    <mergeCell ref="EP13:EP15"/>
    <mergeCell ref="EQ13:EQ15"/>
    <mergeCell ref="ER13:ER15"/>
    <mergeCell ref="ES13:ES15"/>
    <mergeCell ref="EN13:EN15"/>
    <mergeCell ref="EO13:EO15"/>
    <mergeCell ref="EH13:EH15"/>
    <mergeCell ref="EI13:EI15"/>
    <mergeCell ref="EJ13:EJ15"/>
    <mergeCell ref="EK13:EK15"/>
    <mergeCell ref="EL13:EL15"/>
    <mergeCell ref="EM13:EM15"/>
    <mergeCell ref="DX13:DX15"/>
    <mergeCell ref="DY13:DY15"/>
    <mergeCell ref="DZ13:DZ15"/>
    <mergeCell ref="EA13:EA15"/>
    <mergeCell ref="EB13:EB15"/>
    <mergeCell ref="EC13:EC15"/>
    <mergeCell ref="ED13:ED15"/>
    <mergeCell ref="EE13:EE15"/>
    <mergeCell ref="EF13:EF15"/>
    <mergeCell ref="EG13:EG15"/>
    <mergeCell ref="DU13:DU15"/>
    <mergeCell ref="DV13:DV15"/>
    <mergeCell ref="DW13:DW15"/>
    <mergeCell ref="DR13:DR14"/>
    <mergeCell ref="DS13:DS14"/>
    <mergeCell ref="DT13:DT14"/>
    <mergeCell ref="DN13:DN14"/>
    <mergeCell ref="DO13:DO14"/>
    <mergeCell ref="DP13:DP14"/>
    <mergeCell ref="DQ13:DQ14"/>
    <mergeCell ref="EB47:EB48"/>
    <mergeCell ref="FA46:FA48"/>
    <mergeCell ref="FB46:FB48"/>
    <mergeCell ref="FC46:FC48"/>
    <mergeCell ref="ER47:ER48"/>
    <mergeCell ref="ES47:ES48"/>
    <mergeCell ref="ET47:ET48"/>
    <mergeCell ref="EU47:EU48"/>
    <mergeCell ref="EV47:EV48"/>
    <mergeCell ref="EW47:EW48"/>
    <mergeCell ref="EX46:EX48"/>
    <mergeCell ref="EY46:EY48"/>
    <mergeCell ref="EL47:EL48"/>
    <mergeCell ref="EM47:EM48"/>
    <mergeCell ref="EN47:EN48"/>
    <mergeCell ref="EO47:EO48"/>
    <mergeCell ref="EP47:EP48"/>
    <mergeCell ref="EQ47:EQ48"/>
    <mergeCell ref="EF47:EF48"/>
    <mergeCell ref="EG47:EG48"/>
    <mergeCell ref="EH47:EH48"/>
    <mergeCell ref="EI47:EI48"/>
    <mergeCell ref="EJ47:EJ48"/>
    <mergeCell ref="EK47:EK48"/>
    <mergeCell ref="EV44:EV45"/>
    <mergeCell ref="EW44:EW45"/>
    <mergeCell ref="EX44:EX45"/>
    <mergeCell ref="EY44:EY45"/>
    <mergeCell ref="EZ44:EZ45"/>
    <mergeCell ref="DU47:DU48"/>
    <mergeCell ref="DV47:DV48"/>
    <mergeCell ref="DW47:DW48"/>
    <mergeCell ref="DX47:DX48"/>
    <mergeCell ref="DY47:DY48"/>
    <mergeCell ref="EP44:EP45"/>
    <mergeCell ref="EQ44:EQ45"/>
    <mergeCell ref="ER44:ER45"/>
    <mergeCell ref="ES44:ES45"/>
    <mergeCell ref="ET44:ET45"/>
    <mergeCell ref="EU44:EU45"/>
    <mergeCell ref="EZ46:EZ48"/>
    <mergeCell ref="EN44:EN45"/>
    <mergeCell ref="EO44:EO45"/>
    <mergeCell ref="EC47:EC48"/>
    <mergeCell ref="ED47:ED48"/>
    <mergeCell ref="EE47:EE48"/>
    <mergeCell ref="DZ47:DZ48"/>
    <mergeCell ref="EA47:EA48"/>
    <mergeCell ref="EK16:EK18"/>
    <mergeCell ref="EL16:EL18"/>
    <mergeCell ref="EM16:EM18"/>
    <mergeCell ref="EN16:EN18"/>
    <mergeCell ref="EO16:EO18"/>
    <mergeCell ref="DU36:DU37"/>
    <mergeCell ref="DV36:DV37"/>
    <mergeCell ref="DW36:DW37"/>
    <mergeCell ref="DX36:DX37"/>
    <mergeCell ref="DY36:DY37"/>
    <mergeCell ref="DZ36:DZ37"/>
    <mergeCell ref="EA36:EA37"/>
    <mergeCell ref="EB36:EB37"/>
    <mergeCell ref="EC36:EC37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A740C-53EB-498E-9A8B-9D5A98F98362}">
  <dimension ref="A1:B4"/>
  <sheetViews>
    <sheetView zoomScale="145" zoomScaleNormal="145" workbookViewId="0">
      <selection activeCell="A3" sqref="A3"/>
    </sheetView>
  </sheetViews>
  <sheetFormatPr defaultColWidth="8.81640625" defaultRowHeight="12.5" x14ac:dyDescent="0.25"/>
  <cols>
    <col min="1" max="1" width="5" bestFit="1" customWidth="1"/>
  </cols>
  <sheetData>
    <row r="1" spans="1:2" x14ac:dyDescent="0.25">
      <c r="A1" s="5" t="s">
        <v>285</v>
      </c>
    </row>
    <row r="2" spans="1:2" x14ac:dyDescent="0.25">
      <c r="B2" t="s">
        <v>1258</v>
      </c>
    </row>
    <row r="3" spans="1:2" x14ac:dyDescent="0.25">
      <c r="B3" t="s">
        <v>991</v>
      </c>
    </row>
    <row r="4" spans="1:2" x14ac:dyDescent="0.25">
      <c r="B4" t="s">
        <v>427</v>
      </c>
    </row>
  </sheetData>
  <hyperlinks>
    <hyperlink ref="A1" location="Main!A1" display="Main" xr:uid="{3F46029C-6209-4AF2-8CDB-1F9664685C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</vt:i4>
      </vt:variant>
    </vt:vector>
  </HeadingPairs>
  <TitlesOfParts>
    <vt:vector size="22" baseType="lpstr">
      <vt:lpstr>Main</vt:lpstr>
      <vt:lpstr>Drugs</vt:lpstr>
      <vt:lpstr>Industry Model</vt:lpstr>
      <vt:lpstr>Todo</vt:lpstr>
      <vt:lpstr>Launches</vt:lpstr>
      <vt:lpstr>China</vt:lpstr>
      <vt:lpstr>FX</vt:lpstr>
      <vt:lpstr>Private</vt:lpstr>
      <vt:lpstr>Funds</vt:lpstr>
      <vt:lpstr>Acquisitions</vt:lpstr>
      <vt:lpstr>Mergers</vt:lpstr>
      <vt:lpstr>Bankruptcies</vt:lpstr>
      <vt:lpstr>AUD</vt:lpstr>
      <vt:lpstr>CHF</vt:lpstr>
      <vt:lpstr>CNY</vt:lpstr>
      <vt:lpstr>DKK</vt:lpstr>
      <vt:lpstr>EUR</vt:lpstr>
      <vt:lpstr>GBP</vt:lpstr>
      <vt:lpstr>HKD</vt:lpstr>
      <vt:lpstr>INR</vt:lpstr>
      <vt:lpstr>JPY</vt:lpstr>
      <vt:lpstr>KRW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2022-07-16T21:25:10Z</dcterms:created>
  <dcterms:modified xsi:type="dcterms:W3CDTF">2025-09-02T16:46:56Z</dcterms:modified>
</cp:coreProperties>
</file>