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B3DDDE9-75FC-477C-BD8A-FA6A0E2F0921}" xr6:coauthVersionLast="47" xr6:coauthVersionMax="47" xr10:uidLastSave="{00000000-0000-0000-0000-000000000000}"/>
  <bookViews>
    <workbookView xWindow="59070" yWindow="5710" windowWidth="17370" windowHeight="13000" activeTab="2" xr2:uid="{477A73C8-0DDD-4193-B12A-402B07A14853}"/>
  </bookViews>
  <sheets>
    <sheet name="Main" sheetId="1" r:id="rId1"/>
    <sheet name="Vykat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3" l="1"/>
  <c r="U7" i="3"/>
  <c r="T7" i="3"/>
  <c r="S7" i="3"/>
  <c r="R7" i="3"/>
  <c r="N6" i="3"/>
  <c r="M6" i="3"/>
  <c r="L6" i="3"/>
  <c r="K6" i="3"/>
  <c r="J6" i="3"/>
  <c r="K7" i="3"/>
  <c r="K4" i="3"/>
  <c r="L4" i="3" s="1"/>
  <c r="M4" i="3" s="1"/>
  <c r="N4" i="3" s="1"/>
  <c r="I4" i="3"/>
  <c r="J4" i="3" s="1"/>
  <c r="I12" i="3"/>
  <c r="I13" i="3" s="1"/>
  <c r="H12" i="3"/>
  <c r="H9" i="3"/>
  <c r="H5" i="3"/>
  <c r="W3" i="3"/>
  <c r="V3" i="3"/>
  <c r="U3" i="3"/>
  <c r="T3" i="3"/>
  <c r="S3" i="3"/>
  <c r="R3" i="3"/>
  <c r="Q3" i="3"/>
  <c r="P3" i="3"/>
  <c r="W15" i="3"/>
  <c r="P15" i="3"/>
  <c r="Q2" i="3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J5" i="1"/>
  <c r="J4" i="1"/>
  <c r="J7" i="1" s="1"/>
  <c r="L7" i="3" l="1"/>
  <c r="H13" i="3"/>
  <c r="J7" i="3"/>
  <c r="N7" i="3" l="1"/>
  <c r="M7" i="3"/>
  <c r="Q7" i="3" s="1"/>
  <c r="Q15" i="3" l="1"/>
  <c r="R15" i="3" l="1"/>
  <c r="S15" i="3" l="1"/>
  <c r="T15" i="3" l="1"/>
  <c r="V15" i="3" l="1"/>
  <c r="U15" i="3"/>
  <c r="Q20" i="3" l="1"/>
  <c r="Q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tc={2271A713-5935-45F5-8BB8-EF88403E62D7}</author>
    <author>tc={E32CB68A-EC75-4D6F-A0BF-72293D93F29C}</author>
    <author>tc={80F68FE4-CCE7-4504-BBD5-970CCE33487C}</author>
  </authors>
  <commentList>
    <comment ref="J7" authorId="0" shapeId="0" xr:uid="{2271A713-5935-45F5-8BB8-EF88403E62D7}">
      <text>
        <t>[Threaded comment]
Your version of Excel allows you to read this threaded comment; however, any edits to it will get removed if the file is opened in a newer version of Excel. Learn more: https://go.microsoft.com/fwlink/?linkid=870924
Comment:
    62.85m consensus 11/4/25</t>
      </text>
    </comment>
    <comment ref="K7" authorId="1" shapeId="0" xr:uid="{E32CB68A-EC75-4D6F-A0BF-72293D93F29C}">
      <text>
        <t>[Threaded comment]
Your version of Excel allows you to read this threaded comment; however, any edits to it will get removed if the file is opened in a newer version of Excel. Learn more: https://go.microsoft.com/fwlink/?linkid=870924
Comment:
    73.29m consensus 11/4/25</t>
      </text>
    </comment>
    <comment ref="Q7" authorId="2" shapeId="0" xr:uid="{80F68FE4-CCE7-4504-BBD5-970CCE3348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404m 11/4/25</t>
      </text>
    </comment>
  </commentList>
</comments>
</file>

<file path=xl/sharedStrings.xml><?xml version="1.0" encoding="utf-8"?>
<sst xmlns="http://schemas.openxmlformats.org/spreadsheetml/2006/main" count="51" uniqueCount="43">
  <si>
    <t>Price</t>
  </si>
  <si>
    <t>Shares</t>
  </si>
  <si>
    <t>MC</t>
  </si>
  <si>
    <t>Cash</t>
  </si>
  <si>
    <t>Debt</t>
  </si>
  <si>
    <t>EV</t>
  </si>
  <si>
    <t>PIC</t>
  </si>
  <si>
    <t>AD</t>
  </si>
  <si>
    <t>Brand</t>
  </si>
  <si>
    <t>diazoxide</t>
  </si>
  <si>
    <t>Indication</t>
  </si>
  <si>
    <t>PWS</t>
  </si>
  <si>
    <t>12/27/24 PDUFA</t>
  </si>
  <si>
    <t>Vykat (diazoxide)</t>
  </si>
  <si>
    <t>Q424</t>
  </si>
  <si>
    <t>Main</t>
  </si>
  <si>
    <t>Vykat</t>
  </si>
  <si>
    <t>Generic</t>
  </si>
  <si>
    <t>Prader-Walli Syndrome</t>
  </si>
  <si>
    <t>Revenue</t>
  </si>
  <si>
    <t>Q125</t>
  </si>
  <si>
    <t>Q225</t>
  </si>
  <si>
    <t>Q325</t>
  </si>
  <si>
    <t>Q425</t>
  </si>
  <si>
    <t>CF</t>
  </si>
  <si>
    <t>NPV</t>
  </si>
  <si>
    <t>Stock</t>
  </si>
  <si>
    <t>Prevalence</t>
  </si>
  <si>
    <t>Patients</t>
  </si>
  <si>
    <t>Forms</t>
  </si>
  <si>
    <t>Q124</t>
  </si>
  <si>
    <t>Q224</t>
  </si>
  <si>
    <t>Q324</t>
  </si>
  <si>
    <t>COGS</t>
  </si>
  <si>
    <t>Gross Margin</t>
  </si>
  <si>
    <t>R&amp;D</t>
  </si>
  <si>
    <t>SG&amp;A</t>
  </si>
  <si>
    <t>Operating Expenses</t>
  </si>
  <si>
    <t>Operating Income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</si>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</sst>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4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1" applyBorder="1"/>
    <xf numFmtId="0" fontId="1" fillId="0" borderId="0" xfId="1"/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F5A12F3-1448-4E02-9D5B-3CA5A2CBDC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30655</xdr:colOff>
      <xdr:row>0</xdr:row>
      <xdr:rowOff>39414</xdr:rowOff>
    </xdr:from>
    <xdr:to>
      <xdr:col>9</xdr:col>
      <xdr:colOff>30655</xdr:colOff>
      <xdr:row>28</xdr:row>
      <xdr:rowOff>148897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DE2E8C-E977-553F-F698-E1151F3541DE}"/>
            </a:ext>
          </a:extLst>
        </xdr:cNvPr>
        <xdr:cNvCxnSpPr/>
      </xdr:nvCxnSpPr>
      <xdr:spPr>
        <a:xfrm>
          <a:off x="5828862" y="39414"/>
          <a:ext cx="0" cy="45413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F90E6E4-070B-45A9-A3B3-0C19BAD0290F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5-11-04T22:34:01.09" personId="{4F90E6E4-070B-45A9-A3B3-0C19BAD0290F}" id="{2271A713-5935-45F5-8BB8-EF88403E62D7}">
    <text>62.85m consensus 11/4/25</text>
  </threadedComment>
  <threadedComment ref="K7" dT="2025-11-04T22:34:17.51" personId="{4F90E6E4-070B-45A9-A3B3-0C19BAD0290F}" id="{E32CB68A-EC75-4D6F-A0BF-72293D93F29C}">
    <text>73.29m consensus 11/4/25</text>
  </threadedComment>
  <threadedComment ref="Q7" dT="2025-11-04T22:35:00.44" personId="{4F90E6E4-070B-45A9-A3B3-0C19BAD0290F}" id="{80F68FE4-CCE7-4504-BBD5-970CCE33487C}">
    <text>Consensus 404m 11/4/25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EE98-472D-41A7-BE97-A667D3867873}">
  <dimension ref="B2:K10"/>
  <sheetViews>
    <sheetView zoomScale="130" zoomScaleNormal="130" workbookViewId="0">
      <selection activeCell="J4" sqref="J4"/>
    </sheetView>
  </sheetViews>
  <sheetFormatPr defaultRowHeight="12.5" x14ac:dyDescent="0.25"/>
  <cols>
    <col min="1" max="1" width="2.81640625" customWidth="1"/>
    <col min="2" max="2" width="16" customWidth="1"/>
    <col min="3" max="3" width="9.453125" customWidth="1"/>
    <col min="4" max="4" width="15.1796875" bestFit="1" customWidth="1"/>
    <col min="5" max="7" width="8.26953125" customWidth="1"/>
    <col min="8" max="8" width="3" customWidth="1"/>
  </cols>
  <sheetData>
    <row r="2" spans="2:11" x14ac:dyDescent="0.25">
      <c r="B2" s="9" t="s">
        <v>8</v>
      </c>
      <c r="C2" s="10" t="s">
        <v>10</v>
      </c>
      <c r="D2" s="10" t="s">
        <v>10</v>
      </c>
      <c r="E2" s="10"/>
      <c r="F2" s="10"/>
      <c r="G2" s="11"/>
      <c r="I2" t="s">
        <v>0</v>
      </c>
      <c r="J2" s="1">
        <v>65</v>
      </c>
    </row>
    <row r="3" spans="2:11" x14ac:dyDescent="0.25">
      <c r="B3" s="12" t="s">
        <v>13</v>
      </c>
      <c r="C3" t="s">
        <v>11</v>
      </c>
      <c r="D3" t="s">
        <v>12</v>
      </c>
      <c r="G3" s="5"/>
      <c r="I3" t="s">
        <v>1</v>
      </c>
      <c r="J3" s="2">
        <v>45.703811000000002</v>
      </c>
      <c r="K3" s="3" t="s">
        <v>14</v>
      </c>
    </row>
    <row r="4" spans="2:11" x14ac:dyDescent="0.25">
      <c r="B4" s="4"/>
      <c r="G4" s="5"/>
      <c r="I4" t="s">
        <v>2</v>
      </c>
      <c r="J4" s="2">
        <f>+J2*J3</f>
        <v>2970.747715</v>
      </c>
    </row>
    <row r="5" spans="2:11" x14ac:dyDescent="0.25">
      <c r="B5" s="4"/>
      <c r="G5" s="5"/>
      <c r="I5" t="s">
        <v>3</v>
      </c>
      <c r="J5" s="2">
        <f>87.928+203.509+27.211</f>
        <v>318.64800000000002</v>
      </c>
      <c r="K5" s="3" t="s">
        <v>14</v>
      </c>
    </row>
    <row r="6" spans="2:11" x14ac:dyDescent="0.25">
      <c r="B6" s="6"/>
      <c r="C6" s="7"/>
      <c r="D6" s="7"/>
      <c r="E6" s="7"/>
      <c r="F6" s="7"/>
      <c r="G6" s="8"/>
      <c r="I6" t="s">
        <v>4</v>
      </c>
      <c r="J6" s="2">
        <v>49.828000000000003</v>
      </c>
      <c r="K6" s="3" t="s">
        <v>14</v>
      </c>
    </row>
    <row r="7" spans="2:11" x14ac:dyDescent="0.25">
      <c r="I7" t="s">
        <v>5</v>
      </c>
      <c r="J7" s="2">
        <f>+J4-J5+J6</f>
        <v>2701.9277149999998</v>
      </c>
    </row>
    <row r="9" spans="2:11" x14ac:dyDescent="0.25">
      <c r="I9" t="s">
        <v>6</v>
      </c>
      <c r="J9" s="2">
        <v>600.53399999999999</v>
      </c>
    </row>
    <row r="10" spans="2:11" x14ac:dyDescent="0.25">
      <c r="I10" t="s">
        <v>7</v>
      </c>
      <c r="J10" s="2">
        <v>319.66199999999998</v>
      </c>
    </row>
  </sheetData>
  <hyperlinks>
    <hyperlink ref="B3" location="Vykat!A1" display="Vykat (diazoxide)" xr:uid="{3035D599-4D77-40E5-8984-A056F4EB46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19FA-7900-4302-A1F2-38B5BAF3BCBE}">
  <dimension ref="A1:C4"/>
  <sheetViews>
    <sheetView zoomScale="205" zoomScaleNormal="205" workbookViewId="0">
      <selection activeCell="B5" sqref="B5"/>
    </sheetView>
  </sheetViews>
  <sheetFormatPr defaultRowHeight="12.5" x14ac:dyDescent="0.25"/>
  <cols>
    <col min="1" max="1" width="4.6328125" bestFit="1" customWidth="1"/>
  </cols>
  <sheetData>
    <row r="1" spans="1:3" x14ac:dyDescent="0.25">
      <c r="A1" s="13" t="s">
        <v>15</v>
      </c>
    </row>
    <row r="2" spans="1:3" x14ac:dyDescent="0.25">
      <c r="B2" t="s">
        <v>8</v>
      </c>
      <c r="C2" t="s">
        <v>16</v>
      </c>
    </row>
    <row r="3" spans="1:3" x14ac:dyDescent="0.25">
      <c r="B3" t="s">
        <v>17</v>
      </c>
      <c r="C3" t="s">
        <v>9</v>
      </c>
    </row>
    <row r="4" spans="1:3" x14ac:dyDescent="0.25">
      <c r="B4" t="s">
        <v>10</v>
      </c>
      <c r="C4" t="s">
        <v>18</v>
      </c>
    </row>
  </sheetData>
  <hyperlinks>
    <hyperlink ref="A1" location="Main!A1" display="Main" xr:uid="{83126392-9D75-4AC7-9EF9-E8F41B95190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9C73-DE62-41EA-85D1-0BBC92E2F7EA}">
  <dimension ref="A1:AB21"/>
  <sheetViews>
    <sheetView tabSelected="1" zoomScale="145" zoomScaleNormal="145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X7" sqref="X7"/>
    </sheetView>
  </sheetViews>
  <sheetFormatPr defaultRowHeight="12.5" x14ac:dyDescent="0.25"/>
  <cols>
    <col min="1" max="1" width="4.7265625" bestFit="1" customWidth="1"/>
    <col min="2" max="2" width="17.26953125" bestFit="1" customWidth="1"/>
    <col min="3" max="15" width="8.7265625" style="3"/>
    <col min="16" max="16" width="8.90625" style="3" customWidth="1"/>
    <col min="17" max="28" width="8.7265625" style="3"/>
  </cols>
  <sheetData>
    <row r="1" spans="1:28" x14ac:dyDescent="0.25">
      <c r="A1" s="13" t="s">
        <v>15</v>
      </c>
    </row>
    <row r="2" spans="1:28" x14ac:dyDescent="0.25">
      <c r="C2" s="3" t="s">
        <v>30</v>
      </c>
      <c r="D2" s="3" t="s">
        <v>31</v>
      </c>
      <c r="E2" s="3" t="s">
        <v>32</v>
      </c>
      <c r="F2" s="3" t="s">
        <v>14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39</v>
      </c>
      <c r="L2" s="3" t="s">
        <v>40</v>
      </c>
      <c r="M2" s="3" t="s">
        <v>41</v>
      </c>
      <c r="N2" s="3" t="s">
        <v>42</v>
      </c>
      <c r="P2" s="3">
        <v>2025</v>
      </c>
      <c r="Q2" s="3">
        <f>+P2+1</f>
        <v>2026</v>
      </c>
      <c r="R2" s="3">
        <f t="shared" ref="R2:AB2" si="0">+Q2+1</f>
        <v>2027</v>
      </c>
      <c r="S2" s="3">
        <f t="shared" si="0"/>
        <v>2028</v>
      </c>
      <c r="T2" s="3">
        <f t="shared" si="0"/>
        <v>2029</v>
      </c>
      <c r="U2" s="3">
        <f t="shared" si="0"/>
        <v>2030</v>
      </c>
      <c r="V2" s="3">
        <f t="shared" si="0"/>
        <v>2031</v>
      </c>
      <c r="W2" s="3">
        <f t="shared" si="0"/>
        <v>2032</v>
      </c>
      <c r="X2" s="3">
        <f t="shared" si="0"/>
        <v>2033</v>
      </c>
      <c r="Y2" s="3">
        <f t="shared" si="0"/>
        <v>2034</v>
      </c>
      <c r="Z2" s="3">
        <f t="shared" si="0"/>
        <v>2035</v>
      </c>
      <c r="AA2" s="3">
        <f t="shared" si="0"/>
        <v>2036</v>
      </c>
      <c r="AB2" s="3">
        <f t="shared" si="0"/>
        <v>2037</v>
      </c>
    </row>
    <row r="3" spans="1:28" x14ac:dyDescent="0.25">
      <c r="B3" t="s">
        <v>27</v>
      </c>
      <c r="P3" s="16">
        <f>350000/30</f>
        <v>11666.666666666666</v>
      </c>
      <c r="Q3" s="16">
        <f t="shared" ref="Q3:W3" si="1">350000/30</f>
        <v>11666.666666666666</v>
      </c>
      <c r="R3" s="16">
        <f t="shared" si="1"/>
        <v>11666.666666666666</v>
      </c>
      <c r="S3" s="16">
        <f t="shared" si="1"/>
        <v>11666.666666666666</v>
      </c>
      <c r="T3" s="16">
        <f t="shared" si="1"/>
        <v>11666.666666666666</v>
      </c>
      <c r="U3" s="16">
        <f t="shared" si="1"/>
        <v>11666.666666666666</v>
      </c>
      <c r="V3" s="16">
        <f t="shared" si="1"/>
        <v>11666.666666666666</v>
      </c>
      <c r="W3" s="16">
        <f t="shared" si="1"/>
        <v>11666.666666666666</v>
      </c>
    </row>
    <row r="4" spans="1:28" x14ac:dyDescent="0.25">
      <c r="I4" s="23">
        <f>+I7/I6</f>
        <v>8.6387434554973816E-2</v>
      </c>
      <c r="J4" s="23">
        <f>+I4</f>
        <v>8.6387434554973816E-2</v>
      </c>
      <c r="K4" s="23">
        <f t="shared" ref="K4:N4" si="2">+J4</f>
        <v>8.6387434554973816E-2</v>
      </c>
      <c r="L4" s="23">
        <f t="shared" si="2"/>
        <v>8.6387434554973816E-2</v>
      </c>
      <c r="M4" s="23">
        <f t="shared" si="2"/>
        <v>8.6387434554973816E-2</v>
      </c>
      <c r="N4" s="23">
        <f t="shared" si="2"/>
        <v>8.6387434554973816E-2</v>
      </c>
    </row>
    <row r="5" spans="1:28" x14ac:dyDescent="0.25">
      <c r="B5" t="s">
        <v>29</v>
      </c>
      <c r="H5" s="3">
        <f>646-G5</f>
        <v>646</v>
      </c>
      <c r="I5" s="3">
        <v>397</v>
      </c>
    </row>
    <row r="6" spans="1:28" s="2" customFormat="1" x14ac:dyDescent="0.25">
      <c r="B6" s="2" t="s">
        <v>28</v>
      </c>
      <c r="C6" s="16"/>
      <c r="D6" s="16"/>
      <c r="E6" s="16"/>
      <c r="F6" s="16"/>
      <c r="G6" s="16"/>
      <c r="H6" s="16"/>
      <c r="I6" s="16">
        <v>764</v>
      </c>
      <c r="J6" s="16">
        <f>+I6+400</f>
        <v>1164</v>
      </c>
      <c r="K6" s="16">
        <f>+J6+300</f>
        <v>1464</v>
      </c>
      <c r="L6" s="16">
        <f>+K6+300</f>
        <v>1764</v>
      </c>
      <c r="M6" s="16">
        <f>+L6+300</f>
        <v>2064</v>
      </c>
      <c r="N6" s="16">
        <f>+M6+300</f>
        <v>2364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s="17" customFormat="1" ht="13" x14ac:dyDescent="0.3">
      <c r="B7" s="17" t="s">
        <v>19</v>
      </c>
      <c r="C7" s="18"/>
      <c r="D7" s="18"/>
      <c r="E7" s="18"/>
      <c r="F7" s="18"/>
      <c r="G7" s="18"/>
      <c r="H7" s="19">
        <v>32.656999999999996</v>
      </c>
      <c r="I7" s="18">
        <v>66</v>
      </c>
      <c r="J7" s="19">
        <f>+J6*J4</f>
        <v>100.55497382198952</v>
      </c>
      <c r="K7" s="19">
        <f t="shared" ref="K7:N7" si="3">+K6*K4</f>
        <v>126.47120418848166</v>
      </c>
      <c r="L7" s="19">
        <f t="shared" si="3"/>
        <v>152.38743455497382</v>
      </c>
      <c r="M7" s="19">
        <f t="shared" si="3"/>
        <v>178.30366492146595</v>
      </c>
      <c r="N7" s="19">
        <f t="shared" si="3"/>
        <v>204.21989528795811</v>
      </c>
      <c r="O7" s="18"/>
      <c r="P7" s="19">
        <v>300</v>
      </c>
      <c r="Q7" s="19">
        <f>SUM(K7:N7)</f>
        <v>661.38219895287955</v>
      </c>
      <c r="R7" s="19">
        <f>+Q7*1.3</f>
        <v>859.7968586387434</v>
      </c>
      <c r="S7" s="19">
        <f>+R7*1.3</f>
        <v>1117.7359162303665</v>
      </c>
      <c r="T7" s="19">
        <f>+S7*1.01</f>
        <v>1128.9132753926701</v>
      </c>
      <c r="U7" s="19">
        <f>+T7*1.01</f>
        <v>1140.2024081465968</v>
      </c>
      <c r="V7" s="19">
        <f>+U7*1.01</f>
        <v>1151.6044322280627</v>
      </c>
      <c r="W7" s="19">
        <v>800</v>
      </c>
      <c r="X7" s="18"/>
      <c r="Y7" s="18"/>
      <c r="Z7" s="18"/>
      <c r="AA7" s="18"/>
      <c r="AB7" s="18"/>
    </row>
    <row r="8" spans="1:28" s="20" customFormat="1" x14ac:dyDescent="0.25">
      <c r="B8" s="20" t="s">
        <v>33</v>
      </c>
      <c r="C8" s="21"/>
      <c r="D8" s="21"/>
      <c r="E8" s="21"/>
      <c r="F8" s="21"/>
      <c r="G8" s="21"/>
      <c r="H8" s="22">
        <v>0.69599999999999995</v>
      </c>
      <c r="I8" s="21"/>
      <c r="J8" s="21"/>
      <c r="K8" s="21"/>
      <c r="L8" s="21"/>
      <c r="M8" s="21"/>
      <c r="N8" s="21"/>
      <c r="O8" s="21"/>
      <c r="P8" s="22"/>
      <c r="Q8" s="22"/>
      <c r="R8" s="22"/>
      <c r="S8" s="22"/>
      <c r="T8" s="22"/>
      <c r="U8" s="22"/>
      <c r="V8" s="22"/>
      <c r="W8" s="22"/>
      <c r="X8" s="21"/>
      <c r="Y8" s="21"/>
      <c r="Z8" s="21"/>
      <c r="AA8" s="21"/>
      <c r="AB8" s="21"/>
    </row>
    <row r="9" spans="1:28" s="20" customFormat="1" x14ac:dyDescent="0.25">
      <c r="B9" s="20" t="s">
        <v>34</v>
      </c>
      <c r="C9" s="21"/>
      <c r="D9" s="21"/>
      <c r="E9" s="21"/>
      <c r="F9" s="21"/>
      <c r="G9" s="21"/>
      <c r="H9" s="22">
        <f>+H7-H8</f>
        <v>31.960999999999995</v>
      </c>
      <c r="I9" s="21"/>
      <c r="J9" s="21"/>
      <c r="K9" s="21"/>
      <c r="L9" s="21"/>
      <c r="M9" s="21"/>
      <c r="N9" s="21"/>
      <c r="O9" s="21"/>
      <c r="P9" s="22"/>
      <c r="Q9" s="22"/>
      <c r="R9" s="22"/>
      <c r="S9" s="22"/>
      <c r="T9" s="22"/>
      <c r="U9" s="22"/>
      <c r="V9" s="22"/>
      <c r="W9" s="22"/>
      <c r="X9" s="21"/>
      <c r="Y9" s="21"/>
      <c r="Z9" s="21"/>
      <c r="AA9" s="21"/>
      <c r="AB9" s="21"/>
    </row>
    <row r="10" spans="1:28" s="20" customFormat="1" x14ac:dyDescent="0.25">
      <c r="B10" s="20" t="s">
        <v>35</v>
      </c>
      <c r="C10" s="21"/>
      <c r="D10" s="21"/>
      <c r="E10" s="21"/>
      <c r="F10" s="21"/>
      <c r="G10" s="21"/>
      <c r="H10" s="22">
        <v>9.1470000000000002</v>
      </c>
      <c r="I10" s="21"/>
      <c r="J10" s="21"/>
      <c r="K10" s="21"/>
      <c r="L10" s="21"/>
      <c r="M10" s="21"/>
      <c r="N10" s="21"/>
      <c r="O10" s="21"/>
      <c r="P10" s="22"/>
      <c r="Q10" s="22"/>
      <c r="R10" s="22"/>
      <c r="S10" s="22"/>
      <c r="T10" s="22"/>
      <c r="U10" s="22"/>
      <c r="V10" s="22"/>
      <c r="W10" s="22"/>
      <c r="X10" s="21"/>
      <c r="Y10" s="21"/>
      <c r="Z10" s="21"/>
      <c r="AA10" s="21"/>
      <c r="AB10" s="21"/>
    </row>
    <row r="11" spans="1:28" s="20" customFormat="1" x14ac:dyDescent="0.25">
      <c r="B11" s="20" t="s">
        <v>36</v>
      </c>
      <c r="C11" s="21"/>
      <c r="D11" s="21"/>
      <c r="E11" s="21"/>
      <c r="F11" s="21"/>
      <c r="G11" s="21"/>
      <c r="H11" s="22">
        <v>28.238</v>
      </c>
      <c r="I11" s="21"/>
      <c r="J11" s="21"/>
      <c r="K11" s="21"/>
      <c r="L11" s="21"/>
      <c r="M11" s="21"/>
      <c r="N11" s="21"/>
      <c r="O11" s="21"/>
      <c r="P11" s="22"/>
      <c r="Q11" s="22"/>
      <c r="R11" s="22"/>
      <c r="S11" s="22"/>
      <c r="T11" s="22"/>
      <c r="U11" s="22"/>
      <c r="V11" s="22"/>
      <c r="W11" s="22"/>
      <c r="X11" s="21"/>
      <c r="Y11" s="21"/>
      <c r="Z11" s="21"/>
      <c r="AA11" s="21"/>
      <c r="AB11" s="21"/>
    </row>
    <row r="12" spans="1:28" s="20" customFormat="1" x14ac:dyDescent="0.25">
      <c r="B12" s="20" t="s">
        <v>37</v>
      </c>
      <c r="C12" s="21"/>
      <c r="D12" s="21"/>
      <c r="E12" s="21"/>
      <c r="F12" s="21"/>
      <c r="G12" s="21"/>
      <c r="H12" s="22">
        <f>+H11+H10</f>
        <v>37.384999999999998</v>
      </c>
      <c r="I12" s="22">
        <f t="shared" ref="I12" si="4">+I11+I10</f>
        <v>0</v>
      </c>
      <c r="J12" s="21"/>
      <c r="K12" s="21"/>
      <c r="L12" s="21"/>
      <c r="M12" s="21"/>
      <c r="N12" s="21"/>
      <c r="O12" s="21"/>
      <c r="P12" s="22"/>
      <c r="Q12" s="22"/>
      <c r="R12" s="22"/>
      <c r="S12" s="22"/>
      <c r="T12" s="22"/>
      <c r="U12" s="22"/>
      <c r="V12" s="22"/>
      <c r="W12" s="22"/>
      <c r="X12" s="21"/>
      <c r="Y12" s="21"/>
      <c r="Z12" s="21"/>
      <c r="AA12" s="21"/>
      <c r="AB12" s="21"/>
    </row>
    <row r="13" spans="1:28" s="20" customFormat="1" x14ac:dyDescent="0.25">
      <c r="B13" s="20" t="s">
        <v>38</v>
      </c>
      <c r="C13" s="21"/>
      <c r="D13" s="21"/>
      <c r="E13" s="21"/>
      <c r="F13" s="21"/>
      <c r="G13" s="21"/>
      <c r="H13" s="22">
        <f>+H9-H12</f>
        <v>-5.424000000000003</v>
      </c>
      <c r="I13" s="22">
        <f t="shared" ref="I13" si="5">+I9-I12</f>
        <v>0</v>
      </c>
      <c r="J13" s="21"/>
      <c r="K13" s="21"/>
      <c r="L13" s="21"/>
      <c r="M13" s="21"/>
      <c r="N13" s="21"/>
      <c r="O13" s="21"/>
      <c r="P13" s="22"/>
      <c r="Q13" s="22"/>
      <c r="R13" s="22"/>
      <c r="S13" s="22"/>
      <c r="T13" s="22"/>
      <c r="U13" s="22"/>
      <c r="V13" s="22"/>
      <c r="W13" s="22"/>
      <c r="X13" s="21"/>
      <c r="Y13" s="21"/>
      <c r="Z13" s="21"/>
      <c r="AA13" s="21"/>
      <c r="AB13" s="21"/>
    </row>
    <row r="14" spans="1:28" s="17" customFormat="1" ht="13" x14ac:dyDescent="0.3">
      <c r="C14" s="18"/>
      <c r="D14" s="18"/>
      <c r="E14" s="18"/>
      <c r="F14" s="18"/>
      <c r="G14" s="18"/>
      <c r="H14" s="19"/>
      <c r="I14" s="18"/>
      <c r="J14" s="18"/>
      <c r="K14" s="18"/>
      <c r="L14" s="18"/>
      <c r="M14" s="18"/>
      <c r="N14" s="18"/>
      <c r="O14" s="18"/>
      <c r="P14" s="19"/>
      <c r="Q14" s="19"/>
      <c r="R14" s="19"/>
      <c r="S14" s="19"/>
      <c r="T14" s="19"/>
      <c r="U14" s="19"/>
      <c r="V14" s="19"/>
      <c r="W14" s="19"/>
      <c r="X14" s="18"/>
      <c r="Y14" s="18"/>
      <c r="Z14" s="18"/>
      <c r="AA14" s="18"/>
      <c r="AB14" s="18"/>
    </row>
    <row r="15" spans="1:28" x14ac:dyDescent="0.25">
      <c r="B15" t="s">
        <v>24</v>
      </c>
      <c r="P15" s="16">
        <f>+P7*0.7</f>
        <v>210</v>
      </c>
      <c r="Q15" s="16">
        <f t="shared" ref="Q15:W15" si="6">+Q7*0.7</f>
        <v>462.96753926701564</v>
      </c>
      <c r="R15" s="16">
        <f t="shared" si="6"/>
        <v>601.85780104712035</v>
      </c>
      <c r="S15" s="16">
        <f t="shared" si="6"/>
        <v>782.41514136125647</v>
      </c>
      <c r="T15" s="16">
        <f t="shared" si="6"/>
        <v>790.239292774869</v>
      </c>
      <c r="U15" s="16">
        <f t="shared" si="6"/>
        <v>798.14168570261768</v>
      </c>
      <c r="V15" s="16">
        <f t="shared" si="6"/>
        <v>806.12310255964383</v>
      </c>
      <c r="W15" s="16">
        <f t="shared" si="6"/>
        <v>560</v>
      </c>
    </row>
    <row r="19" spans="16:17" x14ac:dyDescent="0.25">
      <c r="P19" s="3" t="s">
        <v>25</v>
      </c>
      <c r="Q19" s="14">
        <v>0.09</v>
      </c>
    </row>
    <row r="20" spans="16:17" x14ac:dyDescent="0.25">
      <c r="P20" s="3" t="s">
        <v>2</v>
      </c>
      <c r="Q20" s="16">
        <f>NPV(Q19,P15:W15)</f>
        <v>3312.8875165071136</v>
      </c>
    </row>
    <row r="21" spans="16:17" x14ac:dyDescent="0.25">
      <c r="P21" s="3" t="s">
        <v>26</v>
      </c>
      <c r="Q21" s="15">
        <f>+Q20/46</f>
        <v>72.019293837111164</v>
      </c>
    </row>
  </sheetData>
  <hyperlinks>
    <hyperlink ref="A1" location="Main!A1" display="Main" xr:uid="{D89C553B-FA88-4A91-8A74-35171BA91406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Vykat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2024-09-11T03:55:46Z</dcterms:created>
  <dcterms:modified xsi:type="dcterms:W3CDTF">2025-11-04T22:36:03Z</dcterms:modified>
</cp:coreProperties>
</file>