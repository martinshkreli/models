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\code\models\"/>
    </mc:Choice>
  </mc:AlternateContent>
  <xr:revisionPtr revIDLastSave="0" documentId="13_ncr:1_{ED54FFEB-F353-43A7-A5A8-C588631F1DEC}" xr6:coauthVersionLast="47" xr6:coauthVersionMax="47" xr10:uidLastSave="{00000000-0000-0000-0000-000000000000}"/>
  <bookViews>
    <workbookView xWindow="6420" yWindow="2570" windowWidth="24140" windowHeight="12450" activeTab="1" xr2:uid="{A94C3DB5-3144-4CF9-9462-5B0B69250221}"/>
  </bookViews>
  <sheets>
    <sheet name="Main" sheetId="1" r:id="rId1"/>
    <sheet name="firmonertinib" sheetId="2" r:id="rId2"/>
    <sheet name="Crystal Struc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5" i="1"/>
  <c r="K4" i="1"/>
</calcChain>
</file>

<file path=xl/sharedStrings.xml><?xml version="1.0" encoding="utf-8"?>
<sst xmlns="http://schemas.openxmlformats.org/spreadsheetml/2006/main" count="80" uniqueCount="71">
  <si>
    <t>Name</t>
  </si>
  <si>
    <t>firmonertinib</t>
  </si>
  <si>
    <t>MOA</t>
  </si>
  <si>
    <t>EGFR inhibitor</t>
  </si>
  <si>
    <t>Phase</t>
  </si>
  <si>
    <t>I</t>
  </si>
  <si>
    <t>Economics</t>
  </si>
  <si>
    <t>Price</t>
  </si>
  <si>
    <t>Shares</t>
  </si>
  <si>
    <t>MC</t>
  </si>
  <si>
    <t>Cash</t>
  </si>
  <si>
    <t>Debt</t>
  </si>
  <si>
    <t>EV</t>
  </si>
  <si>
    <t>Q225</t>
  </si>
  <si>
    <t>PIC</t>
  </si>
  <si>
    <t>AD</t>
  </si>
  <si>
    <t>1/30/24: IPO 9,722,222 at 18 with 1,458333 overallotment, 183.2m net.</t>
  </si>
  <si>
    <t>Allist</t>
  </si>
  <si>
    <t>AlphaMab</t>
  </si>
  <si>
    <t>ADC</t>
  </si>
  <si>
    <t>ARR-217</t>
  </si>
  <si>
    <t>Main</t>
  </si>
  <si>
    <t>Brand</t>
  </si>
  <si>
    <t>Generic</t>
  </si>
  <si>
    <t>Indication</t>
  </si>
  <si>
    <t>Clinical Trials</t>
  </si>
  <si>
    <t>FURTHER</t>
  </si>
  <si>
    <t>7/3/25: secondary 3,059,615 at 19.50 with 576,923 overalllotment, 1,363,469 pre-funded warrants</t>
  </si>
  <si>
    <t>NSCLC</t>
  </si>
  <si>
    <t>EGFRm NSCLC exon20ins</t>
  </si>
  <si>
    <t>Allist (688578 CH, $47B CNY MC)</t>
  </si>
  <si>
    <t>Regulatory</t>
  </si>
  <si>
    <t>approved in China</t>
  </si>
  <si>
    <t>Phase Ib FAVOUR</t>
  </si>
  <si>
    <t>7 out of 10 tumor size reductions (response?)</t>
  </si>
  <si>
    <t>64% (14/22) reduction in tumor of at least 30%</t>
  </si>
  <si>
    <t>240mg 16 months median PFS</t>
  </si>
  <si>
    <t>firmonertinib, aka furmonertinib and aflutinib</t>
  </si>
  <si>
    <t>AST2818</t>
  </si>
  <si>
    <t>Competition</t>
  </si>
  <si>
    <t>osimertinib (Tagrisso, AZD9291)</t>
  </si>
  <si>
    <t>IP</t>
  </si>
  <si>
    <t>lazertinib</t>
  </si>
  <si>
    <t>olmutinib</t>
  </si>
  <si>
    <t>early 2026 results</t>
  </si>
  <si>
    <t>4700 US patients with exon 20, 6200 US patients with PACC</t>
  </si>
  <si>
    <t>Phase III FURLONG vs. gefitinib</t>
  </si>
  <si>
    <t xml:space="preserve">mPFS: 20.8 months vs. 11.1 months, HR=0.44 </t>
  </si>
  <si>
    <t>78.6% ORR, 15.2 months DOR 1L</t>
  </si>
  <si>
    <t>46.2% ORR, 13.1 months DOR 2L</t>
  </si>
  <si>
    <t>160mg vs. 240mg vs. doublet</t>
  </si>
  <si>
    <t>Phase III "FURVENT" n=375 1L exon 20 ins NSCLC</t>
  </si>
  <si>
    <t>Phase III "ALPACCA" n=480 vs. osimertinib or afatinib 1L NSCLC PACC</t>
  </si>
  <si>
    <t>Preparation Method and Application of Pyridylaminopyrimidine Derivative: CN105315259B</t>
  </si>
  <si>
    <t>befotertinib</t>
  </si>
  <si>
    <t>non exon 19, non-L858R had PFS detriment: 2.8 months vs. 9.9 months chemotherapy</t>
  </si>
  <si>
    <t>afatinib (Gilotrif) approved 7/12/13</t>
  </si>
  <si>
    <t>BLU-945</t>
  </si>
  <si>
    <t>BLU-701</t>
  </si>
  <si>
    <t>BBT-176</t>
  </si>
  <si>
    <t>TQB-3804</t>
  </si>
  <si>
    <t>BBT-207</t>
  </si>
  <si>
    <t>Phase III FLAURA</t>
  </si>
  <si>
    <t>18.9mo vs. 10.2mo</t>
  </si>
  <si>
    <t>AURA</t>
  </si>
  <si>
    <t>Phase II osimertinib NSCLC EGFR exon 20 insertion</t>
  </si>
  <si>
    <t>n=15 no responses</t>
  </si>
  <si>
    <t>sunvozertinib (Zagfrovy) - effective against exon 20, 46% RR, 11.1mo DOR</t>
  </si>
  <si>
    <t xml:space="preserve">2023 ESMO, Zegfrovy as a solo treatment in 1L ORR of 79% and a median PFS 12.4 months. </t>
  </si>
  <si>
    <t>688192 CH, 28B CNY MC</t>
  </si>
  <si>
    <t>Covalent bond to Cys797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</si>
</sst>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3" fillId="0" borderId="0" xfId="1" applyFont="1"/>
    <xf numFmtId="0" fontId="3" fillId="0" borderId="1" xfId="1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5" fillId="0" borderId="0" xfId="0" applyFont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607390</xdr:colOff>
      <xdr:row>0</xdr:row>
      <xdr:rowOff>93219</xdr:rowOff>
    </xdr:from>
    <xdr:to>
      <xdr:col>17</xdr:col>
      <xdr:colOff>552715</xdr:colOff>
      <xdr:row>13</xdr:row>
      <xdr:rowOff>146674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6193ED-22F9-AF7A-6F55-8C8AB9905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347" y="93219"/>
          <a:ext cx="6626629" cy="2141946"/>
        </a:xfrm>
        <a:prstGeom prst="rect">
          <a:avLst/>
        </a:prstGeom>
      </xdr:spPr>
    </xdr:pic>
    <xdr:clientData/>
  </xdr:twoCellAnchor>
  <xdr:twoCellAnchor editAs="oneCell">
    <xdr:from>
      <xdr:col>9</xdr:col>
      <xdr:colOff>542913</xdr:colOff>
      <xdr:row>21</xdr:row>
      <xdr:rowOff>108501</xdr:rowOff>
    </xdr:from>
    <xdr:to>
      <xdr:col>28</xdr:col>
      <xdr:colOff>193181</xdr:colOff>
      <xdr:row>39</xdr:row>
      <xdr:rowOff>156719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6FB07D-F549-6B3D-A3B6-7A93FA9C7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0043" y="3482284"/>
          <a:ext cx="11190703" cy="29526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661D-2F76-489C-8CF1-BF964E2ECF9D}">
  <dimension ref="B1:L14"/>
  <sheetViews>
    <sheetView zoomScale="160" zoomScaleNormal="160" workbookViewId="0">
      <selection activeCell="B3" sqref="B3"/>
    </sheetView>
  </sheetViews>
  <sheetFormatPr defaultRowHeight="12.5" x14ac:dyDescent="0.25"/>
  <cols>
    <col min="1" max="1" width="3.81640625" style="1" customWidth="1"/>
    <col min="2" max="2" width="10.81640625" style="1" bestFit="1" customWidth="1"/>
    <col min="3" max="3" width="12.6328125" style="1" bestFit="1" customWidth="1"/>
    <col min="4" max="16384" width="8.7265625" style="1"/>
  </cols>
  <sheetData>
    <row r="1" spans="2:12" ht="13" thickBot="1" x14ac:dyDescent="0.3"/>
    <row r="2" spans="2:12" x14ac:dyDescent="0.25">
      <c r="B2" s="12" t="s">
        <v>0</v>
      </c>
      <c r="C2" s="13" t="s">
        <v>2</v>
      </c>
      <c r="D2" s="13" t="s">
        <v>4</v>
      </c>
      <c r="E2" s="13" t="s">
        <v>6</v>
      </c>
      <c r="F2" s="13" t="s">
        <v>24</v>
      </c>
      <c r="G2" s="13"/>
      <c r="H2" s="14"/>
      <c r="J2" s="1" t="s">
        <v>7</v>
      </c>
      <c r="K2" s="2">
        <v>18</v>
      </c>
    </row>
    <row r="3" spans="2:12" x14ac:dyDescent="0.25">
      <c r="B3" s="6" t="s">
        <v>1</v>
      </c>
      <c r="C3" s="1" t="s">
        <v>3</v>
      </c>
      <c r="D3" s="1" t="s">
        <v>5</v>
      </c>
      <c r="E3" s="1" t="s">
        <v>17</v>
      </c>
      <c r="F3" s="1" t="s">
        <v>28</v>
      </c>
      <c r="H3" s="7"/>
      <c r="J3" s="1" t="s">
        <v>8</v>
      </c>
      <c r="K3" s="3">
        <v>40.568944000000002</v>
      </c>
      <c r="L3" s="4" t="s">
        <v>13</v>
      </c>
    </row>
    <row r="4" spans="2:12" x14ac:dyDescent="0.25">
      <c r="B4" s="8"/>
      <c r="C4" s="1" t="s">
        <v>19</v>
      </c>
      <c r="E4" s="1" t="s">
        <v>18</v>
      </c>
      <c r="H4" s="7"/>
      <c r="J4" s="1" t="s">
        <v>9</v>
      </c>
      <c r="K4" s="3">
        <f>+K2*K3</f>
        <v>730.24099200000001</v>
      </c>
    </row>
    <row r="5" spans="2:12" x14ac:dyDescent="0.25">
      <c r="B5" s="8" t="s">
        <v>20</v>
      </c>
      <c r="H5" s="7"/>
      <c r="J5" s="1" t="s">
        <v>10</v>
      </c>
      <c r="K5" s="3">
        <f>112.765+122.922</f>
        <v>235.68700000000001</v>
      </c>
      <c r="L5" s="4" t="s">
        <v>13</v>
      </c>
    </row>
    <row r="6" spans="2:12" ht="13" thickBot="1" x14ac:dyDescent="0.3">
      <c r="B6" s="9"/>
      <c r="C6" s="10"/>
      <c r="D6" s="10"/>
      <c r="E6" s="10"/>
      <c r="F6" s="10"/>
      <c r="G6" s="10"/>
      <c r="H6" s="11"/>
      <c r="J6" s="1" t="s">
        <v>11</v>
      </c>
      <c r="K6" s="3">
        <v>0</v>
      </c>
      <c r="L6" s="4" t="s">
        <v>13</v>
      </c>
    </row>
    <row r="7" spans="2:12" x14ac:dyDescent="0.25">
      <c r="J7" s="1" t="s">
        <v>12</v>
      </c>
      <c r="K7" s="3">
        <f>+K4-K5+K6</f>
        <v>494.55399199999999</v>
      </c>
    </row>
    <row r="9" spans="2:12" x14ac:dyDescent="0.25">
      <c r="J9" s="1" t="s">
        <v>14</v>
      </c>
      <c r="K9" s="3">
        <v>584.00300000000004</v>
      </c>
      <c r="L9" s="4" t="s">
        <v>13</v>
      </c>
    </row>
    <row r="10" spans="2:12" x14ac:dyDescent="0.25">
      <c r="J10" s="1" t="s">
        <v>15</v>
      </c>
      <c r="K10" s="3">
        <v>334.11900000000003</v>
      </c>
      <c r="L10" s="4" t="s">
        <v>13</v>
      </c>
    </row>
    <row r="13" spans="2:12" x14ac:dyDescent="0.25">
      <c r="I13" s="1" t="s">
        <v>27</v>
      </c>
    </row>
    <row r="14" spans="2:12" x14ac:dyDescent="0.25">
      <c r="I14" s="1" t="s">
        <v>16</v>
      </c>
    </row>
  </sheetData>
  <hyperlinks>
    <hyperlink ref="B3" location="firmonertinib!A1" display="firmonertinib" xr:uid="{EA24559D-F10D-4DD3-BEF7-90D0E541B7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9BE30-8299-40C2-8055-F18F47C10FC4}">
  <dimension ref="A1:D64"/>
  <sheetViews>
    <sheetView tabSelected="1" topLeftCell="A13" zoomScale="115" zoomScaleNormal="115" workbookViewId="0">
      <selection activeCell="D3" sqref="D3"/>
    </sheetView>
  </sheetViews>
  <sheetFormatPr defaultRowHeight="12.5" x14ac:dyDescent="0.25"/>
  <cols>
    <col min="1" max="1" width="4.6328125" style="1" bestFit="1" customWidth="1"/>
    <col min="2" max="2" width="11.26953125" style="1" bestFit="1" customWidth="1"/>
    <col min="3" max="16384" width="8.7265625" style="1"/>
  </cols>
  <sheetData>
    <row r="1" spans="1:4" x14ac:dyDescent="0.25">
      <c r="A1" s="5" t="s">
        <v>21</v>
      </c>
    </row>
    <row r="2" spans="1:4" x14ac:dyDescent="0.25">
      <c r="B2" s="1" t="s">
        <v>22</v>
      </c>
      <c r="C2" s="1" t="s">
        <v>38</v>
      </c>
    </row>
    <row r="3" spans="1:4" x14ac:dyDescent="0.25">
      <c r="B3" s="1" t="s">
        <v>23</v>
      </c>
      <c r="C3" s="1" t="s">
        <v>37</v>
      </c>
    </row>
    <row r="4" spans="1:4" x14ac:dyDescent="0.25">
      <c r="B4" s="1" t="s">
        <v>24</v>
      </c>
      <c r="C4" s="1" t="s">
        <v>29</v>
      </c>
    </row>
    <row r="5" spans="1:4" x14ac:dyDescent="0.25">
      <c r="C5" s="1" t="s">
        <v>45</v>
      </c>
    </row>
    <row r="6" spans="1:4" x14ac:dyDescent="0.25">
      <c r="B6" s="1" t="s">
        <v>2</v>
      </c>
      <c r="C6" s="1" t="s">
        <v>3</v>
      </c>
    </row>
    <row r="7" spans="1:4" x14ac:dyDescent="0.25">
      <c r="D7" s="1" t="s">
        <v>70</v>
      </c>
    </row>
    <row r="8" spans="1:4" x14ac:dyDescent="0.25">
      <c r="B8" s="1" t="s">
        <v>6</v>
      </c>
      <c r="C8" s="1" t="s">
        <v>30</v>
      </c>
    </row>
    <row r="9" spans="1:4" x14ac:dyDescent="0.25">
      <c r="B9" s="1" t="s">
        <v>31</v>
      </c>
      <c r="C9" s="1" t="s">
        <v>32</v>
      </c>
    </row>
    <row r="10" spans="1:4" x14ac:dyDescent="0.25">
      <c r="B10" s="1" t="s">
        <v>39</v>
      </c>
      <c r="C10" s="1" t="s">
        <v>40</v>
      </c>
    </row>
    <row r="11" spans="1:4" x14ac:dyDescent="0.25">
      <c r="C11" s="1" t="s">
        <v>42</v>
      </c>
    </row>
    <row r="12" spans="1:4" x14ac:dyDescent="0.25">
      <c r="C12" s="1" t="s">
        <v>43</v>
      </c>
    </row>
    <row r="13" spans="1:4" ht="13" x14ac:dyDescent="0.3">
      <c r="C13" s="15" t="s">
        <v>67</v>
      </c>
    </row>
    <row r="14" spans="1:4" ht="13" x14ac:dyDescent="0.3">
      <c r="C14" s="15"/>
      <c r="D14" s="1" t="s">
        <v>69</v>
      </c>
    </row>
    <row r="15" spans="1:4" x14ac:dyDescent="0.25">
      <c r="C15" s="17" t="s">
        <v>54</v>
      </c>
    </row>
    <row r="16" spans="1:4" x14ac:dyDescent="0.25">
      <c r="C16" s="17" t="s">
        <v>56</v>
      </c>
    </row>
    <row r="17" spans="2:4" x14ac:dyDescent="0.25">
      <c r="C17" s="17"/>
      <c r="D17" s="1" t="s">
        <v>55</v>
      </c>
    </row>
    <row r="18" spans="2:4" x14ac:dyDescent="0.25">
      <c r="C18" s="17" t="s">
        <v>57</v>
      </c>
    </row>
    <row r="19" spans="2:4" x14ac:dyDescent="0.25">
      <c r="C19" s="17" t="s">
        <v>58</v>
      </c>
    </row>
    <row r="20" spans="2:4" x14ac:dyDescent="0.25">
      <c r="C20" s="17" t="s">
        <v>59</v>
      </c>
    </row>
    <row r="21" spans="2:4" x14ac:dyDescent="0.25">
      <c r="C21" s="17" t="s">
        <v>60</v>
      </c>
    </row>
    <row r="22" spans="2:4" x14ac:dyDescent="0.25">
      <c r="C22" s="17" t="s">
        <v>61</v>
      </c>
    </row>
    <row r="23" spans="2:4" x14ac:dyDescent="0.25">
      <c r="B23" s="1" t="s">
        <v>41</v>
      </c>
      <c r="C23" s="17" t="s">
        <v>53</v>
      </c>
    </row>
    <row r="24" spans="2:4" x14ac:dyDescent="0.25">
      <c r="B24" s="1" t="s">
        <v>25</v>
      </c>
    </row>
    <row r="25" spans="2:4" ht="13" x14ac:dyDescent="0.3">
      <c r="C25" s="16" t="s">
        <v>51</v>
      </c>
    </row>
    <row r="26" spans="2:4" x14ac:dyDescent="0.25">
      <c r="C26" s="1" t="s">
        <v>44</v>
      </c>
    </row>
    <row r="27" spans="2:4" x14ac:dyDescent="0.25">
      <c r="C27" s="1" t="s">
        <v>50</v>
      </c>
    </row>
    <row r="29" spans="2:4" ht="13" x14ac:dyDescent="0.3">
      <c r="C29" s="16" t="s">
        <v>52</v>
      </c>
    </row>
    <row r="33" spans="3:3" ht="13" x14ac:dyDescent="0.3">
      <c r="C33" s="16" t="s">
        <v>26</v>
      </c>
    </row>
    <row r="34" spans="3:3" x14ac:dyDescent="0.25">
      <c r="C34" s="1" t="s">
        <v>35</v>
      </c>
    </row>
    <row r="35" spans="3:3" x14ac:dyDescent="0.25">
      <c r="C35" s="1" t="s">
        <v>36</v>
      </c>
    </row>
    <row r="37" spans="3:3" ht="13" x14ac:dyDescent="0.3">
      <c r="C37" s="16" t="s">
        <v>33</v>
      </c>
    </row>
    <row r="38" spans="3:3" x14ac:dyDescent="0.25">
      <c r="C38" s="1" t="s">
        <v>34</v>
      </c>
    </row>
    <row r="39" spans="3:3" x14ac:dyDescent="0.25">
      <c r="C39" s="1" t="s">
        <v>48</v>
      </c>
    </row>
    <row r="40" spans="3:3" x14ac:dyDescent="0.25">
      <c r="C40" s="1" t="s">
        <v>49</v>
      </c>
    </row>
    <row r="42" spans="3:3" ht="13" x14ac:dyDescent="0.3">
      <c r="C42" s="16" t="s">
        <v>46</v>
      </c>
    </row>
    <row r="43" spans="3:3" x14ac:dyDescent="0.25">
      <c r="C43" s="1" t="s">
        <v>47</v>
      </c>
    </row>
    <row r="52" spans="3:3" x14ac:dyDescent="0.25">
      <c r="C52" s="1" t="s">
        <v>68</v>
      </c>
    </row>
    <row r="57" spans="3:3" ht="13" x14ac:dyDescent="0.3">
      <c r="C57" s="16" t="s">
        <v>62</v>
      </c>
    </row>
    <row r="58" spans="3:3" x14ac:dyDescent="0.25">
      <c r="C58" s="1" t="s">
        <v>63</v>
      </c>
    </row>
    <row r="61" spans="3:3" ht="13" x14ac:dyDescent="0.3">
      <c r="C61" s="16" t="s">
        <v>64</v>
      </c>
    </row>
    <row r="63" spans="3:3" ht="13" x14ac:dyDescent="0.3">
      <c r="C63" s="16" t="s">
        <v>65</v>
      </c>
    </row>
    <row r="64" spans="3:3" x14ac:dyDescent="0.25">
      <c r="C64" s="1" t="s">
        <v>66</v>
      </c>
    </row>
  </sheetData>
  <hyperlinks>
    <hyperlink ref="A1" location="Main!A1" display="Main" xr:uid="{86A01CB0-EF62-44FC-9CCF-C3E062A5DBD2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D230-6F6C-4C8A-83C6-0FE440CA42D3}">
  <dimension ref="A1"/>
  <sheetViews>
    <sheetView topLeftCell="A10" workbookViewId="0">
      <selection activeCell="D41" sqref="D41"/>
    </sheetView>
  </sheetViews>
  <sheetFormatPr defaultRowHeight="12.5" x14ac:dyDescent="0.25"/>
  <cols>
    <col min="1" max="1" width="4.6328125" style="1" bestFit="1" customWidth="1"/>
    <col min="2" max="16384" width="8.7265625" style="1"/>
  </cols>
  <sheetData>
    <row r="1" spans="1:1" x14ac:dyDescent="0.25">
      <c r="A1" s="5" t="s">
        <v>21</v>
      </c>
    </row>
  </sheetData>
  <hyperlinks>
    <hyperlink ref="A1" location="Main!A1" display="Main" xr:uid="{B469E3B9-4FBC-4FA5-960F-C5D0DE81F3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firmonertinib</vt:lpstr>
      <vt:lpstr>Crystal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2025-10-25T21:35:59Z</dcterms:created>
  <dcterms:modified xsi:type="dcterms:W3CDTF">2025-10-26T13:32:40Z</dcterms:modified>
</cp:coreProperties>
</file>