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6A8B73BF-37C6-42C5-9514-910623BB0689}" xr6:coauthVersionLast="47" xr6:coauthVersionMax="47" xr10:uidLastSave="{00000000-0000-0000-0000-000000000000}"/>
  <bookViews>
    <workbookView xWindow="49220" yWindow="2860" windowWidth="22280" windowHeight="18440" activeTab="1" xr2:uid="{86A83B59-9E37-4F9C-9F7E-B57C067D500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2" l="1"/>
  <c r="N22" i="2"/>
  <c r="M13" i="2"/>
  <c r="M9" i="2"/>
  <c r="O65" i="2"/>
  <c r="O64" i="2"/>
  <c r="O61" i="2"/>
  <c r="O62" i="2" s="1"/>
  <c r="O58" i="2"/>
  <c r="P65" i="2"/>
  <c r="P66" i="2"/>
  <c r="P61" i="2"/>
  <c r="P62" i="2" s="1"/>
  <c r="P50" i="2"/>
  <c r="P58" i="2"/>
  <c r="O38" i="2"/>
  <c r="O37" i="2"/>
  <c r="O41" i="2" s="1"/>
  <c r="O32" i="2"/>
  <c r="O27" i="2"/>
  <c r="O26" i="2" s="1"/>
  <c r="P40" i="2"/>
  <c r="P39" i="2"/>
  <c r="P38" i="2"/>
  <c r="P37" i="2"/>
  <c r="P36" i="2"/>
  <c r="P41" i="2" s="1"/>
  <c r="P33" i="2"/>
  <c r="P32" i="2"/>
  <c r="P31" i="2"/>
  <c r="P30" i="2"/>
  <c r="P29" i="2"/>
  <c r="P28" i="2"/>
  <c r="P5" i="2"/>
  <c r="O5" i="2"/>
  <c r="N5" i="2"/>
  <c r="O22" i="2"/>
  <c r="P22" i="2"/>
  <c r="P9" i="2"/>
  <c r="O9" i="2"/>
  <c r="P23" i="2"/>
  <c r="O23" i="2"/>
  <c r="P13" i="2"/>
  <c r="P14" i="2" s="1"/>
  <c r="P16" i="2" s="1"/>
  <c r="P18" i="2" s="1"/>
  <c r="P19" i="2" s="1"/>
  <c r="O13" i="2"/>
  <c r="O14" i="2" s="1"/>
  <c r="O16" i="2" s="1"/>
  <c r="O18" i="2" s="1"/>
  <c r="O19" i="2" s="1"/>
  <c r="N13" i="2"/>
  <c r="N9" i="2"/>
  <c r="N23" i="2" s="1"/>
  <c r="F38" i="2"/>
  <c r="F37" i="2"/>
  <c r="F41" i="2"/>
  <c r="F27" i="2"/>
  <c r="F26" i="2" s="1"/>
  <c r="H64" i="2"/>
  <c r="H61" i="2"/>
  <c r="H60" i="2"/>
  <c r="H62" i="2" s="1"/>
  <c r="H56" i="2"/>
  <c r="H54" i="2"/>
  <c r="H53" i="2"/>
  <c r="H52" i="2"/>
  <c r="H57" i="2"/>
  <c r="H55" i="2"/>
  <c r="H51" i="2"/>
  <c r="H50" i="2"/>
  <c r="H49" i="2"/>
  <c r="H48" i="2"/>
  <c r="H47" i="2"/>
  <c r="H46" i="2"/>
  <c r="H45" i="2"/>
  <c r="H44" i="2"/>
  <c r="H38" i="2"/>
  <c r="H37" i="2"/>
  <c r="H41" i="2" s="1"/>
  <c r="H27" i="2"/>
  <c r="H34" i="2" s="1"/>
  <c r="G22" i="2"/>
  <c r="H22" i="2"/>
  <c r="G65" i="2"/>
  <c r="G66" i="2" s="1"/>
  <c r="G62" i="2"/>
  <c r="G58" i="2"/>
  <c r="L6" i="1"/>
  <c r="G37" i="2"/>
  <c r="G38" i="2"/>
  <c r="G27" i="2"/>
  <c r="G34" i="2" s="1"/>
  <c r="D15" i="2"/>
  <c r="H15" i="2"/>
  <c r="H13" i="2"/>
  <c r="D9" i="2"/>
  <c r="D23" i="2" s="1"/>
  <c r="H9" i="2"/>
  <c r="H23" i="2" s="1"/>
  <c r="L5" i="1"/>
  <c r="F13" i="2"/>
  <c r="F14" i="2" s="1"/>
  <c r="F16" i="2" s="1"/>
  <c r="F18" i="2" s="1"/>
  <c r="E13" i="2"/>
  <c r="E14" i="2" s="1"/>
  <c r="E16" i="2" s="1"/>
  <c r="E18" i="2" s="1"/>
  <c r="D13" i="2"/>
  <c r="C13" i="2"/>
  <c r="G13" i="2"/>
  <c r="C9" i="2"/>
  <c r="C23" i="2" s="1"/>
  <c r="G9" i="2"/>
  <c r="L4" i="1"/>
  <c r="L7" i="1" s="1"/>
  <c r="M14" i="2" l="1"/>
  <c r="M16" i="2" s="1"/>
  <c r="M18" i="2" s="1"/>
  <c r="M19" i="2" s="1"/>
  <c r="O34" i="2"/>
  <c r="O43" i="2"/>
  <c r="P67" i="2"/>
  <c r="P43" i="2"/>
  <c r="P27" i="2"/>
  <c r="O66" i="2"/>
  <c r="O67" i="2" s="1"/>
  <c r="N14" i="2"/>
  <c r="N16" i="2" s="1"/>
  <c r="N18" i="2" s="1"/>
  <c r="N19" i="2" s="1"/>
  <c r="F34" i="2"/>
  <c r="H26" i="2"/>
  <c r="H65" i="2"/>
  <c r="H66" i="2" s="1"/>
  <c r="H58" i="2"/>
  <c r="G26" i="2"/>
  <c r="G41" i="2"/>
  <c r="G67" i="2"/>
  <c r="G14" i="2"/>
  <c r="G16" i="2" s="1"/>
  <c r="G18" i="2" s="1"/>
  <c r="G43" i="2" s="1"/>
  <c r="C14" i="2"/>
  <c r="C16" i="2" s="1"/>
  <c r="C18" i="2" s="1"/>
  <c r="C19" i="2" s="1"/>
  <c r="G23" i="2"/>
  <c r="G19" i="2"/>
  <c r="H14" i="2"/>
  <c r="H16" i="2" s="1"/>
  <c r="H18" i="2" s="1"/>
  <c r="D14" i="2"/>
  <c r="D16" i="2" s="1"/>
  <c r="D18" i="2" s="1"/>
  <c r="D19" i="2" s="1"/>
  <c r="P26" i="2" l="1"/>
  <c r="P34" i="2"/>
  <c r="H67" i="2"/>
  <c r="H19" i="2"/>
  <c r="H43" i="2"/>
</calcChain>
</file>

<file path=xl/sharedStrings.xml><?xml version="1.0" encoding="utf-8"?>
<sst xmlns="http://schemas.openxmlformats.org/spreadsheetml/2006/main" count="75" uniqueCount="63">
  <si>
    <t>Price</t>
  </si>
  <si>
    <t>Shares</t>
  </si>
  <si>
    <t>MC</t>
  </si>
  <si>
    <t>Cash</t>
  </si>
  <si>
    <t>Debt</t>
  </si>
  <si>
    <t>EV</t>
  </si>
  <si>
    <t>Main</t>
  </si>
  <si>
    <t>Revenue</t>
  </si>
  <si>
    <t>Q124</t>
  </si>
  <si>
    <t>Q224</t>
  </si>
  <si>
    <t>Q324</t>
  </si>
  <si>
    <t>Q424</t>
  </si>
  <si>
    <t>Q125</t>
  </si>
  <si>
    <t>Q225</t>
  </si>
  <si>
    <t>Q425</t>
  </si>
  <si>
    <t>Q325</t>
  </si>
  <si>
    <t>COGS</t>
  </si>
  <si>
    <t>Gross Profit</t>
  </si>
  <si>
    <t>Operating Expenses</t>
  </si>
  <si>
    <t>Operating Income</t>
  </si>
  <si>
    <t>S&amp;M</t>
  </si>
  <si>
    <t>G&amp;A</t>
  </si>
  <si>
    <t>R&amp;D</t>
  </si>
  <si>
    <t>Interest Expense</t>
  </si>
  <si>
    <t>Pretax Income</t>
  </si>
  <si>
    <t>Taxes</t>
  </si>
  <si>
    <t>Net Income</t>
  </si>
  <si>
    <t>EPS</t>
  </si>
  <si>
    <t>CFFO</t>
  </si>
  <si>
    <t>Gross Margin</t>
  </si>
  <si>
    <t>Reported NI</t>
  </si>
  <si>
    <t>Model NI</t>
  </si>
  <si>
    <t>Assets</t>
  </si>
  <si>
    <t>Other</t>
  </si>
  <si>
    <t>Goodwill</t>
  </si>
  <si>
    <t>ROA</t>
  </si>
  <si>
    <t>PP&amp;E</t>
  </si>
  <si>
    <t>OCA</t>
  </si>
  <si>
    <t>Real Estate</t>
  </si>
  <si>
    <t>L+SE</t>
  </si>
  <si>
    <t>SE</t>
  </si>
  <si>
    <t>AP</t>
  </si>
  <si>
    <t>Lease</t>
  </si>
  <si>
    <t>D&amp;A</t>
  </si>
  <si>
    <t>Amortization of ROU</t>
  </si>
  <si>
    <t>SBC</t>
  </si>
  <si>
    <t>Inventory Valuation</t>
  </si>
  <si>
    <t>Fair Value of Equities</t>
  </si>
  <si>
    <t>Escrow Receivable</t>
  </si>
  <si>
    <t>Real Estate Inventory</t>
  </si>
  <si>
    <t>Other Assets</t>
  </si>
  <si>
    <t>Investments</t>
  </si>
  <si>
    <t>CFFI</t>
  </si>
  <si>
    <t>CIC</t>
  </si>
  <si>
    <t>CFFF</t>
  </si>
  <si>
    <t>ESOP</t>
  </si>
  <si>
    <t>Revenue y/y</t>
  </si>
  <si>
    <t>Net Cash</t>
  </si>
  <si>
    <t>Gain on Debt</t>
  </si>
  <si>
    <t>Interest Payable</t>
  </si>
  <si>
    <t>Founded: 2014</t>
  </si>
  <si>
    <t>Homes Sold</t>
  </si>
  <si>
    <t>Homes Purchased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</si>
</sst>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4" fontId="1" fillId="0" borderId="0" xfId="0" applyNumberFormat="1" applyFont="1"/>
    <xf numFmtId="9" fontId="1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4" fontId="1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61686</xdr:colOff>
      <xdr:row>0</xdr:row>
      <xdr:rowOff>50800</xdr:rowOff>
    </xdr:from>
    <xdr:to>
      <xdr:col>8</xdr:col>
      <xdr:colOff>61686</xdr:colOff>
      <xdr:row>75</xdr:row>
      <xdr:rowOff>152400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DE11627-EB7A-DA97-FA06-08B1C67505EA}"/>
            </a:ext>
          </a:extLst>
        </xdr:cNvPr>
        <xdr:cNvCxnSpPr/>
      </xdr:nvCxnSpPr>
      <xdr:spPr>
        <a:xfrm>
          <a:off x="5363029" y="50800"/>
          <a:ext cx="0" cy="1144451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2A189-9A1C-4932-A8C2-D6FB444863BD}">
  <dimension ref="K2:M11"/>
  <sheetViews>
    <sheetView zoomScale="160" zoomScaleNormal="160" workbookViewId="0">
      <selection activeCell="K12" sqref="K12"/>
    </sheetView>
  </sheetViews>
  <sheetFormatPr defaultRowHeight="12.5" x14ac:dyDescent="0.25"/>
  <cols>
    <col min="1" max="16384" width="8.7265625" style="1"/>
  </cols>
  <sheetData>
    <row r="2" spans="11:13" x14ac:dyDescent="0.25">
      <c r="K2" s="1" t="s">
        <v>0</v>
      </c>
      <c r="L2" s="6">
        <v>7.03</v>
      </c>
    </row>
    <row r="3" spans="11:13" x14ac:dyDescent="0.25">
      <c r="K3" s="1" t="s">
        <v>1</v>
      </c>
      <c r="L3" s="3">
        <v>735.95418600000005</v>
      </c>
      <c r="M3" s="2" t="s">
        <v>13</v>
      </c>
    </row>
    <row r="4" spans="11:13" x14ac:dyDescent="0.25">
      <c r="K4" s="1" t="s">
        <v>2</v>
      </c>
      <c r="L4" s="3">
        <f>+L2*L3</f>
        <v>5173.7579275800008</v>
      </c>
    </row>
    <row r="5" spans="11:13" x14ac:dyDescent="0.25">
      <c r="K5" s="1" t="s">
        <v>3</v>
      </c>
      <c r="L5" s="3">
        <f>789+1530+396</f>
        <v>2715</v>
      </c>
      <c r="M5" s="2" t="s">
        <v>13</v>
      </c>
    </row>
    <row r="6" spans="11:13" x14ac:dyDescent="0.25">
      <c r="K6" s="1" t="s">
        <v>4</v>
      </c>
      <c r="L6" s="3">
        <f>1189+437+550+378</f>
        <v>2554</v>
      </c>
      <c r="M6" s="2" t="s">
        <v>13</v>
      </c>
    </row>
    <row r="7" spans="11:13" x14ac:dyDescent="0.25">
      <c r="K7" s="1" t="s">
        <v>5</v>
      </c>
      <c r="L7" s="3">
        <f>+L4-L5+L6</f>
        <v>5012.7579275800008</v>
      </c>
    </row>
    <row r="11" spans="11:13" x14ac:dyDescent="0.25">
      <c r="K11" s="1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EBD22-38AE-475C-B880-534ADF71CFFF}">
  <dimension ref="A1:Q67"/>
  <sheetViews>
    <sheetView tabSelected="1" zoomScale="190" zoomScaleNormal="190" workbookViewId="0">
      <pane xSplit="2" ySplit="2" topLeftCell="J34" activePane="bottomRight" state="frozen"/>
      <selection pane="topRight" activeCell="C1" sqref="C1"/>
      <selection pane="bottomLeft" activeCell="A3" sqref="A3"/>
      <selection pane="bottomRight" activeCell="M58" sqref="M58:P58"/>
    </sheetView>
  </sheetViews>
  <sheetFormatPr defaultRowHeight="12.5" x14ac:dyDescent="0.25"/>
  <cols>
    <col min="1" max="1" width="4.7265625" style="1" bestFit="1" customWidth="1"/>
    <col min="2" max="2" width="18.81640625" style="1" customWidth="1"/>
    <col min="3" max="10" width="8.7265625" style="2"/>
    <col min="11" max="16384" width="8.7265625" style="1"/>
  </cols>
  <sheetData>
    <row r="1" spans="1:16" x14ac:dyDescent="0.25">
      <c r="A1" s="1" t="s">
        <v>6</v>
      </c>
    </row>
    <row r="2" spans="1:16" x14ac:dyDescent="0.25"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15</v>
      </c>
      <c r="J2" s="2" t="s">
        <v>14</v>
      </c>
      <c r="M2" s="1">
        <v>2021</v>
      </c>
      <c r="N2" s="1">
        <v>2022</v>
      </c>
      <c r="O2" s="1">
        <v>2023</v>
      </c>
      <c r="P2" s="1">
        <v>2024</v>
      </c>
    </row>
    <row r="3" spans="1:16" x14ac:dyDescent="0.25">
      <c r="B3" s="1" t="s">
        <v>61</v>
      </c>
      <c r="N3" s="11">
        <v>39.183</v>
      </c>
      <c r="O3" s="11">
        <v>18.707999999999998</v>
      </c>
      <c r="P3" s="11">
        <v>13.5</v>
      </c>
    </row>
    <row r="4" spans="1:16" x14ac:dyDescent="0.25">
      <c r="B4" s="1" t="s">
        <v>62</v>
      </c>
      <c r="N4" s="11">
        <v>34.962000000000003</v>
      </c>
      <c r="O4" s="11">
        <v>11.246</v>
      </c>
      <c r="P4" s="11">
        <v>14.683999999999999</v>
      </c>
    </row>
    <row r="5" spans="1:16" x14ac:dyDescent="0.25">
      <c r="N5" s="6">
        <f>N7/N3</f>
        <v>397.28964091570322</v>
      </c>
      <c r="O5" s="6">
        <f>O7/O3</f>
        <v>371.28501175967506</v>
      </c>
      <c r="P5" s="6">
        <f>P7/P3</f>
        <v>381.7037037037037</v>
      </c>
    </row>
    <row r="7" spans="1:16" s="8" customFormat="1" ht="13" x14ac:dyDescent="0.3">
      <c r="B7" s="8" t="s">
        <v>7</v>
      </c>
      <c r="C7" s="9">
        <v>1181</v>
      </c>
      <c r="D7" s="9">
        <v>1511</v>
      </c>
      <c r="E7" s="9"/>
      <c r="F7" s="9"/>
      <c r="G7" s="9">
        <v>1153</v>
      </c>
      <c r="H7" s="9">
        <v>1567</v>
      </c>
      <c r="I7" s="9"/>
      <c r="J7" s="9"/>
      <c r="M7" s="8">
        <v>8021</v>
      </c>
      <c r="N7" s="8">
        <v>15567</v>
      </c>
      <c r="O7" s="8">
        <v>6946</v>
      </c>
      <c r="P7" s="8">
        <v>5153</v>
      </c>
    </row>
    <row r="8" spans="1:16" s="3" customFormat="1" x14ac:dyDescent="0.25">
      <c r="B8" s="3" t="s">
        <v>16</v>
      </c>
      <c r="C8" s="4">
        <v>1067</v>
      </c>
      <c r="D8" s="4">
        <v>1382</v>
      </c>
      <c r="E8" s="4"/>
      <c r="F8" s="4"/>
      <c r="G8" s="4">
        <v>1054</v>
      </c>
      <c r="H8" s="4">
        <v>1439</v>
      </c>
      <c r="I8" s="4"/>
      <c r="J8" s="4"/>
      <c r="M8" s="3">
        <v>7291</v>
      </c>
      <c r="N8" s="3">
        <v>14900</v>
      </c>
      <c r="O8" s="3">
        <v>6459</v>
      </c>
      <c r="P8" s="3">
        <v>4720</v>
      </c>
    </row>
    <row r="9" spans="1:16" s="3" customFormat="1" x14ac:dyDescent="0.25">
      <c r="B9" s="3" t="s">
        <v>17</v>
      </c>
      <c r="C9" s="4">
        <f>+C7-C8</f>
        <v>114</v>
      </c>
      <c r="D9" s="4">
        <f>+D7-D8</f>
        <v>129</v>
      </c>
      <c r="E9" s="4"/>
      <c r="F9" s="4"/>
      <c r="G9" s="4">
        <f>+G7-G8</f>
        <v>99</v>
      </c>
      <c r="H9" s="4">
        <f>+H7-H8</f>
        <v>128</v>
      </c>
      <c r="I9" s="4"/>
      <c r="J9" s="4"/>
      <c r="M9" s="3">
        <f>+M7-M8</f>
        <v>730</v>
      </c>
      <c r="N9" s="3">
        <f>+N7-N8</f>
        <v>667</v>
      </c>
      <c r="O9" s="3">
        <f>+O7-O8</f>
        <v>487</v>
      </c>
      <c r="P9" s="3">
        <f>+P7-P8</f>
        <v>433</v>
      </c>
    </row>
    <row r="10" spans="1:16" s="3" customFormat="1" x14ac:dyDescent="0.25">
      <c r="B10" s="3" t="s">
        <v>20</v>
      </c>
      <c r="C10" s="4">
        <v>113</v>
      </c>
      <c r="D10" s="4">
        <v>116</v>
      </c>
      <c r="E10" s="4"/>
      <c r="F10" s="4"/>
      <c r="G10" s="4">
        <v>98</v>
      </c>
      <c r="H10" s="4">
        <v>86</v>
      </c>
      <c r="I10" s="4"/>
      <c r="J10" s="4"/>
      <c r="M10" s="3">
        <v>544</v>
      </c>
      <c r="N10" s="3">
        <v>1006</v>
      </c>
      <c r="O10" s="3">
        <v>486</v>
      </c>
      <c r="P10" s="3">
        <v>413</v>
      </c>
    </row>
    <row r="11" spans="1:16" s="3" customFormat="1" x14ac:dyDescent="0.25">
      <c r="B11" s="3" t="s">
        <v>21</v>
      </c>
      <c r="C11" s="4">
        <v>47</v>
      </c>
      <c r="D11" s="4">
        <v>48</v>
      </c>
      <c r="E11" s="4"/>
      <c r="F11" s="4"/>
      <c r="G11" s="4">
        <v>33</v>
      </c>
      <c r="H11" s="4">
        <v>28</v>
      </c>
      <c r="I11" s="4"/>
      <c r="J11" s="4"/>
      <c r="M11" s="3">
        <v>620</v>
      </c>
      <c r="N11" s="3">
        <v>346</v>
      </c>
      <c r="O11" s="3">
        <v>206</v>
      </c>
      <c r="P11" s="3">
        <v>182</v>
      </c>
    </row>
    <row r="12" spans="1:16" s="3" customFormat="1" x14ac:dyDescent="0.25">
      <c r="B12" s="3" t="s">
        <v>22</v>
      </c>
      <c r="C12" s="4">
        <v>41</v>
      </c>
      <c r="D12" s="4">
        <v>37</v>
      </c>
      <c r="E12" s="4"/>
      <c r="F12" s="4"/>
      <c r="G12" s="4">
        <v>21</v>
      </c>
      <c r="H12" s="4">
        <v>21</v>
      </c>
      <c r="I12" s="4"/>
      <c r="J12" s="4"/>
      <c r="M12" s="3">
        <v>134</v>
      </c>
      <c r="N12" s="3">
        <v>169</v>
      </c>
      <c r="O12" s="3">
        <v>167</v>
      </c>
      <c r="P12" s="3">
        <v>141</v>
      </c>
    </row>
    <row r="13" spans="1:16" s="3" customFormat="1" x14ac:dyDescent="0.25">
      <c r="B13" s="3" t="s">
        <v>18</v>
      </c>
      <c r="C13" s="4">
        <f t="shared" ref="C13:F13" si="0">+C12+C11+C10</f>
        <v>201</v>
      </c>
      <c r="D13" s="4">
        <f t="shared" si="0"/>
        <v>201</v>
      </c>
      <c r="E13" s="4">
        <f t="shared" si="0"/>
        <v>0</v>
      </c>
      <c r="F13" s="4">
        <f t="shared" si="0"/>
        <v>0</v>
      </c>
      <c r="G13" s="4">
        <f>+G12+G11+G10</f>
        <v>152</v>
      </c>
      <c r="H13" s="4">
        <f>+H12+H11+H10</f>
        <v>135</v>
      </c>
      <c r="I13" s="4"/>
      <c r="J13" s="4"/>
      <c r="M13" s="4">
        <f t="shared" ref="M13:P13" si="1">+M12+M11+M10</f>
        <v>1298</v>
      </c>
      <c r="N13" s="4">
        <f t="shared" si="1"/>
        <v>1521</v>
      </c>
      <c r="O13" s="4">
        <f t="shared" si="1"/>
        <v>859</v>
      </c>
      <c r="P13" s="4">
        <f t="shared" si="1"/>
        <v>736</v>
      </c>
    </row>
    <row r="14" spans="1:16" s="3" customFormat="1" x14ac:dyDescent="0.25">
      <c r="B14" s="3" t="s">
        <v>19</v>
      </c>
      <c r="C14" s="4">
        <f t="shared" ref="C14:F14" si="2">+C9-C13</f>
        <v>-87</v>
      </c>
      <c r="D14" s="4">
        <f t="shared" si="2"/>
        <v>-72</v>
      </c>
      <c r="E14" s="4">
        <f t="shared" si="2"/>
        <v>0</v>
      </c>
      <c r="F14" s="4">
        <f t="shared" si="2"/>
        <v>0</v>
      </c>
      <c r="G14" s="4">
        <f>+G9-G13</f>
        <v>-53</v>
      </c>
      <c r="H14" s="4">
        <f>+H9-H13</f>
        <v>-7</v>
      </c>
      <c r="I14" s="4"/>
      <c r="J14" s="4"/>
      <c r="M14" s="4">
        <f t="shared" ref="M14:P14" si="3">+M9-M13</f>
        <v>-568</v>
      </c>
      <c r="N14" s="4">
        <f t="shared" si="3"/>
        <v>-854</v>
      </c>
      <c r="O14" s="4">
        <f t="shared" si="3"/>
        <v>-372</v>
      </c>
      <c r="P14" s="4">
        <f t="shared" si="3"/>
        <v>-303</v>
      </c>
    </row>
    <row r="15" spans="1:16" s="3" customFormat="1" x14ac:dyDescent="0.25">
      <c r="B15" s="3" t="s">
        <v>23</v>
      </c>
      <c r="C15" s="4">
        <v>-37</v>
      </c>
      <c r="D15" s="4">
        <f>-30+12</f>
        <v>-18</v>
      </c>
      <c r="E15" s="4"/>
      <c r="F15" s="4"/>
      <c r="G15" s="4">
        <v>-33</v>
      </c>
      <c r="H15" s="4">
        <f>-36+10</f>
        <v>-26</v>
      </c>
      <c r="I15" s="4"/>
      <c r="J15" s="4"/>
      <c r="M15" s="3">
        <v>-143</v>
      </c>
      <c r="N15" s="3">
        <v>-385</v>
      </c>
      <c r="O15" s="3">
        <v>-211</v>
      </c>
      <c r="P15" s="3">
        <v>-133</v>
      </c>
    </row>
    <row r="16" spans="1:16" s="3" customFormat="1" x14ac:dyDescent="0.25">
      <c r="B16" s="3" t="s">
        <v>24</v>
      </c>
      <c r="C16" s="4">
        <f>+C15+C14</f>
        <v>-124</v>
      </c>
      <c r="D16" s="4">
        <f t="shared" ref="D16:H16" si="4">+D15+D14</f>
        <v>-90</v>
      </c>
      <c r="E16" s="4">
        <f t="shared" si="4"/>
        <v>0</v>
      </c>
      <c r="F16" s="4">
        <f t="shared" si="4"/>
        <v>0</v>
      </c>
      <c r="G16" s="4">
        <f t="shared" si="4"/>
        <v>-86</v>
      </c>
      <c r="H16" s="4">
        <f t="shared" si="4"/>
        <v>-33</v>
      </c>
      <c r="I16" s="4"/>
      <c r="J16" s="4"/>
      <c r="M16" s="4">
        <f t="shared" ref="M16" si="5">+M15+M14</f>
        <v>-711</v>
      </c>
      <c r="N16" s="4">
        <f t="shared" ref="N16:P16" si="6">+N15+N14</f>
        <v>-1239</v>
      </c>
      <c r="O16" s="4">
        <f t="shared" si="6"/>
        <v>-583</v>
      </c>
      <c r="P16" s="4">
        <f t="shared" si="6"/>
        <v>-436</v>
      </c>
    </row>
    <row r="17" spans="2:17" s="3" customFormat="1" x14ac:dyDescent="0.25">
      <c r="B17" s="3" t="s">
        <v>25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/>
      <c r="J17" s="4"/>
      <c r="M17" s="3">
        <v>0</v>
      </c>
      <c r="N17" s="3">
        <v>0</v>
      </c>
      <c r="O17" s="3">
        <v>0</v>
      </c>
      <c r="P17" s="3">
        <v>0</v>
      </c>
    </row>
    <row r="18" spans="2:17" s="3" customFormat="1" x14ac:dyDescent="0.25">
      <c r="B18" s="3" t="s">
        <v>26</v>
      </c>
      <c r="C18" s="4">
        <f>+C16-C17</f>
        <v>-124</v>
      </c>
      <c r="D18" s="4">
        <f>+D16-D17</f>
        <v>-90</v>
      </c>
      <c r="E18" s="4">
        <f>+E16-E17</f>
        <v>0</v>
      </c>
      <c r="F18" s="4">
        <f>+F16-F17</f>
        <v>0</v>
      </c>
      <c r="G18" s="4">
        <f>+G16-G17</f>
        <v>-86</v>
      </c>
      <c r="H18" s="4">
        <f>+H16-H17</f>
        <v>-33</v>
      </c>
      <c r="I18" s="4"/>
      <c r="J18" s="4"/>
      <c r="M18" s="4">
        <f t="shared" ref="M18:P18" si="7">+M16-M17</f>
        <v>-711</v>
      </c>
      <c r="N18" s="4">
        <f t="shared" si="7"/>
        <v>-1239</v>
      </c>
      <c r="O18" s="4">
        <f t="shared" si="7"/>
        <v>-583</v>
      </c>
      <c r="P18" s="4">
        <f t="shared" si="7"/>
        <v>-436</v>
      </c>
    </row>
    <row r="19" spans="2:17" x14ac:dyDescent="0.25">
      <c r="B19" s="1" t="s">
        <v>27</v>
      </c>
      <c r="C19" s="5">
        <f>+C18/C20</f>
        <v>-0.18169642922557758</v>
      </c>
      <c r="D19" s="5">
        <f>+D18/D20</f>
        <v>-0.12978678914694028</v>
      </c>
      <c r="G19" s="5">
        <f>+G18/G20</f>
        <v>-0.11885972065201467</v>
      </c>
      <c r="H19" s="5">
        <f>+H18/H20</f>
        <v>-4.5237455516502073E-2</v>
      </c>
      <c r="M19" s="5">
        <f t="shared" ref="M19:P19" si="8">+M18/M20</f>
        <v>-1.1998501452983088</v>
      </c>
      <c r="N19" s="5">
        <f t="shared" si="8"/>
        <v>-1.7713740801793392</v>
      </c>
      <c r="O19" s="5">
        <f t="shared" si="8"/>
        <v>-0.88721692377695704</v>
      </c>
      <c r="P19" s="5">
        <f t="shared" si="8"/>
        <v>-0.69525836981047828</v>
      </c>
      <c r="Q19" s="5"/>
    </row>
    <row r="20" spans="2:17" s="3" customFormat="1" x14ac:dyDescent="0.25">
      <c r="B20" s="3" t="s">
        <v>1</v>
      </c>
      <c r="C20" s="4">
        <v>682.45699999999999</v>
      </c>
      <c r="D20" s="4">
        <v>693.44500000000005</v>
      </c>
      <c r="E20" s="4"/>
      <c r="F20" s="4"/>
      <c r="G20" s="4">
        <v>723.54200000000003</v>
      </c>
      <c r="H20" s="4">
        <v>729.48400000000004</v>
      </c>
      <c r="I20" s="4"/>
      <c r="J20" s="4"/>
      <c r="M20" s="3">
        <v>592.57399999999996</v>
      </c>
      <c r="N20" s="3">
        <v>699.45699999999999</v>
      </c>
      <c r="O20" s="3">
        <v>657.11099999999999</v>
      </c>
      <c r="P20" s="3">
        <v>627.10500000000002</v>
      </c>
    </row>
    <row r="22" spans="2:17" x14ac:dyDescent="0.25">
      <c r="B22" s="1" t="s">
        <v>56</v>
      </c>
      <c r="G22" s="7">
        <f>G7/C7-1</f>
        <v>-2.3708721422523338E-2</v>
      </c>
      <c r="H22" s="7">
        <f>H7/D7-1</f>
        <v>3.7061548643282594E-2</v>
      </c>
      <c r="N22" s="12">
        <f>+N7/M7-1</f>
        <v>0.94078045131529731</v>
      </c>
      <c r="O22" s="12">
        <f>+O7/N7-1</f>
        <v>-0.55379970450311555</v>
      </c>
      <c r="P22" s="12">
        <f>+P7/O7-1</f>
        <v>-0.25813417794414051</v>
      </c>
    </row>
    <row r="23" spans="2:17" x14ac:dyDescent="0.25">
      <c r="B23" s="1" t="s">
        <v>29</v>
      </c>
      <c r="C23" s="7">
        <f>+C9/C7</f>
        <v>9.6528365791701945E-2</v>
      </c>
      <c r="D23" s="7">
        <f>+D9/D7</f>
        <v>8.5373924553275971E-2</v>
      </c>
      <c r="G23" s="7">
        <f>+G9/G7</f>
        <v>8.5862966175195149E-2</v>
      </c>
      <c r="H23" s="7">
        <f>+H9/H7</f>
        <v>8.1684747925973203E-2</v>
      </c>
      <c r="M23" s="12">
        <f>+M9/M7</f>
        <v>9.1011095873332504E-2</v>
      </c>
      <c r="N23" s="12">
        <f>+N9/N7</f>
        <v>4.2847048243078306E-2</v>
      </c>
      <c r="O23" s="12">
        <f>+O9/O7</f>
        <v>7.0112294845954506E-2</v>
      </c>
      <c r="P23" s="12">
        <f>+P9/P7</f>
        <v>8.4028721133320397E-2</v>
      </c>
    </row>
    <row r="26" spans="2:17" x14ac:dyDescent="0.25">
      <c r="B26" s="1" t="s">
        <v>57</v>
      </c>
      <c r="F26" s="4">
        <f>+F27+F28-F37</f>
        <v>631</v>
      </c>
      <c r="G26" s="4">
        <f>+G27+G28-G37</f>
        <v>561</v>
      </c>
      <c r="H26" s="4">
        <f>+H27+H28-H37</f>
        <v>544</v>
      </c>
      <c r="O26" s="3">
        <f>+O27+O28-O37</f>
        <v>882</v>
      </c>
      <c r="P26" s="3">
        <f>+P27+P28-P37</f>
        <v>631</v>
      </c>
    </row>
    <row r="27" spans="2:17" x14ac:dyDescent="0.25">
      <c r="B27" s="1" t="s">
        <v>3</v>
      </c>
      <c r="F27" s="4">
        <f>671+92+8+6</f>
        <v>777</v>
      </c>
      <c r="G27" s="4">
        <f>559+134+20</f>
        <v>713</v>
      </c>
      <c r="H27" s="4">
        <f>789+396+10</f>
        <v>1195</v>
      </c>
      <c r="I27" s="4"/>
      <c r="O27" s="3">
        <f>999+541+69+9</f>
        <v>1618</v>
      </c>
      <c r="P27" s="3">
        <f>+F27</f>
        <v>777</v>
      </c>
    </row>
    <row r="28" spans="2:17" x14ac:dyDescent="0.25">
      <c r="B28" s="1" t="s">
        <v>38</v>
      </c>
      <c r="F28" s="4">
        <v>2159</v>
      </c>
      <c r="G28" s="4">
        <v>2362</v>
      </c>
      <c r="H28" s="4">
        <v>1530</v>
      </c>
      <c r="I28" s="4"/>
      <c r="O28" s="3">
        <v>1775</v>
      </c>
      <c r="P28" s="3">
        <f t="shared" ref="P28:P33" si="9">+F28</f>
        <v>2159</v>
      </c>
    </row>
    <row r="29" spans="2:17" x14ac:dyDescent="0.25">
      <c r="B29" s="1" t="s">
        <v>37</v>
      </c>
      <c r="F29" s="4">
        <v>61</v>
      </c>
      <c r="G29" s="4">
        <v>77</v>
      </c>
      <c r="H29" s="4">
        <v>72</v>
      </c>
      <c r="I29" s="4"/>
      <c r="O29" s="3">
        <v>52</v>
      </c>
      <c r="P29" s="3">
        <f t="shared" si="9"/>
        <v>61</v>
      </c>
    </row>
    <row r="30" spans="2:17" x14ac:dyDescent="0.25">
      <c r="B30" s="1" t="s">
        <v>36</v>
      </c>
      <c r="F30" s="4">
        <v>48</v>
      </c>
      <c r="G30" s="4">
        <v>44</v>
      </c>
      <c r="H30" s="4">
        <v>37</v>
      </c>
      <c r="O30" s="3">
        <v>66</v>
      </c>
      <c r="P30" s="3">
        <f t="shared" si="9"/>
        <v>48</v>
      </c>
    </row>
    <row r="31" spans="2:17" x14ac:dyDescent="0.25">
      <c r="B31" s="1" t="s">
        <v>35</v>
      </c>
      <c r="F31" s="4">
        <v>18</v>
      </c>
      <c r="G31" s="4">
        <v>17</v>
      </c>
      <c r="H31" s="4">
        <v>9</v>
      </c>
      <c r="O31" s="3">
        <v>25</v>
      </c>
      <c r="P31" s="3">
        <f t="shared" si="9"/>
        <v>18</v>
      </c>
    </row>
    <row r="32" spans="2:17" x14ac:dyDescent="0.25">
      <c r="B32" s="1" t="s">
        <v>34</v>
      </c>
      <c r="F32" s="4">
        <v>3</v>
      </c>
      <c r="G32" s="4">
        <v>3</v>
      </c>
      <c r="H32" s="4">
        <v>3</v>
      </c>
      <c r="O32" s="3">
        <f>4+5</f>
        <v>9</v>
      </c>
      <c r="P32" s="3">
        <f t="shared" si="9"/>
        <v>3</v>
      </c>
    </row>
    <row r="33" spans="2:16" x14ac:dyDescent="0.25">
      <c r="B33" s="1" t="s">
        <v>33</v>
      </c>
      <c r="F33" s="4">
        <v>60</v>
      </c>
      <c r="G33" s="4">
        <v>61</v>
      </c>
      <c r="H33" s="4">
        <v>61</v>
      </c>
      <c r="O33" s="3">
        <v>22</v>
      </c>
      <c r="P33" s="3">
        <f t="shared" si="9"/>
        <v>60</v>
      </c>
    </row>
    <row r="34" spans="2:16" x14ac:dyDescent="0.25">
      <c r="B34" s="1" t="s">
        <v>32</v>
      </c>
      <c r="F34" s="4">
        <f>SUM(F27:F33)</f>
        <v>3126</v>
      </c>
      <c r="G34" s="4">
        <f>SUM(G27:G33)</f>
        <v>3277</v>
      </c>
      <c r="H34" s="4">
        <f>SUM(H27:H33)</f>
        <v>2907</v>
      </c>
      <c r="O34" s="3">
        <f>SUM(O27:O33)</f>
        <v>3567</v>
      </c>
      <c r="P34" s="3">
        <f>SUM(P27:P33)</f>
        <v>3126</v>
      </c>
    </row>
    <row r="36" spans="2:16" s="3" customFormat="1" x14ac:dyDescent="0.25">
      <c r="B36" s="3" t="s">
        <v>41</v>
      </c>
      <c r="C36" s="4"/>
      <c r="D36" s="4"/>
      <c r="E36" s="4"/>
      <c r="F36" s="4">
        <v>92</v>
      </c>
      <c r="G36" s="4">
        <v>102</v>
      </c>
      <c r="H36" s="4">
        <v>86</v>
      </c>
      <c r="I36" s="4"/>
      <c r="J36" s="4"/>
      <c r="O36" s="3">
        <v>64</v>
      </c>
      <c r="P36" s="3">
        <f t="shared" ref="P36:P40" si="10">+F36</f>
        <v>92</v>
      </c>
    </row>
    <row r="37" spans="2:16" s="3" customFormat="1" x14ac:dyDescent="0.25">
      <c r="B37" s="3" t="s">
        <v>4</v>
      </c>
      <c r="C37" s="4"/>
      <c r="D37" s="4"/>
      <c r="E37" s="4"/>
      <c r="F37" s="4">
        <f>432+1492+378+3</f>
        <v>2305</v>
      </c>
      <c r="G37" s="4">
        <f>946+1187+3+378</f>
        <v>2514</v>
      </c>
      <c r="H37" s="4">
        <f>550+1189+5+437</f>
        <v>2181</v>
      </c>
      <c r="I37" s="4"/>
      <c r="J37" s="4"/>
      <c r="O37" s="3">
        <f>1+2134+376</f>
        <v>2511</v>
      </c>
      <c r="P37" s="3">
        <f t="shared" si="10"/>
        <v>2305</v>
      </c>
    </row>
    <row r="38" spans="2:16" s="3" customFormat="1" x14ac:dyDescent="0.25">
      <c r="B38" s="3" t="s">
        <v>42</v>
      </c>
      <c r="C38" s="4"/>
      <c r="D38" s="4"/>
      <c r="E38" s="4"/>
      <c r="F38" s="4">
        <f>2+13</f>
        <v>15</v>
      </c>
      <c r="G38" s="4">
        <f>2+13</f>
        <v>15</v>
      </c>
      <c r="H38" s="4">
        <f>2+6</f>
        <v>8</v>
      </c>
      <c r="I38" s="4"/>
      <c r="J38" s="4"/>
      <c r="O38" s="3">
        <f>5+19</f>
        <v>24</v>
      </c>
      <c r="P38" s="3">
        <f t="shared" si="10"/>
        <v>15</v>
      </c>
    </row>
    <row r="39" spans="2:16" s="3" customFormat="1" x14ac:dyDescent="0.25">
      <c r="B39" s="3" t="s">
        <v>33</v>
      </c>
      <c r="C39" s="4"/>
      <c r="D39" s="4"/>
      <c r="E39" s="4"/>
      <c r="F39" s="4">
        <v>1</v>
      </c>
      <c r="G39" s="4">
        <v>1</v>
      </c>
      <c r="H39" s="4">
        <v>1</v>
      </c>
      <c r="I39" s="4"/>
      <c r="J39" s="4"/>
      <c r="O39" s="3">
        <v>1</v>
      </c>
      <c r="P39" s="3">
        <f t="shared" si="10"/>
        <v>1</v>
      </c>
    </row>
    <row r="40" spans="2:16" s="3" customFormat="1" x14ac:dyDescent="0.25">
      <c r="B40" s="3" t="s">
        <v>40</v>
      </c>
      <c r="C40" s="4"/>
      <c r="D40" s="4"/>
      <c r="E40" s="4"/>
      <c r="F40" s="4">
        <v>713</v>
      </c>
      <c r="G40" s="4">
        <v>645</v>
      </c>
      <c r="H40" s="4">
        <v>631</v>
      </c>
      <c r="I40" s="4"/>
      <c r="J40" s="4"/>
      <c r="O40" s="3">
        <v>967</v>
      </c>
      <c r="P40" s="3">
        <f t="shared" si="10"/>
        <v>713</v>
      </c>
    </row>
    <row r="41" spans="2:16" s="3" customFormat="1" x14ac:dyDescent="0.25">
      <c r="B41" s="3" t="s">
        <v>39</v>
      </c>
      <c r="C41" s="4"/>
      <c r="D41" s="4"/>
      <c r="E41" s="4"/>
      <c r="F41" s="4">
        <f t="shared" ref="F41" si="11">SUM(F36:F40)</f>
        <v>3126</v>
      </c>
      <c r="G41" s="4">
        <f>SUM(G36:G40)</f>
        <v>3277</v>
      </c>
      <c r="H41" s="4">
        <f t="shared" ref="H41" si="12">SUM(H36:H40)</f>
        <v>2907</v>
      </c>
      <c r="I41" s="4"/>
      <c r="J41" s="4"/>
      <c r="O41" s="3">
        <f>SUM(O36:O40)</f>
        <v>3567</v>
      </c>
      <c r="P41" s="3">
        <f>SUM(P36:P40)</f>
        <v>3126</v>
      </c>
    </row>
    <row r="43" spans="2:16" x14ac:dyDescent="0.25">
      <c r="B43" s="1" t="s">
        <v>31</v>
      </c>
      <c r="G43" s="4">
        <f>+G18</f>
        <v>-86</v>
      </c>
      <c r="H43" s="4">
        <f>+H18</f>
        <v>-33</v>
      </c>
      <c r="O43" s="4">
        <f t="shared" ref="O43:P43" si="13">+O18</f>
        <v>-583</v>
      </c>
      <c r="P43" s="4">
        <f t="shared" si="13"/>
        <v>-436</v>
      </c>
    </row>
    <row r="44" spans="2:16" x14ac:dyDescent="0.25">
      <c r="B44" s="1" t="s">
        <v>30</v>
      </c>
      <c r="G44" s="2">
        <v>-85</v>
      </c>
      <c r="H44" s="2">
        <f>-114-G44</f>
        <v>-29</v>
      </c>
      <c r="O44" s="3">
        <v>-275</v>
      </c>
      <c r="P44" s="1">
        <v>-392</v>
      </c>
    </row>
    <row r="45" spans="2:16" x14ac:dyDescent="0.25">
      <c r="B45" s="1" t="s">
        <v>43</v>
      </c>
      <c r="G45" s="2">
        <v>10</v>
      </c>
      <c r="H45" s="2">
        <f>22-G45</f>
        <v>12</v>
      </c>
      <c r="O45" s="3">
        <v>66</v>
      </c>
      <c r="P45" s="1">
        <v>48</v>
      </c>
    </row>
    <row r="46" spans="2:16" x14ac:dyDescent="0.25">
      <c r="B46" s="1" t="s">
        <v>44</v>
      </c>
      <c r="G46" s="2">
        <v>1</v>
      </c>
      <c r="H46" s="2">
        <f>1-G46</f>
        <v>0</v>
      </c>
      <c r="O46" s="3">
        <v>7</v>
      </c>
      <c r="P46" s="1">
        <v>5</v>
      </c>
    </row>
    <row r="47" spans="2:16" x14ac:dyDescent="0.25">
      <c r="B47" s="1" t="s">
        <v>45</v>
      </c>
      <c r="G47" s="2">
        <v>14</v>
      </c>
      <c r="H47" s="2">
        <f>27-G47</f>
        <v>13</v>
      </c>
      <c r="O47" s="3">
        <v>126</v>
      </c>
      <c r="P47" s="1">
        <v>114</v>
      </c>
    </row>
    <row r="48" spans="2:16" x14ac:dyDescent="0.25">
      <c r="B48" s="1" t="s">
        <v>46</v>
      </c>
      <c r="G48" s="2">
        <v>13</v>
      </c>
      <c r="H48" s="2">
        <f>34-G48</f>
        <v>21</v>
      </c>
      <c r="O48" s="3">
        <v>65</v>
      </c>
      <c r="P48" s="1">
        <v>57</v>
      </c>
    </row>
    <row r="49" spans="2:16" x14ac:dyDescent="0.25">
      <c r="B49" s="1" t="s">
        <v>47</v>
      </c>
      <c r="G49" s="2">
        <v>3</v>
      </c>
      <c r="H49" s="2">
        <f>3-G49</f>
        <v>0</v>
      </c>
      <c r="O49" s="3">
        <v>1</v>
      </c>
      <c r="P49" s="1">
        <v>7</v>
      </c>
    </row>
    <row r="50" spans="2:16" x14ac:dyDescent="0.25">
      <c r="B50" s="1" t="s">
        <v>33</v>
      </c>
      <c r="G50" s="2">
        <v>0</v>
      </c>
      <c r="H50" s="2">
        <f>4-G50</f>
        <v>4</v>
      </c>
      <c r="O50" s="3">
        <v>13</v>
      </c>
      <c r="P50" s="1">
        <f>7-14+2</f>
        <v>-5</v>
      </c>
    </row>
    <row r="51" spans="2:16" x14ac:dyDescent="0.25">
      <c r="B51" s="1" t="s">
        <v>58</v>
      </c>
      <c r="G51" s="2">
        <v>0</v>
      </c>
      <c r="H51" s="2">
        <f>-10-G51</f>
        <v>-10</v>
      </c>
      <c r="O51" s="3">
        <v>-216</v>
      </c>
      <c r="P51" s="1">
        <v>0</v>
      </c>
    </row>
    <row r="52" spans="2:16" x14ac:dyDescent="0.25">
      <c r="B52" s="1" t="s">
        <v>48</v>
      </c>
      <c r="G52" s="2">
        <v>-14</v>
      </c>
      <c r="H52" s="2">
        <f>-4-G52</f>
        <v>10</v>
      </c>
      <c r="O52" s="3">
        <v>21</v>
      </c>
      <c r="P52" s="1">
        <v>3</v>
      </c>
    </row>
    <row r="53" spans="2:16" ht="13" x14ac:dyDescent="0.3">
      <c r="B53" s="1" t="s">
        <v>49</v>
      </c>
      <c r="G53" s="10">
        <v>-212</v>
      </c>
      <c r="H53" s="10">
        <f>593-G53</f>
        <v>805</v>
      </c>
      <c r="O53" s="3">
        <v>2613</v>
      </c>
      <c r="P53" s="1">
        <v>-449</v>
      </c>
    </row>
    <row r="54" spans="2:16" x14ac:dyDescent="0.25">
      <c r="B54" s="1" t="s">
        <v>50</v>
      </c>
      <c r="G54" s="2">
        <v>-16</v>
      </c>
      <c r="H54" s="2">
        <f>-11-G54</f>
        <v>5</v>
      </c>
      <c r="O54" s="3">
        <v>-19</v>
      </c>
      <c r="P54" s="1">
        <v>-10</v>
      </c>
    </row>
    <row r="55" spans="2:16" x14ac:dyDescent="0.25">
      <c r="B55" s="1" t="s">
        <v>41</v>
      </c>
      <c r="G55" s="2">
        <v>8</v>
      </c>
      <c r="H55" s="2">
        <f>-2-G55</f>
        <v>-10</v>
      </c>
      <c r="O55" s="3">
        <v>-38</v>
      </c>
      <c r="P55" s="1">
        <v>31</v>
      </c>
    </row>
    <row r="56" spans="2:16" x14ac:dyDescent="0.25">
      <c r="B56" s="1" t="s">
        <v>59</v>
      </c>
      <c r="G56" s="2">
        <v>0</v>
      </c>
      <c r="H56" s="2">
        <f>2-G56</f>
        <v>2</v>
      </c>
      <c r="O56" s="3">
        <v>-10</v>
      </c>
      <c r="P56" s="1">
        <v>2</v>
      </c>
    </row>
    <row r="57" spans="2:16" x14ac:dyDescent="0.25">
      <c r="B57" s="1" t="s">
        <v>42</v>
      </c>
      <c r="G57" s="2">
        <v>-1</v>
      </c>
      <c r="H57" s="2">
        <f>-1-G57</f>
        <v>0</v>
      </c>
      <c r="O57" s="3">
        <v>-10</v>
      </c>
      <c r="P57" s="1">
        <v>-6</v>
      </c>
    </row>
    <row r="58" spans="2:16" x14ac:dyDescent="0.25">
      <c r="B58" s="1" t="s">
        <v>28</v>
      </c>
      <c r="G58" s="4">
        <f>SUM(G44:G57)</f>
        <v>-279</v>
      </c>
      <c r="H58" s="4">
        <f>SUM(H44:H57)</f>
        <v>823</v>
      </c>
      <c r="M58" s="3">
        <v>-5794</v>
      </c>
      <c r="N58" s="3">
        <v>730</v>
      </c>
      <c r="O58" s="3">
        <f>SUM(O44:O57)</f>
        <v>2344</v>
      </c>
      <c r="P58" s="3">
        <f>SUM(P44:P57)</f>
        <v>-595</v>
      </c>
    </row>
    <row r="60" spans="2:16" x14ac:dyDescent="0.25">
      <c r="B60" s="1" t="s">
        <v>36</v>
      </c>
      <c r="G60" s="2">
        <v>-4</v>
      </c>
      <c r="H60" s="2">
        <f>-6-G60</f>
        <v>-2</v>
      </c>
      <c r="O60" s="1">
        <v>-37</v>
      </c>
      <c r="P60" s="1">
        <v>-25</v>
      </c>
    </row>
    <row r="61" spans="2:16" x14ac:dyDescent="0.25">
      <c r="B61" s="1" t="s">
        <v>51</v>
      </c>
      <c r="G61" s="2">
        <v>6</v>
      </c>
      <c r="H61" s="2">
        <f>6-G61</f>
        <v>0</v>
      </c>
      <c r="O61" s="1">
        <f>80+1</f>
        <v>81</v>
      </c>
      <c r="P61" s="1">
        <f>55-2</f>
        <v>53</v>
      </c>
    </row>
    <row r="62" spans="2:16" x14ac:dyDescent="0.25">
      <c r="B62" s="1" t="s">
        <v>52</v>
      </c>
      <c r="G62" s="2">
        <f>+G60+G61</f>
        <v>2</v>
      </c>
      <c r="H62" s="2">
        <f>+H60+H61</f>
        <v>-2</v>
      </c>
      <c r="O62" s="1">
        <f>SUM(O60:O61)</f>
        <v>44</v>
      </c>
      <c r="P62" s="1">
        <f>SUM(P60:P61)</f>
        <v>28</v>
      </c>
    </row>
    <row r="64" spans="2:16" x14ac:dyDescent="0.25">
      <c r="B64" s="1" t="s">
        <v>55</v>
      </c>
      <c r="G64" s="2">
        <v>1</v>
      </c>
      <c r="H64" s="2">
        <f>1-G64</f>
        <v>0</v>
      </c>
      <c r="O64" s="1">
        <f>3+2</f>
        <v>5</v>
      </c>
      <c r="P64" s="1">
        <v>5</v>
      </c>
    </row>
    <row r="65" spans="2:16" x14ac:dyDescent="0.25">
      <c r="B65" s="1" t="s">
        <v>4</v>
      </c>
      <c r="G65" s="2">
        <f>576-362-8</f>
        <v>206</v>
      </c>
      <c r="H65" s="2">
        <f>75+671-853-16-G65</f>
        <v>-329</v>
      </c>
      <c r="O65" s="3">
        <f>-362-2515-1-4+238</f>
        <v>-2644</v>
      </c>
      <c r="P65" s="3">
        <f>2+498-715</f>
        <v>-215</v>
      </c>
    </row>
    <row r="66" spans="2:16" x14ac:dyDescent="0.25">
      <c r="B66" s="1" t="s">
        <v>54</v>
      </c>
      <c r="G66" s="2">
        <f>+G64+G65</f>
        <v>207</v>
      </c>
      <c r="H66" s="2">
        <f>+H64+H65</f>
        <v>-329</v>
      </c>
      <c r="O66" s="3">
        <f>SUM(O64:O65)</f>
        <v>-2639</v>
      </c>
      <c r="P66" s="3">
        <f>SUM(P64:P65)</f>
        <v>-210</v>
      </c>
    </row>
    <row r="67" spans="2:16" x14ac:dyDescent="0.25">
      <c r="B67" s="1" t="s">
        <v>53</v>
      </c>
      <c r="G67" s="4">
        <f>+G66+G62+G58</f>
        <v>-70</v>
      </c>
      <c r="H67" s="4">
        <f>+H66+H62+H58</f>
        <v>492</v>
      </c>
      <c r="O67" s="4">
        <f>+O66+O62+O58</f>
        <v>-251</v>
      </c>
      <c r="P67" s="4">
        <f>+P66+P62+P58</f>
        <v>-777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2025-07-21T13:19:37Z</dcterms:created>
  <dcterms:modified xsi:type="dcterms:W3CDTF">2025-09-08T14:05:02Z</dcterms:modified>
</cp:coreProperties>
</file>