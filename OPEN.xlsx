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B305C23-C392-4A70-8890-93694AEAF4E7}" xr6:coauthVersionLast="47" xr6:coauthVersionMax="47" xr10:uidLastSave="{00000000-0000-0000-0000-000000000000}"/>
  <bookViews>
    <workbookView xWindow="39290" yWindow="2690" windowWidth="23040" windowHeight="15810" activeTab="1" xr2:uid="{86A83B59-9E37-4F9C-9F7E-B57C067D500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2" l="1"/>
  <c r="AA16" i="2" s="1"/>
  <c r="AB16" i="2" s="1"/>
  <c r="AC16" i="2" s="1"/>
  <c r="AD16" i="2" s="1"/>
  <c r="AE16" i="2" s="1"/>
  <c r="U13" i="2"/>
  <c r="U12" i="2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U11" i="2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U21" i="2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V2" i="2"/>
  <c r="W2" i="2" s="1"/>
  <c r="X2" i="2" s="1"/>
  <c r="Y2" i="2" s="1"/>
  <c r="Z2" i="2" s="1"/>
  <c r="AA2" i="2" s="1"/>
  <c r="AB2" i="2" s="1"/>
  <c r="AC2" i="2" s="1"/>
  <c r="AD2" i="2" s="1"/>
  <c r="AE2" i="2" s="1"/>
  <c r="M21" i="2"/>
  <c r="N21" i="2" s="1"/>
  <c r="N16" i="2"/>
  <c r="M16" i="2"/>
  <c r="M11" i="2"/>
  <c r="N11" i="2" s="1"/>
  <c r="M12" i="2"/>
  <c r="N12" i="2" s="1"/>
  <c r="M13" i="2"/>
  <c r="N13" i="2" s="1"/>
  <c r="N8" i="2"/>
  <c r="N23" i="2" s="1"/>
  <c r="M8" i="2"/>
  <c r="M23" i="2" s="1"/>
  <c r="J23" i="2"/>
  <c r="F14" i="2"/>
  <c r="F10" i="2"/>
  <c r="F24" i="2" s="1"/>
  <c r="I10" i="2"/>
  <c r="I24" i="2" s="1"/>
  <c r="J10" i="2"/>
  <c r="J24" i="2" s="1"/>
  <c r="R23" i="2"/>
  <c r="Q14" i="2"/>
  <c r="Q10" i="2"/>
  <c r="Q24" i="2" s="1"/>
  <c r="S66" i="2"/>
  <c r="S65" i="2"/>
  <c r="S62" i="2"/>
  <c r="S63" i="2" s="1"/>
  <c r="S59" i="2"/>
  <c r="T66" i="2"/>
  <c r="T67" i="2" s="1"/>
  <c r="T62" i="2"/>
  <c r="T63" i="2" s="1"/>
  <c r="T51" i="2"/>
  <c r="T59" i="2"/>
  <c r="S39" i="2"/>
  <c r="S38" i="2"/>
  <c r="S42" i="2" s="1"/>
  <c r="S33" i="2"/>
  <c r="S28" i="2"/>
  <c r="T41" i="2"/>
  <c r="T40" i="2"/>
  <c r="T37" i="2"/>
  <c r="T34" i="2"/>
  <c r="T33" i="2"/>
  <c r="T32" i="2"/>
  <c r="T31" i="2"/>
  <c r="T30" i="2"/>
  <c r="T29" i="2"/>
  <c r="T5" i="2"/>
  <c r="S5" i="2"/>
  <c r="R5" i="2"/>
  <c r="S23" i="2"/>
  <c r="T23" i="2"/>
  <c r="T10" i="2"/>
  <c r="T24" i="2" s="1"/>
  <c r="S10" i="2"/>
  <c r="S24" i="2" s="1"/>
  <c r="T14" i="2"/>
  <c r="S14" i="2"/>
  <c r="R14" i="2"/>
  <c r="R10" i="2"/>
  <c r="R24" i="2" s="1"/>
  <c r="J39" i="2"/>
  <c r="T39" i="2" s="1"/>
  <c r="J38" i="2"/>
  <c r="T38" i="2" s="1"/>
  <c r="J28" i="2"/>
  <c r="L65" i="2"/>
  <c r="L62" i="2"/>
  <c r="L61" i="2"/>
  <c r="L57" i="2"/>
  <c r="L55" i="2"/>
  <c r="L54" i="2"/>
  <c r="L53" i="2"/>
  <c r="L58" i="2"/>
  <c r="L56" i="2"/>
  <c r="L52" i="2"/>
  <c r="L51" i="2"/>
  <c r="L50" i="2"/>
  <c r="L49" i="2"/>
  <c r="L48" i="2"/>
  <c r="L47" i="2"/>
  <c r="L46" i="2"/>
  <c r="L45" i="2"/>
  <c r="L39" i="2"/>
  <c r="L38" i="2"/>
  <c r="L42" i="2" s="1"/>
  <c r="L28" i="2"/>
  <c r="L35" i="2" s="1"/>
  <c r="K23" i="2"/>
  <c r="L23" i="2"/>
  <c r="K66" i="2"/>
  <c r="K67" i="2" s="1"/>
  <c r="K63" i="2"/>
  <c r="K59" i="2"/>
  <c r="L6" i="1"/>
  <c r="K38" i="2"/>
  <c r="K39" i="2"/>
  <c r="K28" i="2"/>
  <c r="K35" i="2" s="1"/>
  <c r="H16" i="2"/>
  <c r="L16" i="2"/>
  <c r="L14" i="2"/>
  <c r="H10" i="2"/>
  <c r="H24" i="2" s="1"/>
  <c r="L10" i="2"/>
  <c r="L24" i="2" s="1"/>
  <c r="L5" i="1"/>
  <c r="J14" i="2"/>
  <c r="I14" i="2"/>
  <c r="H14" i="2"/>
  <c r="G14" i="2"/>
  <c r="K14" i="2"/>
  <c r="G10" i="2"/>
  <c r="G24" i="2" s="1"/>
  <c r="K10" i="2"/>
  <c r="L4" i="1"/>
  <c r="L7" i="1" s="1"/>
  <c r="U8" i="2" l="1"/>
  <c r="V8" i="2" s="1"/>
  <c r="J27" i="2"/>
  <c r="J42" i="2"/>
  <c r="M14" i="2"/>
  <c r="R6" i="2"/>
  <c r="S6" i="2"/>
  <c r="T6" i="2"/>
  <c r="I15" i="2"/>
  <c r="I17" i="2" s="1"/>
  <c r="I19" i="2" s="1"/>
  <c r="I20" i="2" s="1"/>
  <c r="J15" i="2"/>
  <c r="J17" i="2" s="1"/>
  <c r="J19" i="2" s="1"/>
  <c r="J20" i="2" s="1"/>
  <c r="L63" i="2"/>
  <c r="V23" i="2"/>
  <c r="V10" i="2"/>
  <c r="V24" i="2" s="1"/>
  <c r="W8" i="2"/>
  <c r="V9" i="2"/>
  <c r="N10" i="2"/>
  <c r="N24" i="2" s="1"/>
  <c r="U14" i="2"/>
  <c r="U10" i="2"/>
  <c r="U24" i="2" s="1"/>
  <c r="U23" i="2"/>
  <c r="F15" i="2"/>
  <c r="F17" i="2" s="1"/>
  <c r="F19" i="2" s="1"/>
  <c r="F20" i="2" s="1"/>
  <c r="M10" i="2"/>
  <c r="V13" i="2"/>
  <c r="N9" i="2"/>
  <c r="M15" i="2"/>
  <c r="M17" i="2" s="1"/>
  <c r="M19" i="2" s="1"/>
  <c r="M20" i="2" s="1"/>
  <c r="N14" i="2"/>
  <c r="N15" i="2" s="1"/>
  <c r="N17" i="2" s="1"/>
  <c r="N19" i="2" s="1"/>
  <c r="N20" i="2" s="1"/>
  <c r="T42" i="2"/>
  <c r="S27" i="2"/>
  <c r="T15" i="2"/>
  <c r="T17" i="2" s="1"/>
  <c r="T19" i="2" s="1"/>
  <c r="T20" i="2" s="1"/>
  <c r="S15" i="2"/>
  <c r="S17" i="2" s="1"/>
  <c r="S19" i="2" s="1"/>
  <c r="S20" i="2" s="1"/>
  <c r="Q15" i="2"/>
  <c r="Q17" i="2" s="1"/>
  <c r="Q19" i="2" s="1"/>
  <c r="Q20" i="2" s="1"/>
  <c r="S35" i="2"/>
  <c r="S44" i="2"/>
  <c r="T68" i="2"/>
  <c r="T28" i="2"/>
  <c r="S67" i="2"/>
  <c r="S68" i="2" s="1"/>
  <c r="R15" i="2"/>
  <c r="R17" i="2" s="1"/>
  <c r="R19" i="2" s="1"/>
  <c r="R20" i="2" s="1"/>
  <c r="J35" i="2"/>
  <c r="L27" i="2"/>
  <c r="L66" i="2"/>
  <c r="L67" i="2" s="1"/>
  <c r="L59" i="2"/>
  <c r="K27" i="2"/>
  <c r="K42" i="2"/>
  <c r="K68" i="2"/>
  <c r="K15" i="2"/>
  <c r="K17" i="2" s="1"/>
  <c r="K19" i="2" s="1"/>
  <c r="K44" i="2" s="1"/>
  <c r="G15" i="2"/>
  <c r="G17" i="2" s="1"/>
  <c r="G19" i="2" s="1"/>
  <c r="G20" i="2" s="1"/>
  <c r="K24" i="2"/>
  <c r="L15" i="2"/>
  <c r="L17" i="2" s="1"/>
  <c r="L19" i="2" s="1"/>
  <c r="H15" i="2"/>
  <c r="H17" i="2" s="1"/>
  <c r="H19" i="2" s="1"/>
  <c r="H20" i="2" s="1"/>
  <c r="T44" i="2" l="1"/>
  <c r="M9" i="2"/>
  <c r="M24" i="2"/>
  <c r="U15" i="2"/>
  <c r="U17" i="2" s="1"/>
  <c r="U19" i="2" s="1"/>
  <c r="U20" i="2" s="1"/>
  <c r="U9" i="2"/>
  <c r="X8" i="2"/>
  <c r="W23" i="2"/>
  <c r="W10" i="2"/>
  <c r="W24" i="2" s="1"/>
  <c r="W9" i="2"/>
  <c r="V14" i="2"/>
  <c r="V15" i="2" s="1"/>
  <c r="V17" i="2" s="1"/>
  <c r="V19" i="2" s="1"/>
  <c r="V20" i="2" s="1"/>
  <c r="W13" i="2"/>
  <c r="K20" i="2"/>
  <c r="T27" i="2"/>
  <c r="T35" i="2"/>
  <c r="L68" i="2"/>
  <c r="L20" i="2"/>
  <c r="L44" i="2"/>
  <c r="X23" i="2" l="1"/>
  <c r="Y8" i="2"/>
  <c r="X10" i="2"/>
  <c r="X13" i="2"/>
  <c r="W14" i="2"/>
  <c r="W15" i="2" s="1"/>
  <c r="W17" i="2" s="1"/>
  <c r="W19" i="2" s="1"/>
  <c r="W20" i="2" s="1"/>
  <c r="X9" i="2" l="1"/>
  <c r="X24" i="2"/>
  <c r="Y23" i="2"/>
  <c r="Y10" i="2"/>
  <c r="Z8" i="2"/>
  <c r="X14" i="2"/>
  <c r="X15" i="2" s="1"/>
  <c r="X17" i="2" s="1"/>
  <c r="X19" i="2" s="1"/>
  <c r="Y13" i="2"/>
  <c r="AA8" i="2" l="1"/>
  <c r="Z10" i="2"/>
  <c r="Z24" i="2" s="1"/>
  <c r="Z23" i="2"/>
  <c r="Y9" i="2"/>
  <c r="Y24" i="2"/>
  <c r="X20" i="2"/>
  <c r="Y14" i="2"/>
  <c r="Y15" i="2" s="1"/>
  <c r="Y17" i="2" s="1"/>
  <c r="Z13" i="2"/>
  <c r="Z9" i="2" l="1"/>
  <c r="AB8" i="2"/>
  <c r="AA10" i="2"/>
  <c r="AA24" i="2" s="1"/>
  <c r="AA23" i="2"/>
  <c r="AA9" i="2"/>
  <c r="Y18" i="2"/>
  <c r="Y19" i="2" s="1"/>
  <c r="Z14" i="2"/>
  <c r="Z15" i="2" s="1"/>
  <c r="Z17" i="2" s="1"/>
  <c r="AA13" i="2"/>
  <c r="AC8" i="2" l="1"/>
  <c r="AB10" i="2"/>
  <c r="AB24" i="2" s="1"/>
  <c r="AB23" i="2"/>
  <c r="AB9" i="2"/>
  <c r="Y20" i="2"/>
  <c r="Z18" i="2"/>
  <c r="Z19" i="2" s="1"/>
  <c r="AA14" i="2"/>
  <c r="AA15" i="2" s="1"/>
  <c r="AA17" i="2" s="1"/>
  <c r="AB13" i="2"/>
  <c r="AD8" i="2" l="1"/>
  <c r="AC23" i="2"/>
  <c r="AC10" i="2"/>
  <c r="AC24" i="2" s="1"/>
  <c r="AC9" i="2"/>
  <c r="Z20" i="2"/>
  <c r="AA18" i="2"/>
  <c r="AA19" i="2" s="1"/>
  <c r="AC13" i="2"/>
  <c r="AB14" i="2"/>
  <c r="AB15" i="2" s="1"/>
  <c r="AB17" i="2" s="1"/>
  <c r="AE8" i="2" l="1"/>
  <c r="AD10" i="2"/>
  <c r="AD24" i="2" s="1"/>
  <c r="AD23" i="2"/>
  <c r="AD9" i="2"/>
  <c r="AA20" i="2"/>
  <c r="AB18" i="2"/>
  <c r="AB19" i="2" s="1"/>
  <c r="AB20" i="2" s="1"/>
  <c r="AD13" i="2"/>
  <c r="AC14" i="2"/>
  <c r="AC15" i="2" s="1"/>
  <c r="AC17" i="2" s="1"/>
  <c r="AE10" i="2" l="1"/>
  <c r="AE24" i="2" s="1"/>
  <c r="AE23" i="2"/>
  <c r="AE9" i="2"/>
  <c r="AC18" i="2"/>
  <c r="AC19" i="2" s="1"/>
  <c r="AE13" i="2"/>
  <c r="AE14" i="2" s="1"/>
  <c r="AE15" i="2" s="1"/>
  <c r="AE17" i="2" s="1"/>
  <c r="AD14" i="2"/>
  <c r="AD15" i="2" s="1"/>
  <c r="AD17" i="2" s="1"/>
  <c r="AC20" i="2" l="1"/>
  <c r="AD18" i="2"/>
  <c r="AD19" i="2" s="1"/>
  <c r="AD20" i="2" s="1"/>
  <c r="AE18" i="2"/>
  <c r="AE19" i="2" s="1"/>
  <c r="AE20" i="2" l="1"/>
  <c r="AF19" i="2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AH24" i="2" s="1"/>
  <c r="AH25" i="2" s="1"/>
</calcChain>
</file>

<file path=xl/sharedStrings.xml><?xml version="1.0" encoding="utf-8"?>
<sst xmlns="http://schemas.openxmlformats.org/spreadsheetml/2006/main" count="85" uniqueCount="73">
  <si>
    <t>Price</t>
  </si>
  <si>
    <t>Shares</t>
  </si>
  <si>
    <t>MC</t>
  </si>
  <si>
    <t>Cash</t>
  </si>
  <si>
    <t>Debt</t>
  </si>
  <si>
    <t>EV</t>
  </si>
  <si>
    <t>Main</t>
  </si>
  <si>
    <t>Revenue</t>
  </si>
  <si>
    <t>Q124</t>
  </si>
  <si>
    <t>Q224</t>
  </si>
  <si>
    <t>Q324</t>
  </si>
  <si>
    <t>Q424</t>
  </si>
  <si>
    <t>Q125</t>
  </si>
  <si>
    <t>Q225</t>
  </si>
  <si>
    <t>Q425</t>
  </si>
  <si>
    <t>Q325</t>
  </si>
  <si>
    <t>COGS</t>
  </si>
  <si>
    <t>Gross Profit</t>
  </si>
  <si>
    <t>Operating Expenses</t>
  </si>
  <si>
    <t>Operating Income</t>
  </si>
  <si>
    <t>S&amp;M</t>
  </si>
  <si>
    <t>G&amp;A</t>
  </si>
  <si>
    <t>R&amp;D</t>
  </si>
  <si>
    <t>Interest Expense</t>
  </si>
  <si>
    <t>Pretax Income</t>
  </si>
  <si>
    <t>Taxes</t>
  </si>
  <si>
    <t>Net Income</t>
  </si>
  <si>
    <t>EPS</t>
  </si>
  <si>
    <t>CFFO</t>
  </si>
  <si>
    <t>Gross Margin</t>
  </si>
  <si>
    <t>Reported NI</t>
  </si>
  <si>
    <t>Model NI</t>
  </si>
  <si>
    <t>Assets</t>
  </si>
  <si>
    <t>Other</t>
  </si>
  <si>
    <t>Goodwill</t>
  </si>
  <si>
    <t>ROA</t>
  </si>
  <si>
    <t>PP&amp;E</t>
  </si>
  <si>
    <t>OCA</t>
  </si>
  <si>
    <t>Real Estate</t>
  </si>
  <si>
    <t>L+SE</t>
  </si>
  <si>
    <t>SE</t>
  </si>
  <si>
    <t>AP</t>
  </si>
  <si>
    <t>Lease</t>
  </si>
  <si>
    <t>D&amp;A</t>
  </si>
  <si>
    <t>Amortization of ROU</t>
  </si>
  <si>
    <t>SBC</t>
  </si>
  <si>
    <t>Inventory Valuation</t>
  </si>
  <si>
    <t>Fair Value of Equities</t>
  </si>
  <si>
    <t>Escrow Receivable</t>
  </si>
  <si>
    <t>Real Estate Inventory</t>
  </si>
  <si>
    <t>Other Assets</t>
  </si>
  <si>
    <t>Investments</t>
  </si>
  <si>
    <t>CFFI</t>
  </si>
  <si>
    <t>CIC</t>
  </si>
  <si>
    <t>CFFF</t>
  </si>
  <si>
    <t>ESOP</t>
  </si>
  <si>
    <t>Revenue y/y</t>
  </si>
  <si>
    <t>Net Cash</t>
  </si>
  <si>
    <t>Gain on Debt</t>
  </si>
  <si>
    <t>Interest Payable</t>
  </si>
  <si>
    <t>Founded: 2014</t>
  </si>
  <si>
    <t>Homes Sold</t>
  </si>
  <si>
    <t>Homes Purchased</t>
  </si>
  <si>
    <t>Q123</t>
  </si>
  <si>
    <t>Q223</t>
  </si>
  <si>
    <t>Q323</t>
  </si>
  <si>
    <t>Q423</t>
  </si>
  <si>
    <t>ASP/Home Sold</t>
  </si>
  <si>
    <t>Take Rate?</t>
  </si>
  <si>
    <t>Discount</t>
  </si>
  <si>
    <t>Maturity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</si>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</sst>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9" fontId="2" fillId="0" borderId="0" xfId="0" applyNumberFormat="1" applyFont="1" applyAlignment="1">
      <alignment horizontal="right"/>
    </xf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61686</xdr:colOff>
      <xdr:row>0</xdr:row>
      <xdr:rowOff>50800</xdr:rowOff>
    </xdr:from>
    <xdr:to>
      <xdr:col>12</xdr:col>
      <xdr:colOff>61686</xdr:colOff>
      <xdr:row>76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DE11627-EB7A-DA97-FA06-08B1C67505EA}"/>
            </a:ext>
          </a:extLst>
        </xdr:cNvPr>
        <xdr:cNvCxnSpPr/>
      </xdr:nvCxnSpPr>
      <xdr:spPr>
        <a:xfrm>
          <a:off x="5363029" y="50800"/>
          <a:ext cx="0" cy="114445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A189-9A1C-4932-A8C2-D6FB444863BD}">
  <dimension ref="K2:M11"/>
  <sheetViews>
    <sheetView zoomScale="160" zoomScaleNormal="160" workbookViewId="0"/>
  </sheetViews>
  <sheetFormatPr defaultRowHeight="12.5" x14ac:dyDescent="0.25"/>
  <cols>
    <col min="1" max="16384" width="8.7265625" style="1"/>
  </cols>
  <sheetData>
    <row r="2" spans="11:13" x14ac:dyDescent="0.25">
      <c r="K2" s="1" t="s">
        <v>0</v>
      </c>
      <c r="L2" s="6">
        <v>10</v>
      </c>
    </row>
    <row r="3" spans="11:13" x14ac:dyDescent="0.25">
      <c r="K3" s="1" t="s">
        <v>1</v>
      </c>
      <c r="L3" s="3">
        <v>735.95418600000005</v>
      </c>
      <c r="M3" s="2" t="s">
        <v>13</v>
      </c>
    </row>
    <row r="4" spans="11:13" x14ac:dyDescent="0.25">
      <c r="K4" s="1" t="s">
        <v>2</v>
      </c>
      <c r="L4" s="3">
        <f>+L2*L3</f>
        <v>7359.5418600000003</v>
      </c>
    </row>
    <row r="5" spans="11:13" x14ac:dyDescent="0.25">
      <c r="K5" s="1" t="s">
        <v>3</v>
      </c>
      <c r="L5" s="3">
        <f>789+1530+396</f>
        <v>2715</v>
      </c>
      <c r="M5" s="2" t="s">
        <v>13</v>
      </c>
    </row>
    <row r="6" spans="11:13" x14ac:dyDescent="0.25">
      <c r="K6" s="1" t="s">
        <v>4</v>
      </c>
      <c r="L6" s="3">
        <f>1189+437+550+378</f>
        <v>2554</v>
      </c>
      <c r="M6" s="2" t="s">
        <v>13</v>
      </c>
    </row>
    <row r="7" spans="11:13" x14ac:dyDescent="0.25">
      <c r="K7" s="1" t="s">
        <v>5</v>
      </c>
      <c r="L7" s="3">
        <f>+L4-L5+L6</f>
        <v>7198.5418600000003</v>
      </c>
    </row>
    <row r="11" spans="11:13" x14ac:dyDescent="0.25">
      <c r="K1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D22-38AE-475C-B880-534ADF71CFFF}">
  <dimension ref="A1:DP68"/>
  <sheetViews>
    <sheetView tabSelected="1" zoomScale="175" zoomScaleNormal="175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R5" sqref="R5"/>
    </sheetView>
  </sheetViews>
  <sheetFormatPr defaultRowHeight="12.5" x14ac:dyDescent="0.25"/>
  <cols>
    <col min="1" max="1" width="4.7265625" style="1" bestFit="1" customWidth="1"/>
    <col min="2" max="2" width="18.81640625" style="1" customWidth="1"/>
    <col min="3" max="14" width="8.7265625" style="2"/>
    <col min="15" max="33" width="8.7265625" style="1"/>
    <col min="34" max="34" width="10.54296875" style="1" bestFit="1" customWidth="1"/>
    <col min="35" max="16384" width="8.7265625" style="1"/>
  </cols>
  <sheetData>
    <row r="1" spans="1:31" x14ac:dyDescent="0.25">
      <c r="A1" s="1" t="s">
        <v>6</v>
      </c>
    </row>
    <row r="2" spans="1:31" x14ac:dyDescent="0.25">
      <c r="C2" s="2" t="s">
        <v>63</v>
      </c>
      <c r="D2" s="2" t="s">
        <v>64</v>
      </c>
      <c r="E2" s="2" t="s">
        <v>65</v>
      </c>
      <c r="F2" s="2" t="s">
        <v>66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15</v>
      </c>
      <c r="N2" s="2" t="s">
        <v>14</v>
      </c>
      <c r="Q2" s="1">
        <v>2021</v>
      </c>
      <c r="R2" s="1">
        <v>2022</v>
      </c>
      <c r="S2" s="1">
        <v>2023</v>
      </c>
      <c r="T2" s="1">
        <v>2024</v>
      </c>
      <c r="U2" s="1">
        <v>2025</v>
      </c>
      <c r="V2" s="1">
        <f t="shared" ref="V2:AE2" si="0">+U2+1</f>
        <v>2026</v>
      </c>
      <c r="W2" s="1">
        <f t="shared" si="0"/>
        <v>2027</v>
      </c>
      <c r="X2" s="1">
        <f t="shared" si="0"/>
        <v>2028</v>
      </c>
      <c r="Y2" s="1">
        <f t="shared" si="0"/>
        <v>2029</v>
      </c>
      <c r="Z2" s="1">
        <f t="shared" si="0"/>
        <v>2030</v>
      </c>
      <c r="AA2" s="1">
        <f t="shared" si="0"/>
        <v>2031</v>
      </c>
      <c r="AB2" s="1">
        <f t="shared" si="0"/>
        <v>2032</v>
      </c>
      <c r="AC2" s="1">
        <f t="shared" si="0"/>
        <v>2033</v>
      </c>
      <c r="AD2" s="1">
        <f t="shared" si="0"/>
        <v>2034</v>
      </c>
      <c r="AE2" s="1">
        <f t="shared" si="0"/>
        <v>2035</v>
      </c>
    </row>
    <row r="3" spans="1:31" x14ac:dyDescent="0.25">
      <c r="B3" s="1" t="s">
        <v>61</v>
      </c>
      <c r="R3" s="11">
        <v>39.183</v>
      </c>
      <c r="S3" s="11">
        <v>18.707999999999998</v>
      </c>
      <c r="T3" s="11">
        <v>13.5</v>
      </c>
    </row>
    <row r="4" spans="1:31" x14ac:dyDescent="0.25">
      <c r="B4" s="1" t="s">
        <v>62</v>
      </c>
      <c r="R4" s="11">
        <v>34.962000000000003</v>
      </c>
      <c r="S4" s="11">
        <v>11.246</v>
      </c>
      <c r="T4" s="11">
        <v>14.683999999999999</v>
      </c>
    </row>
    <row r="5" spans="1:31" x14ac:dyDescent="0.25">
      <c r="B5" s="1" t="s">
        <v>67</v>
      </c>
      <c r="R5" s="6">
        <f>R8/R3</f>
        <v>397.28964091570322</v>
      </c>
      <c r="S5" s="6">
        <f>S8/S3</f>
        <v>371.28501175967506</v>
      </c>
      <c r="T5" s="6">
        <f>T8/T3</f>
        <v>381.7037037037037</v>
      </c>
    </row>
    <row r="6" spans="1:31" x14ac:dyDescent="0.25">
      <c r="B6" s="1" t="s">
        <v>68</v>
      </c>
      <c r="R6" s="3">
        <f>+R10/R5*1000</f>
        <v>1678.8758913085373</v>
      </c>
      <c r="S6" s="3">
        <f>+S10/S5*1000</f>
        <v>1311.6608119781167</v>
      </c>
      <c r="T6" s="3">
        <f>+T10/T5*1000</f>
        <v>1134.3877352998252</v>
      </c>
    </row>
    <row r="8" spans="1:31" s="8" customFormat="1" ht="13" x14ac:dyDescent="0.3">
      <c r="B8" s="8" t="s">
        <v>7</v>
      </c>
      <c r="C8" s="9"/>
      <c r="D8" s="9"/>
      <c r="E8" s="9"/>
      <c r="F8" s="9">
        <v>870</v>
      </c>
      <c r="G8" s="9">
        <v>1181</v>
      </c>
      <c r="H8" s="9">
        <v>1511</v>
      </c>
      <c r="I8" s="9">
        <v>1377</v>
      </c>
      <c r="J8" s="9">
        <v>1084</v>
      </c>
      <c r="K8" s="9">
        <v>1153</v>
      </c>
      <c r="L8" s="9">
        <v>1567</v>
      </c>
      <c r="M8" s="9">
        <f>+I8</f>
        <v>1377</v>
      </c>
      <c r="N8" s="9">
        <f>+J8</f>
        <v>1084</v>
      </c>
      <c r="Q8" s="8">
        <v>8021</v>
      </c>
      <c r="R8" s="8">
        <v>15567</v>
      </c>
      <c r="S8" s="8">
        <v>6946</v>
      </c>
      <c r="T8" s="8">
        <v>5153</v>
      </c>
      <c r="U8" s="8">
        <f>SUM(K8:N8)</f>
        <v>5181</v>
      </c>
      <c r="V8" s="8">
        <f>+U8*1.3</f>
        <v>6735.3</v>
      </c>
      <c r="W8" s="8">
        <f>+V8*1.3</f>
        <v>8755.8900000000012</v>
      </c>
      <c r="X8" s="8">
        <f>+W8*1.2</f>
        <v>10507.068000000001</v>
      </c>
      <c r="Y8" s="8">
        <f t="shared" ref="Y8:AE8" si="1">+X8*1.2</f>
        <v>12608.481600000001</v>
      </c>
      <c r="Z8" s="8">
        <f t="shared" si="1"/>
        <v>15130.17792</v>
      </c>
      <c r="AA8" s="8">
        <f t="shared" si="1"/>
        <v>18156.213503999999</v>
      </c>
      <c r="AB8" s="8">
        <f t="shared" si="1"/>
        <v>21787.456204799997</v>
      </c>
      <c r="AC8" s="8">
        <f t="shared" si="1"/>
        <v>26144.947445759997</v>
      </c>
      <c r="AD8" s="8">
        <f t="shared" si="1"/>
        <v>31373.936934911995</v>
      </c>
      <c r="AE8" s="8">
        <f t="shared" si="1"/>
        <v>37648.724321894391</v>
      </c>
    </row>
    <row r="9" spans="1:31" s="3" customFormat="1" x14ac:dyDescent="0.25">
      <c r="B9" s="3" t="s">
        <v>16</v>
      </c>
      <c r="C9" s="4"/>
      <c r="D9" s="4"/>
      <c r="E9" s="4"/>
      <c r="F9" s="4">
        <v>798</v>
      </c>
      <c r="G9" s="4">
        <v>1067</v>
      </c>
      <c r="H9" s="4">
        <v>1382</v>
      </c>
      <c r="I9" s="4">
        <v>1272</v>
      </c>
      <c r="J9" s="4">
        <v>999</v>
      </c>
      <c r="K9" s="4">
        <v>1054</v>
      </c>
      <c r="L9" s="4">
        <v>1439</v>
      </c>
      <c r="M9" s="4">
        <f>+M8-M10</f>
        <v>1266.8399999999999</v>
      </c>
      <c r="N9" s="4">
        <f>+N8-N10</f>
        <v>997.28</v>
      </c>
      <c r="Q9" s="3">
        <v>7291</v>
      </c>
      <c r="R9" s="3">
        <v>14900</v>
      </c>
      <c r="S9" s="3">
        <v>6459</v>
      </c>
      <c r="T9" s="3">
        <v>4720</v>
      </c>
      <c r="U9" s="3">
        <f>+U8-U10</f>
        <v>4766.5200000000004</v>
      </c>
      <c r="V9" s="3">
        <f t="shared" ref="V9:AE9" si="2">+V8-V10</f>
        <v>6196.4760000000006</v>
      </c>
      <c r="W9" s="3">
        <f t="shared" si="2"/>
        <v>8055.4188000000013</v>
      </c>
      <c r="X9" s="3">
        <f t="shared" si="2"/>
        <v>9666.5025600000008</v>
      </c>
      <c r="Y9" s="3">
        <f t="shared" si="2"/>
        <v>11599.803072000001</v>
      </c>
      <c r="Z9" s="3">
        <f t="shared" si="2"/>
        <v>13919.7636864</v>
      </c>
      <c r="AA9" s="3">
        <f t="shared" si="2"/>
        <v>16703.716423679998</v>
      </c>
      <c r="AB9" s="3">
        <f t="shared" si="2"/>
        <v>20044.459708415998</v>
      </c>
      <c r="AC9" s="3">
        <f t="shared" si="2"/>
        <v>24053.351650099197</v>
      </c>
      <c r="AD9" s="3">
        <f t="shared" si="2"/>
        <v>28864.021980119036</v>
      </c>
      <c r="AE9" s="3">
        <f t="shared" si="2"/>
        <v>34636.826376142839</v>
      </c>
    </row>
    <row r="10" spans="1:31" s="8" customFormat="1" ht="13" x14ac:dyDescent="0.3">
      <c r="B10" s="8" t="s">
        <v>17</v>
      </c>
      <c r="C10" s="9"/>
      <c r="D10" s="9"/>
      <c r="E10" s="9"/>
      <c r="F10" s="9">
        <f t="shared" ref="F10:L10" si="3">+F8-F9</f>
        <v>72</v>
      </c>
      <c r="G10" s="9">
        <f t="shared" si="3"/>
        <v>114</v>
      </c>
      <c r="H10" s="9">
        <f t="shared" si="3"/>
        <v>129</v>
      </c>
      <c r="I10" s="9">
        <f t="shared" si="3"/>
        <v>105</v>
      </c>
      <c r="J10" s="9">
        <f t="shared" si="3"/>
        <v>85</v>
      </c>
      <c r="K10" s="9">
        <f t="shared" si="3"/>
        <v>99</v>
      </c>
      <c r="L10" s="9">
        <f t="shared" si="3"/>
        <v>128</v>
      </c>
      <c r="M10" s="9">
        <f>+M8*0.08</f>
        <v>110.16</v>
      </c>
      <c r="N10" s="9">
        <f>+N8*0.08</f>
        <v>86.72</v>
      </c>
      <c r="Q10" s="8">
        <f>+Q8-Q9</f>
        <v>730</v>
      </c>
      <c r="R10" s="8">
        <f>+R8-R9</f>
        <v>667</v>
      </c>
      <c r="S10" s="8">
        <f>+S8-S9</f>
        <v>487</v>
      </c>
      <c r="T10" s="8">
        <f>+T8-T9</f>
        <v>433</v>
      </c>
      <c r="U10" s="8">
        <f>+U8*0.08</f>
        <v>414.48</v>
      </c>
      <c r="V10" s="8">
        <f t="shared" ref="V10:AE10" si="4">+V8*0.08</f>
        <v>538.82400000000007</v>
      </c>
      <c r="W10" s="8">
        <f t="shared" si="4"/>
        <v>700.47120000000007</v>
      </c>
      <c r="X10" s="8">
        <f t="shared" si="4"/>
        <v>840.56544000000008</v>
      </c>
      <c r="Y10" s="8">
        <f t="shared" si="4"/>
        <v>1008.6785280000001</v>
      </c>
      <c r="Z10" s="8">
        <f t="shared" si="4"/>
        <v>1210.4142336</v>
      </c>
      <c r="AA10" s="8">
        <f t="shared" si="4"/>
        <v>1452.4970803199999</v>
      </c>
      <c r="AB10" s="8">
        <f t="shared" si="4"/>
        <v>1742.9964963839998</v>
      </c>
      <c r="AC10" s="8">
        <f t="shared" si="4"/>
        <v>2091.5957956607999</v>
      </c>
      <c r="AD10" s="8">
        <f t="shared" si="4"/>
        <v>2509.9149547929596</v>
      </c>
      <c r="AE10" s="8">
        <f t="shared" si="4"/>
        <v>3011.8979457515516</v>
      </c>
    </row>
    <row r="11" spans="1:31" s="3" customFormat="1" x14ac:dyDescent="0.25">
      <c r="B11" s="3" t="s">
        <v>20</v>
      </c>
      <c r="C11" s="4"/>
      <c r="D11" s="4"/>
      <c r="E11" s="4"/>
      <c r="F11" s="4">
        <v>89</v>
      </c>
      <c r="G11" s="4">
        <v>113</v>
      </c>
      <c r="H11" s="4">
        <v>116</v>
      </c>
      <c r="I11" s="4">
        <v>96</v>
      </c>
      <c r="J11" s="4">
        <v>88</v>
      </c>
      <c r="K11" s="4">
        <v>98</v>
      </c>
      <c r="L11" s="4">
        <v>86</v>
      </c>
      <c r="M11" s="4">
        <f>+L11*0.5</f>
        <v>43</v>
      </c>
      <c r="N11" s="4">
        <f>+M11</f>
        <v>43</v>
      </c>
      <c r="Q11" s="3">
        <v>544</v>
      </c>
      <c r="R11" s="3">
        <v>1006</v>
      </c>
      <c r="S11" s="3">
        <v>486</v>
      </c>
      <c r="T11" s="3">
        <v>413</v>
      </c>
      <c r="U11" s="3">
        <f>+T11*1.05</f>
        <v>433.65000000000003</v>
      </c>
      <c r="V11" s="3">
        <f t="shared" ref="V11:AE11" si="5">+U11*1.05</f>
        <v>455.33250000000004</v>
      </c>
      <c r="W11" s="3">
        <f t="shared" si="5"/>
        <v>478.09912500000007</v>
      </c>
      <c r="X11" s="3">
        <f t="shared" si="5"/>
        <v>502.00408125000007</v>
      </c>
      <c r="Y11" s="3">
        <f t="shared" si="5"/>
        <v>527.10428531250011</v>
      </c>
      <c r="Z11" s="3">
        <f t="shared" si="5"/>
        <v>553.45949957812513</v>
      </c>
      <c r="AA11" s="3">
        <f t="shared" si="5"/>
        <v>581.1324745570314</v>
      </c>
      <c r="AB11" s="3">
        <f t="shared" si="5"/>
        <v>610.18909828488302</v>
      </c>
      <c r="AC11" s="3">
        <f t="shared" si="5"/>
        <v>640.69855319912722</v>
      </c>
      <c r="AD11" s="3">
        <f t="shared" si="5"/>
        <v>672.73348085908356</v>
      </c>
      <c r="AE11" s="3">
        <f t="shared" si="5"/>
        <v>706.37015490203771</v>
      </c>
    </row>
    <row r="12" spans="1:31" s="3" customFormat="1" x14ac:dyDescent="0.25">
      <c r="B12" s="3" t="s">
        <v>21</v>
      </c>
      <c r="C12" s="4"/>
      <c r="D12" s="4"/>
      <c r="E12" s="4"/>
      <c r="F12" s="4">
        <v>48</v>
      </c>
      <c r="G12" s="4">
        <v>47</v>
      </c>
      <c r="H12" s="4">
        <v>48</v>
      </c>
      <c r="I12" s="4">
        <v>46</v>
      </c>
      <c r="J12" s="4">
        <v>41</v>
      </c>
      <c r="K12" s="4">
        <v>33</v>
      </c>
      <c r="L12" s="4">
        <v>28</v>
      </c>
      <c r="M12" s="4">
        <f t="shared" ref="M12:N12" si="6">+L12*0.5</f>
        <v>14</v>
      </c>
      <c r="N12" s="4">
        <f t="shared" si="6"/>
        <v>7</v>
      </c>
      <c r="Q12" s="3">
        <v>620</v>
      </c>
      <c r="R12" s="3">
        <v>346</v>
      </c>
      <c r="S12" s="3">
        <v>206</v>
      </c>
      <c r="T12" s="3">
        <v>182</v>
      </c>
      <c r="U12" s="3">
        <f t="shared" ref="U12:AE12" si="7">+T12*1.05</f>
        <v>191.1</v>
      </c>
      <c r="V12" s="3">
        <f t="shared" si="7"/>
        <v>200.655</v>
      </c>
      <c r="W12" s="3">
        <f t="shared" si="7"/>
        <v>210.68775000000002</v>
      </c>
      <c r="X12" s="3">
        <f t="shared" si="7"/>
        <v>221.22213750000003</v>
      </c>
      <c r="Y12" s="3">
        <f t="shared" si="7"/>
        <v>232.28324437500004</v>
      </c>
      <c r="Z12" s="3">
        <f t="shared" si="7"/>
        <v>243.89740659375005</v>
      </c>
      <c r="AA12" s="3">
        <f t="shared" si="7"/>
        <v>256.09227692343757</v>
      </c>
      <c r="AB12" s="3">
        <f t="shared" si="7"/>
        <v>268.89689076960946</v>
      </c>
      <c r="AC12" s="3">
        <f t="shared" si="7"/>
        <v>282.34173530808994</v>
      </c>
      <c r="AD12" s="3">
        <f t="shared" si="7"/>
        <v>296.45882207349445</v>
      </c>
      <c r="AE12" s="3">
        <f t="shared" si="7"/>
        <v>311.28176317716918</v>
      </c>
    </row>
    <row r="13" spans="1:31" s="3" customFormat="1" x14ac:dyDescent="0.25">
      <c r="B13" s="3" t="s">
        <v>22</v>
      </c>
      <c r="C13" s="4"/>
      <c r="D13" s="4"/>
      <c r="E13" s="4"/>
      <c r="F13" s="4">
        <v>46</v>
      </c>
      <c r="G13" s="4">
        <v>41</v>
      </c>
      <c r="H13" s="4">
        <v>37</v>
      </c>
      <c r="I13" s="4">
        <v>30</v>
      </c>
      <c r="J13" s="4">
        <v>33</v>
      </c>
      <c r="K13" s="4">
        <v>21</v>
      </c>
      <c r="L13" s="4">
        <v>21</v>
      </c>
      <c r="M13" s="4">
        <f>+L13*0.5</f>
        <v>10.5</v>
      </c>
      <c r="N13" s="4">
        <f>+M13*0.5</f>
        <v>5.25</v>
      </c>
      <c r="Q13" s="3">
        <v>134</v>
      </c>
      <c r="R13" s="3">
        <v>169</v>
      </c>
      <c r="S13" s="3">
        <v>167</v>
      </c>
      <c r="T13" s="3">
        <v>141</v>
      </c>
      <c r="U13" s="3">
        <f t="shared" ref="U13:AE13" si="8">+T13*1.05</f>
        <v>148.05000000000001</v>
      </c>
      <c r="V13" s="3">
        <f t="shared" si="8"/>
        <v>155.45250000000001</v>
      </c>
      <c r="W13" s="3">
        <f t="shared" si="8"/>
        <v>163.22512500000002</v>
      </c>
      <c r="X13" s="3">
        <f t="shared" si="8"/>
        <v>171.38638125000003</v>
      </c>
      <c r="Y13" s="3">
        <f t="shared" si="8"/>
        <v>179.95570031250003</v>
      </c>
      <c r="Z13" s="3">
        <f t="shared" si="8"/>
        <v>188.95348532812503</v>
      </c>
      <c r="AA13" s="3">
        <f t="shared" si="8"/>
        <v>198.40115959453129</v>
      </c>
      <c r="AB13" s="3">
        <f t="shared" si="8"/>
        <v>208.32121757425787</v>
      </c>
      <c r="AC13" s="3">
        <f t="shared" si="8"/>
        <v>218.73727845297077</v>
      </c>
      <c r="AD13" s="3">
        <f t="shared" si="8"/>
        <v>229.67414237561931</v>
      </c>
      <c r="AE13" s="3">
        <f t="shared" si="8"/>
        <v>241.1578494944003</v>
      </c>
    </row>
    <row r="14" spans="1:31" s="3" customFormat="1" x14ac:dyDescent="0.25">
      <c r="B14" s="3" t="s">
        <v>18</v>
      </c>
      <c r="C14" s="4"/>
      <c r="D14" s="4"/>
      <c r="E14" s="4"/>
      <c r="F14" s="4">
        <f t="shared" ref="F14" si="9">+F13+F12+F11</f>
        <v>183</v>
      </c>
      <c r="G14" s="4">
        <f t="shared" ref="G14:J14" si="10">+G13+G12+G11</f>
        <v>201</v>
      </c>
      <c r="H14" s="4">
        <f t="shared" si="10"/>
        <v>201</v>
      </c>
      <c r="I14" s="4">
        <f t="shared" si="10"/>
        <v>172</v>
      </c>
      <c r="J14" s="4">
        <f t="shared" si="10"/>
        <v>162</v>
      </c>
      <c r="K14" s="4">
        <f>+K13+K12+K11</f>
        <v>152</v>
      </c>
      <c r="L14" s="4">
        <f>+L13+L12+L11</f>
        <v>135</v>
      </c>
      <c r="M14" s="4">
        <f>+M13+M12+M11</f>
        <v>67.5</v>
      </c>
      <c r="N14" s="4">
        <f>+N13+N12+N11</f>
        <v>55.25</v>
      </c>
      <c r="Q14" s="4">
        <f t="shared" ref="Q14:T14" si="11">+Q13+Q12+Q11</f>
        <v>1298</v>
      </c>
      <c r="R14" s="4">
        <f t="shared" si="11"/>
        <v>1521</v>
      </c>
      <c r="S14" s="4">
        <f t="shared" si="11"/>
        <v>859</v>
      </c>
      <c r="T14" s="4">
        <f t="shared" si="11"/>
        <v>736</v>
      </c>
      <c r="U14" s="4">
        <f t="shared" ref="U14:AE14" si="12">+U13+U12+U11</f>
        <v>772.8</v>
      </c>
      <c r="V14" s="4">
        <f t="shared" si="12"/>
        <v>811.44</v>
      </c>
      <c r="W14" s="4">
        <f t="shared" si="12"/>
        <v>852.01200000000017</v>
      </c>
      <c r="X14" s="4">
        <f t="shared" si="12"/>
        <v>894.61260000000016</v>
      </c>
      <c r="Y14" s="4">
        <f t="shared" si="12"/>
        <v>939.34323000000018</v>
      </c>
      <c r="Z14" s="4">
        <f t="shared" si="12"/>
        <v>986.31039150000015</v>
      </c>
      <c r="AA14" s="4">
        <f t="shared" si="12"/>
        <v>1035.6259110750002</v>
      </c>
      <c r="AB14" s="4">
        <f t="shared" si="12"/>
        <v>1087.4072066287504</v>
      </c>
      <c r="AC14" s="4">
        <f t="shared" si="12"/>
        <v>1141.7775669601879</v>
      </c>
      <c r="AD14" s="4">
        <f t="shared" si="12"/>
        <v>1198.8664453081974</v>
      </c>
      <c r="AE14" s="4">
        <f t="shared" si="12"/>
        <v>1258.8097675736071</v>
      </c>
    </row>
    <row r="15" spans="1:31" s="3" customFormat="1" ht="13" x14ac:dyDescent="0.3">
      <c r="B15" s="3" t="s">
        <v>19</v>
      </c>
      <c r="C15" s="4"/>
      <c r="D15" s="4"/>
      <c r="E15" s="4"/>
      <c r="F15" s="4">
        <f t="shared" ref="F15" si="13">+F10-F14</f>
        <v>-111</v>
      </c>
      <c r="G15" s="4">
        <f t="shared" ref="G15:J15" si="14">+G10-G14</f>
        <v>-87</v>
      </c>
      <c r="H15" s="4">
        <f t="shared" si="14"/>
        <v>-72</v>
      </c>
      <c r="I15" s="4">
        <f t="shared" si="14"/>
        <v>-67</v>
      </c>
      <c r="J15" s="4">
        <f t="shared" si="14"/>
        <v>-77</v>
      </c>
      <c r="K15" s="4">
        <f>+K10-K14</f>
        <v>-53</v>
      </c>
      <c r="L15" s="4">
        <f>+L10-L14</f>
        <v>-7</v>
      </c>
      <c r="M15" s="4">
        <f>+M10-M14</f>
        <v>42.66</v>
      </c>
      <c r="N15" s="9">
        <f>+N10-N14</f>
        <v>31.47</v>
      </c>
      <c r="Q15" s="4">
        <f t="shared" ref="Q15:T15" si="15">+Q10-Q14</f>
        <v>-568</v>
      </c>
      <c r="R15" s="4">
        <f t="shared" si="15"/>
        <v>-854</v>
      </c>
      <c r="S15" s="4">
        <f t="shared" si="15"/>
        <v>-372</v>
      </c>
      <c r="T15" s="4">
        <f t="shared" si="15"/>
        <v>-303</v>
      </c>
      <c r="U15" s="4">
        <f t="shared" ref="U15:AE15" si="16">+U10-U14</f>
        <v>-358.31999999999994</v>
      </c>
      <c r="V15" s="4">
        <f t="shared" si="16"/>
        <v>-272.61599999999999</v>
      </c>
      <c r="W15" s="4">
        <f t="shared" si="16"/>
        <v>-151.5408000000001</v>
      </c>
      <c r="X15" s="4">
        <f t="shared" si="16"/>
        <v>-54.047160000000076</v>
      </c>
      <c r="Y15" s="4">
        <f t="shared" si="16"/>
        <v>69.335297999999966</v>
      </c>
      <c r="Z15" s="4">
        <f t="shared" si="16"/>
        <v>224.10384209999984</v>
      </c>
      <c r="AA15" s="4">
        <f t="shared" si="16"/>
        <v>416.87116924499969</v>
      </c>
      <c r="AB15" s="4">
        <f t="shared" si="16"/>
        <v>655.58928975524941</v>
      </c>
      <c r="AC15" s="4">
        <f t="shared" si="16"/>
        <v>949.81822870061205</v>
      </c>
      <c r="AD15" s="4">
        <f t="shared" si="16"/>
        <v>1311.0485094847622</v>
      </c>
      <c r="AE15" s="4">
        <f t="shared" si="16"/>
        <v>1753.0881781779444</v>
      </c>
    </row>
    <row r="16" spans="1:31" s="3" customFormat="1" x14ac:dyDescent="0.25">
      <c r="B16" s="3" t="s">
        <v>23</v>
      </c>
      <c r="C16" s="4"/>
      <c r="D16" s="4"/>
      <c r="E16" s="4"/>
      <c r="F16" s="4">
        <v>-37</v>
      </c>
      <c r="G16" s="4">
        <v>-37</v>
      </c>
      <c r="H16" s="4">
        <f>-30+12</f>
        <v>-18</v>
      </c>
      <c r="I16" s="4">
        <v>-34</v>
      </c>
      <c r="J16" s="4">
        <v>-32</v>
      </c>
      <c r="K16" s="4">
        <v>-33</v>
      </c>
      <c r="L16" s="4">
        <f>-36+10</f>
        <v>-26</v>
      </c>
      <c r="M16" s="4">
        <f>-36+10</f>
        <v>-26</v>
      </c>
      <c r="N16" s="4">
        <f>-36+10</f>
        <v>-26</v>
      </c>
      <c r="Q16" s="3">
        <v>-143</v>
      </c>
      <c r="R16" s="3">
        <v>-385</v>
      </c>
      <c r="S16" s="3">
        <v>-211</v>
      </c>
      <c r="T16" s="3">
        <v>-133</v>
      </c>
      <c r="U16" s="3">
        <v>0</v>
      </c>
      <c r="V16" s="3">
        <v>0</v>
      </c>
      <c r="W16" s="3">
        <v>0</v>
      </c>
      <c r="X16" s="3">
        <v>0</v>
      </c>
      <c r="Y16" s="3">
        <v>20</v>
      </c>
      <c r="Z16" s="3">
        <f>+Y16*1.1</f>
        <v>22</v>
      </c>
      <c r="AA16" s="3">
        <f t="shared" ref="AA16:AE16" si="17">+Z16*1.1</f>
        <v>24.200000000000003</v>
      </c>
      <c r="AB16" s="3">
        <f t="shared" si="17"/>
        <v>26.620000000000005</v>
      </c>
      <c r="AC16" s="3">
        <f t="shared" si="17"/>
        <v>29.282000000000007</v>
      </c>
      <c r="AD16" s="3">
        <f t="shared" si="17"/>
        <v>32.210200000000007</v>
      </c>
      <c r="AE16" s="3">
        <f t="shared" si="17"/>
        <v>35.43122000000001</v>
      </c>
    </row>
    <row r="17" spans="2:120" s="3" customFormat="1" x14ac:dyDescent="0.25">
      <c r="B17" s="3" t="s">
        <v>24</v>
      </c>
      <c r="C17" s="4"/>
      <c r="D17" s="4"/>
      <c r="E17" s="4"/>
      <c r="F17" s="4">
        <f t="shared" ref="F17" si="18">+F16+F15</f>
        <v>-148</v>
      </c>
      <c r="G17" s="4">
        <f>+G16+G15</f>
        <v>-124</v>
      </c>
      <c r="H17" s="4">
        <f t="shared" ref="H17:N17" si="19">+H16+H15</f>
        <v>-90</v>
      </c>
      <c r="I17" s="4">
        <f t="shared" si="19"/>
        <v>-101</v>
      </c>
      <c r="J17" s="4">
        <f t="shared" si="19"/>
        <v>-109</v>
      </c>
      <c r="K17" s="4">
        <f t="shared" si="19"/>
        <v>-86</v>
      </c>
      <c r="L17" s="4">
        <f t="shared" si="19"/>
        <v>-33</v>
      </c>
      <c r="M17" s="4">
        <f t="shared" si="19"/>
        <v>16.659999999999997</v>
      </c>
      <c r="N17" s="4">
        <f t="shared" si="19"/>
        <v>5.4699999999999989</v>
      </c>
      <c r="Q17" s="4">
        <f t="shared" ref="Q17" si="20">+Q16+Q15</f>
        <v>-711</v>
      </c>
      <c r="R17" s="4">
        <f t="shared" ref="R17:AE17" si="21">+R16+R15</f>
        <v>-1239</v>
      </c>
      <c r="S17" s="4">
        <f t="shared" si="21"/>
        <v>-583</v>
      </c>
      <c r="T17" s="4">
        <f t="shared" si="21"/>
        <v>-436</v>
      </c>
      <c r="U17" s="4">
        <f t="shared" si="21"/>
        <v>-358.31999999999994</v>
      </c>
      <c r="V17" s="4">
        <f t="shared" si="21"/>
        <v>-272.61599999999999</v>
      </c>
      <c r="W17" s="4">
        <f t="shared" si="21"/>
        <v>-151.5408000000001</v>
      </c>
      <c r="X17" s="4">
        <f t="shared" si="21"/>
        <v>-54.047160000000076</v>
      </c>
      <c r="Y17" s="4">
        <f t="shared" si="21"/>
        <v>89.335297999999966</v>
      </c>
      <c r="Z17" s="4">
        <f t="shared" si="21"/>
        <v>246.10384209999984</v>
      </c>
      <c r="AA17" s="4">
        <f t="shared" si="21"/>
        <v>441.07116924499968</v>
      </c>
      <c r="AB17" s="4">
        <f t="shared" si="21"/>
        <v>682.20928975524942</v>
      </c>
      <c r="AC17" s="4">
        <f t="shared" si="21"/>
        <v>979.10022870061209</v>
      </c>
      <c r="AD17" s="4">
        <f t="shared" si="21"/>
        <v>1343.2587094847622</v>
      </c>
      <c r="AE17" s="4">
        <f t="shared" si="21"/>
        <v>1788.5193981779444</v>
      </c>
    </row>
    <row r="18" spans="2:120" s="3" customFormat="1" x14ac:dyDescent="0.25">
      <c r="B18" s="3" t="s">
        <v>25</v>
      </c>
      <c r="C18" s="4"/>
      <c r="D18" s="4"/>
      <c r="E18" s="4"/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f>+Y17*0.2</f>
        <v>17.867059599999994</v>
      </c>
      <c r="Z18" s="3">
        <f>+Z17*0.35</f>
        <v>86.136344734999938</v>
      </c>
      <c r="AA18" s="3">
        <f t="shared" ref="AA18:AE18" si="22">+AA17*0.35</f>
        <v>154.37490923574987</v>
      </c>
      <c r="AB18" s="3">
        <f t="shared" si="22"/>
        <v>238.77325141433727</v>
      </c>
      <c r="AC18" s="3">
        <f t="shared" si="22"/>
        <v>342.68508004521419</v>
      </c>
      <c r="AD18" s="3">
        <f t="shared" si="22"/>
        <v>470.14054831966672</v>
      </c>
      <c r="AE18" s="3">
        <f t="shared" si="22"/>
        <v>625.98178936228044</v>
      </c>
    </row>
    <row r="19" spans="2:120" s="3" customFormat="1" x14ac:dyDescent="0.25">
      <c r="B19" s="3" t="s">
        <v>26</v>
      </c>
      <c r="C19" s="4"/>
      <c r="D19" s="4"/>
      <c r="E19" s="4"/>
      <c r="F19" s="4">
        <f t="shared" ref="F19" si="23">+F17-F18</f>
        <v>-148</v>
      </c>
      <c r="G19" s="4">
        <f t="shared" ref="G19:N19" si="24">+G17-G18</f>
        <v>-124</v>
      </c>
      <c r="H19" s="4">
        <f t="shared" si="24"/>
        <v>-90</v>
      </c>
      <c r="I19" s="4">
        <f t="shared" si="24"/>
        <v>-101</v>
      </c>
      <c r="J19" s="4">
        <f t="shared" si="24"/>
        <v>-109</v>
      </c>
      <c r="K19" s="4">
        <f t="shared" si="24"/>
        <v>-86</v>
      </c>
      <c r="L19" s="4">
        <f t="shared" si="24"/>
        <v>-33</v>
      </c>
      <c r="M19" s="4">
        <f t="shared" si="24"/>
        <v>16.659999999999997</v>
      </c>
      <c r="N19" s="4">
        <f t="shared" si="24"/>
        <v>5.4699999999999989</v>
      </c>
      <c r="Q19" s="4">
        <f t="shared" ref="Q19:AE19" si="25">+Q17-Q18</f>
        <v>-711</v>
      </c>
      <c r="R19" s="4">
        <f t="shared" si="25"/>
        <v>-1239</v>
      </c>
      <c r="S19" s="4">
        <f t="shared" si="25"/>
        <v>-583</v>
      </c>
      <c r="T19" s="4">
        <f t="shared" si="25"/>
        <v>-436</v>
      </c>
      <c r="U19" s="4">
        <f t="shared" si="25"/>
        <v>-358.31999999999994</v>
      </c>
      <c r="V19" s="4">
        <f t="shared" si="25"/>
        <v>-272.61599999999999</v>
      </c>
      <c r="W19" s="4">
        <f t="shared" si="25"/>
        <v>-151.5408000000001</v>
      </c>
      <c r="X19" s="4">
        <f t="shared" si="25"/>
        <v>-54.047160000000076</v>
      </c>
      <c r="Y19" s="4">
        <f t="shared" si="25"/>
        <v>71.468238399999976</v>
      </c>
      <c r="Z19" s="4">
        <f t="shared" si="25"/>
        <v>159.9674973649999</v>
      </c>
      <c r="AA19" s="4">
        <f t="shared" si="25"/>
        <v>286.69626000924984</v>
      </c>
      <c r="AB19" s="4">
        <f t="shared" si="25"/>
        <v>443.43603834091215</v>
      </c>
      <c r="AC19" s="4">
        <f t="shared" si="25"/>
        <v>636.41514865539784</v>
      </c>
      <c r="AD19" s="4">
        <f t="shared" si="25"/>
        <v>873.11816116509544</v>
      </c>
      <c r="AE19" s="4">
        <f t="shared" si="25"/>
        <v>1162.537608815664</v>
      </c>
      <c r="AF19" s="3">
        <f>AE19*(1+$AH$22)</f>
        <v>1162.537608815664</v>
      </c>
      <c r="AG19" s="3">
        <f t="shared" ref="AG19:CR19" si="26">AF19*(1+$AH$22)</f>
        <v>1162.537608815664</v>
      </c>
      <c r="AH19" s="3">
        <f t="shared" si="26"/>
        <v>1162.537608815664</v>
      </c>
      <c r="AI19" s="3">
        <f t="shared" si="26"/>
        <v>1162.537608815664</v>
      </c>
      <c r="AJ19" s="3">
        <f t="shared" si="26"/>
        <v>1162.537608815664</v>
      </c>
      <c r="AK19" s="3">
        <f t="shared" si="26"/>
        <v>1162.537608815664</v>
      </c>
      <c r="AL19" s="3">
        <f t="shared" si="26"/>
        <v>1162.537608815664</v>
      </c>
      <c r="AM19" s="3">
        <f t="shared" si="26"/>
        <v>1162.537608815664</v>
      </c>
      <c r="AN19" s="3">
        <f t="shared" si="26"/>
        <v>1162.537608815664</v>
      </c>
      <c r="AO19" s="3">
        <f t="shared" si="26"/>
        <v>1162.537608815664</v>
      </c>
      <c r="AP19" s="3">
        <f t="shared" si="26"/>
        <v>1162.537608815664</v>
      </c>
      <c r="AQ19" s="3">
        <f t="shared" si="26"/>
        <v>1162.537608815664</v>
      </c>
      <c r="AR19" s="3">
        <f t="shared" si="26"/>
        <v>1162.537608815664</v>
      </c>
      <c r="AS19" s="3">
        <f t="shared" si="26"/>
        <v>1162.537608815664</v>
      </c>
      <c r="AT19" s="3">
        <f t="shared" si="26"/>
        <v>1162.537608815664</v>
      </c>
      <c r="AU19" s="3">
        <f t="shared" si="26"/>
        <v>1162.537608815664</v>
      </c>
      <c r="AV19" s="3">
        <f t="shared" si="26"/>
        <v>1162.537608815664</v>
      </c>
      <c r="AW19" s="3">
        <f t="shared" si="26"/>
        <v>1162.537608815664</v>
      </c>
      <c r="AX19" s="3">
        <f t="shared" si="26"/>
        <v>1162.537608815664</v>
      </c>
      <c r="AY19" s="3">
        <f t="shared" si="26"/>
        <v>1162.537608815664</v>
      </c>
      <c r="AZ19" s="3">
        <f t="shared" si="26"/>
        <v>1162.537608815664</v>
      </c>
      <c r="BA19" s="3">
        <f t="shared" si="26"/>
        <v>1162.537608815664</v>
      </c>
      <c r="BB19" s="3">
        <f t="shared" si="26"/>
        <v>1162.537608815664</v>
      </c>
      <c r="BC19" s="3">
        <f t="shared" si="26"/>
        <v>1162.537608815664</v>
      </c>
      <c r="BD19" s="3">
        <f t="shared" si="26"/>
        <v>1162.537608815664</v>
      </c>
      <c r="BE19" s="3">
        <f t="shared" si="26"/>
        <v>1162.537608815664</v>
      </c>
      <c r="BF19" s="3">
        <f t="shared" si="26"/>
        <v>1162.537608815664</v>
      </c>
      <c r="BG19" s="3">
        <f t="shared" si="26"/>
        <v>1162.537608815664</v>
      </c>
      <c r="BH19" s="3">
        <f t="shared" si="26"/>
        <v>1162.537608815664</v>
      </c>
      <c r="BI19" s="3">
        <f t="shared" si="26"/>
        <v>1162.537608815664</v>
      </c>
      <c r="BJ19" s="3">
        <f t="shared" si="26"/>
        <v>1162.537608815664</v>
      </c>
      <c r="BK19" s="3">
        <f t="shared" si="26"/>
        <v>1162.537608815664</v>
      </c>
      <c r="BL19" s="3">
        <f t="shared" si="26"/>
        <v>1162.537608815664</v>
      </c>
      <c r="BM19" s="3">
        <f t="shared" si="26"/>
        <v>1162.537608815664</v>
      </c>
      <c r="BN19" s="3">
        <f t="shared" si="26"/>
        <v>1162.537608815664</v>
      </c>
      <c r="BO19" s="3">
        <f t="shared" si="26"/>
        <v>1162.537608815664</v>
      </c>
      <c r="BP19" s="3">
        <f t="shared" si="26"/>
        <v>1162.537608815664</v>
      </c>
      <c r="BQ19" s="3">
        <f t="shared" si="26"/>
        <v>1162.537608815664</v>
      </c>
      <c r="BR19" s="3">
        <f t="shared" si="26"/>
        <v>1162.537608815664</v>
      </c>
      <c r="BS19" s="3">
        <f t="shared" si="26"/>
        <v>1162.537608815664</v>
      </c>
      <c r="BT19" s="3">
        <f t="shared" si="26"/>
        <v>1162.537608815664</v>
      </c>
      <c r="BU19" s="3">
        <f t="shared" si="26"/>
        <v>1162.537608815664</v>
      </c>
      <c r="BV19" s="3">
        <f t="shared" si="26"/>
        <v>1162.537608815664</v>
      </c>
      <c r="BW19" s="3">
        <f t="shared" si="26"/>
        <v>1162.537608815664</v>
      </c>
      <c r="BX19" s="3">
        <f t="shared" si="26"/>
        <v>1162.537608815664</v>
      </c>
      <c r="BY19" s="3">
        <f t="shared" si="26"/>
        <v>1162.537608815664</v>
      </c>
      <c r="BZ19" s="3">
        <f t="shared" si="26"/>
        <v>1162.537608815664</v>
      </c>
      <c r="CA19" s="3">
        <f t="shared" si="26"/>
        <v>1162.537608815664</v>
      </c>
      <c r="CB19" s="3">
        <f t="shared" si="26"/>
        <v>1162.537608815664</v>
      </c>
      <c r="CC19" s="3">
        <f t="shared" si="26"/>
        <v>1162.537608815664</v>
      </c>
      <c r="CD19" s="3">
        <f t="shared" si="26"/>
        <v>1162.537608815664</v>
      </c>
      <c r="CE19" s="3">
        <f t="shared" si="26"/>
        <v>1162.537608815664</v>
      </c>
      <c r="CF19" s="3">
        <f t="shared" si="26"/>
        <v>1162.537608815664</v>
      </c>
      <c r="CG19" s="3">
        <f t="shared" si="26"/>
        <v>1162.537608815664</v>
      </c>
      <c r="CH19" s="3">
        <f t="shared" si="26"/>
        <v>1162.537608815664</v>
      </c>
      <c r="CI19" s="3">
        <f t="shared" si="26"/>
        <v>1162.537608815664</v>
      </c>
      <c r="CJ19" s="3">
        <f t="shared" si="26"/>
        <v>1162.537608815664</v>
      </c>
      <c r="CK19" s="3">
        <f t="shared" si="26"/>
        <v>1162.537608815664</v>
      </c>
      <c r="CL19" s="3">
        <f t="shared" si="26"/>
        <v>1162.537608815664</v>
      </c>
      <c r="CM19" s="3">
        <f t="shared" si="26"/>
        <v>1162.537608815664</v>
      </c>
      <c r="CN19" s="3">
        <f t="shared" si="26"/>
        <v>1162.537608815664</v>
      </c>
      <c r="CO19" s="3">
        <f t="shared" si="26"/>
        <v>1162.537608815664</v>
      </c>
      <c r="CP19" s="3">
        <f t="shared" si="26"/>
        <v>1162.537608815664</v>
      </c>
      <c r="CQ19" s="3">
        <f t="shared" si="26"/>
        <v>1162.537608815664</v>
      </c>
      <c r="CR19" s="3">
        <f t="shared" si="26"/>
        <v>1162.537608815664</v>
      </c>
      <c r="CS19" s="3">
        <f t="shared" ref="CS19:DP19" si="27">CR19*(1+$AH$22)</f>
        <v>1162.537608815664</v>
      </c>
      <c r="CT19" s="3">
        <f t="shared" si="27"/>
        <v>1162.537608815664</v>
      </c>
      <c r="CU19" s="3">
        <f t="shared" si="27"/>
        <v>1162.537608815664</v>
      </c>
      <c r="CV19" s="3">
        <f t="shared" si="27"/>
        <v>1162.537608815664</v>
      </c>
      <c r="CW19" s="3">
        <f t="shared" si="27"/>
        <v>1162.537608815664</v>
      </c>
      <c r="CX19" s="3">
        <f t="shared" si="27"/>
        <v>1162.537608815664</v>
      </c>
      <c r="CY19" s="3">
        <f t="shared" si="27"/>
        <v>1162.537608815664</v>
      </c>
      <c r="CZ19" s="3">
        <f t="shared" si="27"/>
        <v>1162.537608815664</v>
      </c>
      <c r="DA19" s="3">
        <f t="shared" si="27"/>
        <v>1162.537608815664</v>
      </c>
      <c r="DB19" s="3">
        <f t="shared" si="27"/>
        <v>1162.537608815664</v>
      </c>
      <c r="DC19" s="3">
        <f t="shared" si="27"/>
        <v>1162.537608815664</v>
      </c>
      <c r="DD19" s="3">
        <f t="shared" si="27"/>
        <v>1162.537608815664</v>
      </c>
      <c r="DE19" s="3">
        <f t="shared" si="27"/>
        <v>1162.537608815664</v>
      </c>
      <c r="DF19" s="3">
        <f t="shared" si="27"/>
        <v>1162.537608815664</v>
      </c>
      <c r="DG19" s="3">
        <f t="shared" si="27"/>
        <v>1162.537608815664</v>
      </c>
      <c r="DH19" s="3">
        <f t="shared" si="27"/>
        <v>1162.537608815664</v>
      </c>
      <c r="DI19" s="3">
        <f t="shared" si="27"/>
        <v>1162.537608815664</v>
      </c>
      <c r="DJ19" s="3">
        <f t="shared" si="27"/>
        <v>1162.537608815664</v>
      </c>
      <c r="DK19" s="3">
        <f t="shared" si="27"/>
        <v>1162.537608815664</v>
      </c>
      <c r="DL19" s="3">
        <f t="shared" si="27"/>
        <v>1162.537608815664</v>
      </c>
      <c r="DM19" s="3">
        <f t="shared" si="27"/>
        <v>1162.537608815664</v>
      </c>
      <c r="DN19" s="3">
        <f t="shared" si="27"/>
        <v>1162.537608815664</v>
      </c>
      <c r="DO19" s="3">
        <f t="shared" si="27"/>
        <v>1162.537608815664</v>
      </c>
      <c r="DP19" s="3">
        <f t="shared" si="27"/>
        <v>1162.537608815664</v>
      </c>
    </row>
    <row r="20" spans="2:120" x14ac:dyDescent="0.25">
      <c r="B20" s="1" t="s">
        <v>27</v>
      </c>
      <c r="C20" s="5"/>
      <c r="D20" s="5"/>
      <c r="F20" s="5">
        <f t="shared" ref="F20:N20" si="28">+F19/F21</f>
        <v>-0.22002134801728057</v>
      </c>
      <c r="G20" s="5">
        <f t="shared" si="28"/>
        <v>-0.18169642922557758</v>
      </c>
      <c r="H20" s="5">
        <f t="shared" si="28"/>
        <v>-0.12978678914694028</v>
      </c>
      <c r="I20" s="5">
        <f t="shared" si="28"/>
        <v>-0.14318949641246514</v>
      </c>
      <c r="J20" s="5">
        <f t="shared" si="28"/>
        <v>-0.15216726672688208</v>
      </c>
      <c r="K20" s="5">
        <f t="shared" si="28"/>
        <v>-0.11885972065201467</v>
      </c>
      <c r="L20" s="5">
        <f t="shared" si="28"/>
        <v>-4.5237455516502073E-2</v>
      </c>
      <c r="M20" s="5">
        <f t="shared" si="28"/>
        <v>2.2838060875906799E-2</v>
      </c>
      <c r="N20" s="5">
        <f t="shared" si="28"/>
        <v>7.4984509598565539E-3</v>
      </c>
      <c r="Q20" s="5">
        <f t="shared" ref="Q20:AE20" si="29">+Q19/Q21</f>
        <v>-1.1998501452983088</v>
      </c>
      <c r="R20" s="5">
        <f t="shared" si="29"/>
        <v>-1.7713740801793392</v>
      </c>
      <c r="S20" s="5">
        <f t="shared" si="29"/>
        <v>-0.88721692377695704</v>
      </c>
      <c r="T20" s="5">
        <f t="shared" si="29"/>
        <v>-0.69525836981047828</v>
      </c>
      <c r="U20" s="5">
        <f t="shared" si="29"/>
        <v>-0.49219881634371487</v>
      </c>
      <c r="V20" s="5">
        <f t="shared" si="29"/>
        <v>-0.37447329905212712</v>
      </c>
      <c r="W20" s="5">
        <f t="shared" si="29"/>
        <v>-0.20816086846332801</v>
      </c>
      <c r="X20" s="5">
        <f t="shared" si="29"/>
        <v>-7.4240757364197968E-2</v>
      </c>
      <c r="Y20" s="5">
        <f t="shared" si="29"/>
        <v>9.8170859417979525E-2</v>
      </c>
      <c r="Z20" s="5">
        <f t="shared" si="29"/>
        <v>0.21973602605637221</v>
      </c>
      <c r="AA20" s="5">
        <f t="shared" si="29"/>
        <v>0.39381435539942711</v>
      </c>
      <c r="AB20" s="5">
        <f t="shared" si="29"/>
        <v>0.60911669232960253</v>
      </c>
      <c r="AC20" s="5">
        <f t="shared" si="29"/>
        <v>0.87419843400144071</v>
      </c>
      <c r="AD20" s="5">
        <f t="shared" si="29"/>
        <v>1.1993406046373658</v>
      </c>
      <c r="AE20" s="5">
        <f t="shared" si="29"/>
        <v>1.5968956101086251</v>
      </c>
    </row>
    <row r="21" spans="2:120" s="3" customFormat="1" x14ac:dyDescent="0.25">
      <c r="B21" s="3" t="s">
        <v>1</v>
      </c>
      <c r="C21" s="4"/>
      <c r="D21" s="4"/>
      <c r="E21" s="4"/>
      <c r="F21" s="4">
        <v>672.66200000000003</v>
      </c>
      <c r="G21" s="4">
        <v>682.45699999999999</v>
      </c>
      <c r="H21" s="4">
        <v>693.44500000000005</v>
      </c>
      <c r="I21" s="4">
        <v>705.35900000000004</v>
      </c>
      <c r="J21" s="4">
        <v>716.31700000000001</v>
      </c>
      <c r="K21" s="4">
        <v>723.54200000000003</v>
      </c>
      <c r="L21" s="4">
        <v>729.48400000000004</v>
      </c>
      <c r="M21" s="4">
        <f>+L21</f>
        <v>729.48400000000004</v>
      </c>
      <c r="N21" s="4">
        <f>+M21</f>
        <v>729.48400000000004</v>
      </c>
      <c r="Q21" s="3">
        <v>592.57399999999996</v>
      </c>
      <c r="R21" s="3">
        <v>699.45699999999999</v>
      </c>
      <c r="S21" s="3">
        <v>657.11099999999999</v>
      </c>
      <c r="T21" s="3">
        <v>627.10500000000002</v>
      </c>
      <c r="U21" s="3">
        <f>AVERAGE(K21:N21)</f>
        <v>727.99850000000004</v>
      </c>
      <c r="V21" s="3">
        <f>+U21</f>
        <v>727.99850000000004</v>
      </c>
      <c r="W21" s="3">
        <f t="shared" ref="W21:AE21" si="30">+V21</f>
        <v>727.99850000000004</v>
      </c>
      <c r="X21" s="3">
        <f t="shared" si="30"/>
        <v>727.99850000000004</v>
      </c>
      <c r="Y21" s="3">
        <f t="shared" si="30"/>
        <v>727.99850000000004</v>
      </c>
      <c r="Z21" s="3">
        <f t="shared" si="30"/>
        <v>727.99850000000004</v>
      </c>
      <c r="AA21" s="3">
        <f t="shared" si="30"/>
        <v>727.99850000000004</v>
      </c>
      <c r="AB21" s="3">
        <f t="shared" si="30"/>
        <v>727.99850000000004</v>
      </c>
      <c r="AC21" s="3">
        <f t="shared" si="30"/>
        <v>727.99850000000004</v>
      </c>
      <c r="AD21" s="3">
        <f t="shared" si="30"/>
        <v>727.99850000000004</v>
      </c>
      <c r="AE21" s="3">
        <f t="shared" si="30"/>
        <v>727.99850000000004</v>
      </c>
    </row>
    <row r="22" spans="2:120" x14ac:dyDescent="0.25">
      <c r="AG22" s="1" t="s">
        <v>70</v>
      </c>
      <c r="AH22" s="12">
        <v>0</v>
      </c>
    </row>
    <row r="23" spans="2:120" s="13" customFormat="1" ht="13" x14ac:dyDescent="0.3">
      <c r="B23" s="13" t="s">
        <v>56</v>
      </c>
      <c r="C23" s="10"/>
      <c r="D23" s="10"/>
      <c r="E23" s="10"/>
      <c r="F23" s="10"/>
      <c r="G23" s="10"/>
      <c r="H23" s="10"/>
      <c r="I23" s="10"/>
      <c r="J23" s="14">
        <f>J8/F8-1</f>
        <v>0.24597701149425277</v>
      </c>
      <c r="K23" s="14">
        <f>K8/G8-1</f>
        <v>-2.3708721422523338E-2</v>
      </c>
      <c r="L23" s="14">
        <f>L8/H8-1</f>
        <v>3.7061548643282594E-2</v>
      </c>
      <c r="M23" s="14">
        <f>M8/I8-1</f>
        <v>0</v>
      </c>
      <c r="N23" s="14">
        <f>N8/J8-1</f>
        <v>0</v>
      </c>
      <c r="R23" s="15">
        <f>+R8/Q8-1</f>
        <v>0.94078045131529731</v>
      </c>
      <c r="S23" s="15">
        <f>+S8/R8-1</f>
        <v>-0.55379970450311555</v>
      </c>
      <c r="T23" s="15">
        <f>+T8/S8-1</f>
        <v>-0.25813417794414051</v>
      </c>
      <c r="U23" s="15">
        <f t="shared" ref="U23:AE23" si="31">+U8/T8-1</f>
        <v>5.4337279254803583E-3</v>
      </c>
      <c r="V23" s="15">
        <f t="shared" si="31"/>
        <v>0.30000000000000004</v>
      </c>
      <c r="W23" s="15">
        <f t="shared" si="31"/>
        <v>0.30000000000000004</v>
      </c>
      <c r="X23" s="15">
        <f t="shared" si="31"/>
        <v>0.19999999999999996</v>
      </c>
      <c r="Y23" s="15">
        <f t="shared" si="31"/>
        <v>0.19999999999999996</v>
      </c>
      <c r="Z23" s="15">
        <f t="shared" si="31"/>
        <v>0.19999999999999996</v>
      </c>
      <c r="AA23" s="15">
        <f t="shared" si="31"/>
        <v>0.19999999999999996</v>
      </c>
      <c r="AB23" s="15">
        <f t="shared" si="31"/>
        <v>0.19999999999999996</v>
      </c>
      <c r="AC23" s="15">
        <f t="shared" si="31"/>
        <v>0.19999999999999996</v>
      </c>
      <c r="AD23" s="15">
        <f t="shared" si="31"/>
        <v>0.19999999999999996</v>
      </c>
      <c r="AE23" s="15">
        <f t="shared" si="31"/>
        <v>0.19999999999999996</v>
      </c>
      <c r="AF23" s="15"/>
      <c r="AG23" s="3" t="s">
        <v>69</v>
      </c>
      <c r="AH23" s="12">
        <v>0.1</v>
      </c>
    </row>
    <row r="24" spans="2:120" x14ac:dyDescent="0.25">
      <c r="B24" s="1" t="s">
        <v>29</v>
      </c>
      <c r="C24" s="7"/>
      <c r="D24" s="7"/>
      <c r="F24" s="7">
        <f t="shared" ref="F24:N24" si="32">+F10/F8</f>
        <v>8.2758620689655171E-2</v>
      </c>
      <c r="G24" s="7">
        <f t="shared" si="32"/>
        <v>9.6528365791701945E-2</v>
      </c>
      <c r="H24" s="7">
        <f t="shared" si="32"/>
        <v>8.5373924553275971E-2</v>
      </c>
      <c r="I24" s="7">
        <f t="shared" si="32"/>
        <v>7.6252723311546838E-2</v>
      </c>
      <c r="J24" s="7">
        <f t="shared" si="32"/>
        <v>7.8413284132841335E-2</v>
      </c>
      <c r="K24" s="7">
        <f t="shared" si="32"/>
        <v>8.5862966175195149E-2</v>
      </c>
      <c r="L24" s="7">
        <f t="shared" si="32"/>
        <v>8.1684747925973203E-2</v>
      </c>
      <c r="M24" s="7">
        <f t="shared" si="32"/>
        <v>0.08</v>
      </c>
      <c r="N24" s="7">
        <f t="shared" si="32"/>
        <v>0.08</v>
      </c>
      <c r="Q24" s="12">
        <f>+Q10/Q8</f>
        <v>9.1011095873332504E-2</v>
      </c>
      <c r="R24" s="12">
        <f>+R10/R8</f>
        <v>4.2847048243078306E-2</v>
      </c>
      <c r="S24" s="12">
        <f>+S10/S8</f>
        <v>7.0112294845954506E-2</v>
      </c>
      <c r="T24" s="12">
        <f>+T10/T8</f>
        <v>8.4028721133320397E-2</v>
      </c>
      <c r="U24" s="12">
        <f t="shared" ref="U24:AE24" si="33">+U10/U8</f>
        <v>0.08</v>
      </c>
      <c r="V24" s="12">
        <f t="shared" si="33"/>
        <v>0.08</v>
      </c>
      <c r="W24" s="12">
        <f t="shared" si="33"/>
        <v>0.08</v>
      </c>
      <c r="X24" s="12">
        <f t="shared" si="33"/>
        <v>0.08</v>
      </c>
      <c r="Y24" s="12">
        <f t="shared" si="33"/>
        <v>0.08</v>
      </c>
      <c r="Z24" s="12">
        <f t="shared" si="33"/>
        <v>0.08</v>
      </c>
      <c r="AA24" s="12">
        <f t="shared" si="33"/>
        <v>0.08</v>
      </c>
      <c r="AB24" s="12">
        <f t="shared" si="33"/>
        <v>0.08</v>
      </c>
      <c r="AC24" s="12">
        <f t="shared" si="33"/>
        <v>0.08</v>
      </c>
      <c r="AD24" s="12">
        <f t="shared" si="33"/>
        <v>0.08</v>
      </c>
      <c r="AE24" s="12">
        <f t="shared" si="33"/>
        <v>0.08</v>
      </c>
      <c r="AF24" s="12"/>
      <c r="AG24" s="1" t="s">
        <v>71</v>
      </c>
      <c r="AH24" s="3">
        <f>NPV(AH23,V19:DP19)</f>
        <v>5720.3929210649349</v>
      </c>
    </row>
    <row r="25" spans="2:120" x14ac:dyDescent="0.25">
      <c r="AG25" s="1" t="s">
        <v>72</v>
      </c>
      <c r="AH25" s="6">
        <f>AH24/Main!L3</f>
        <v>7.7727568235680016</v>
      </c>
    </row>
    <row r="27" spans="2:120" x14ac:dyDescent="0.25">
      <c r="B27" s="1" t="s">
        <v>57</v>
      </c>
      <c r="F27" s="4"/>
      <c r="J27" s="4">
        <f>+J28+J29-J38</f>
        <v>631</v>
      </c>
      <c r="K27" s="4">
        <f>+K28+K29-K38</f>
        <v>561</v>
      </c>
      <c r="L27" s="4">
        <f>+L28+L29-L38</f>
        <v>544</v>
      </c>
      <c r="S27" s="3">
        <f>+S28+S29-S38</f>
        <v>882</v>
      </c>
      <c r="T27" s="3">
        <f>+T28+T29-T38</f>
        <v>631</v>
      </c>
    </row>
    <row r="28" spans="2:120" x14ac:dyDescent="0.25">
      <c r="B28" s="1" t="s">
        <v>3</v>
      </c>
      <c r="F28" s="4"/>
      <c r="J28" s="4">
        <f>671+92+8+6</f>
        <v>777</v>
      </c>
      <c r="K28" s="4">
        <f>559+134+20</f>
        <v>713</v>
      </c>
      <c r="L28" s="4">
        <f>789+396+10</f>
        <v>1195</v>
      </c>
      <c r="M28" s="4"/>
      <c r="S28" s="3">
        <f>999+541+69+9</f>
        <v>1618</v>
      </c>
      <c r="T28" s="3">
        <f>+J28</f>
        <v>777</v>
      </c>
    </row>
    <row r="29" spans="2:120" x14ac:dyDescent="0.25">
      <c r="B29" s="1" t="s">
        <v>38</v>
      </c>
      <c r="F29" s="4"/>
      <c r="J29" s="4">
        <v>2159</v>
      </c>
      <c r="K29" s="4">
        <v>2362</v>
      </c>
      <c r="L29" s="4">
        <v>1530</v>
      </c>
      <c r="M29" s="4"/>
      <c r="S29" s="3">
        <v>1775</v>
      </c>
      <c r="T29" s="3">
        <f t="shared" ref="T29:T34" si="34">+J29</f>
        <v>2159</v>
      </c>
    </row>
    <row r="30" spans="2:120" x14ac:dyDescent="0.25">
      <c r="B30" s="1" t="s">
        <v>37</v>
      </c>
      <c r="F30" s="4"/>
      <c r="J30" s="4">
        <v>61</v>
      </c>
      <c r="K30" s="4">
        <v>77</v>
      </c>
      <c r="L30" s="4">
        <v>72</v>
      </c>
      <c r="M30" s="4"/>
      <c r="S30" s="3">
        <v>52</v>
      </c>
      <c r="T30" s="3">
        <f t="shared" si="34"/>
        <v>61</v>
      </c>
    </row>
    <row r="31" spans="2:120" x14ac:dyDescent="0.25">
      <c r="B31" s="1" t="s">
        <v>36</v>
      </c>
      <c r="F31" s="4"/>
      <c r="J31" s="4">
        <v>48</v>
      </c>
      <c r="K31" s="4">
        <v>44</v>
      </c>
      <c r="L31" s="4">
        <v>37</v>
      </c>
      <c r="S31" s="3">
        <v>66</v>
      </c>
      <c r="T31" s="3">
        <f t="shared" si="34"/>
        <v>48</v>
      </c>
    </row>
    <row r="32" spans="2:120" x14ac:dyDescent="0.25">
      <c r="B32" s="1" t="s">
        <v>35</v>
      </c>
      <c r="F32" s="4"/>
      <c r="J32" s="4">
        <v>18</v>
      </c>
      <c r="K32" s="4">
        <v>17</v>
      </c>
      <c r="L32" s="4">
        <v>9</v>
      </c>
      <c r="S32" s="3">
        <v>25</v>
      </c>
      <c r="T32" s="3">
        <f t="shared" si="34"/>
        <v>18</v>
      </c>
    </row>
    <row r="33" spans="2:20" x14ac:dyDescent="0.25">
      <c r="B33" s="1" t="s">
        <v>34</v>
      </c>
      <c r="F33" s="4"/>
      <c r="J33" s="4">
        <v>3</v>
      </c>
      <c r="K33" s="4">
        <v>3</v>
      </c>
      <c r="L33" s="4">
        <v>3</v>
      </c>
      <c r="S33" s="3">
        <f>4+5</f>
        <v>9</v>
      </c>
      <c r="T33" s="3">
        <f t="shared" si="34"/>
        <v>3</v>
      </c>
    </row>
    <row r="34" spans="2:20" x14ac:dyDescent="0.25">
      <c r="B34" s="1" t="s">
        <v>33</v>
      </c>
      <c r="F34" s="4"/>
      <c r="J34" s="4">
        <v>60</v>
      </c>
      <c r="K34" s="4">
        <v>61</v>
      </c>
      <c r="L34" s="4">
        <v>61</v>
      </c>
      <c r="S34" s="3">
        <v>22</v>
      </c>
      <c r="T34" s="3">
        <f t="shared" si="34"/>
        <v>60</v>
      </c>
    </row>
    <row r="35" spans="2:20" x14ac:dyDescent="0.25">
      <c r="B35" s="1" t="s">
        <v>32</v>
      </c>
      <c r="F35" s="4"/>
      <c r="J35" s="4">
        <f>SUM(J28:J34)</f>
        <v>3126</v>
      </c>
      <c r="K35" s="4">
        <f>SUM(K28:K34)</f>
        <v>3277</v>
      </c>
      <c r="L35" s="4">
        <f>SUM(L28:L34)</f>
        <v>2907</v>
      </c>
      <c r="S35" s="3">
        <f>SUM(S28:S34)</f>
        <v>3567</v>
      </c>
      <c r="T35" s="3">
        <f>SUM(T28:T34)</f>
        <v>3126</v>
      </c>
    </row>
    <row r="37" spans="2:20" s="3" customFormat="1" x14ac:dyDescent="0.25">
      <c r="B37" s="3" t="s">
        <v>41</v>
      </c>
      <c r="C37" s="4"/>
      <c r="D37" s="4"/>
      <c r="E37" s="4"/>
      <c r="F37" s="4"/>
      <c r="G37" s="4"/>
      <c r="H37" s="4"/>
      <c r="I37" s="4"/>
      <c r="J37" s="4">
        <v>92</v>
      </c>
      <c r="K37" s="4">
        <v>102</v>
      </c>
      <c r="L37" s="4">
        <v>86</v>
      </c>
      <c r="M37" s="4"/>
      <c r="N37" s="4"/>
      <c r="S37" s="3">
        <v>64</v>
      </c>
      <c r="T37" s="3">
        <f t="shared" ref="T37:T41" si="35">+J37</f>
        <v>92</v>
      </c>
    </row>
    <row r="38" spans="2:20" s="3" customFormat="1" x14ac:dyDescent="0.25">
      <c r="B38" s="3" t="s">
        <v>4</v>
      </c>
      <c r="C38" s="4"/>
      <c r="D38" s="4"/>
      <c r="E38" s="4"/>
      <c r="F38" s="4"/>
      <c r="G38" s="4"/>
      <c r="H38" s="4"/>
      <c r="I38" s="4"/>
      <c r="J38" s="4">
        <f>432+1492+378+3</f>
        <v>2305</v>
      </c>
      <c r="K38" s="4">
        <f>946+1187+3+378</f>
        <v>2514</v>
      </c>
      <c r="L38" s="4">
        <f>550+1189+5+437</f>
        <v>2181</v>
      </c>
      <c r="M38" s="4"/>
      <c r="N38" s="4"/>
      <c r="S38" s="3">
        <f>1+2134+376</f>
        <v>2511</v>
      </c>
      <c r="T38" s="3">
        <f t="shared" si="35"/>
        <v>2305</v>
      </c>
    </row>
    <row r="39" spans="2:20" s="3" customFormat="1" x14ac:dyDescent="0.25">
      <c r="B39" s="3" t="s">
        <v>42</v>
      </c>
      <c r="C39" s="4"/>
      <c r="D39" s="4"/>
      <c r="E39" s="4"/>
      <c r="F39" s="4"/>
      <c r="G39" s="4"/>
      <c r="H39" s="4"/>
      <c r="I39" s="4"/>
      <c r="J39" s="4">
        <f>2+13</f>
        <v>15</v>
      </c>
      <c r="K39" s="4">
        <f>2+13</f>
        <v>15</v>
      </c>
      <c r="L39" s="4">
        <f>2+6</f>
        <v>8</v>
      </c>
      <c r="M39" s="4"/>
      <c r="N39" s="4"/>
      <c r="S39" s="3">
        <f>5+19</f>
        <v>24</v>
      </c>
      <c r="T39" s="3">
        <f t="shared" si="35"/>
        <v>15</v>
      </c>
    </row>
    <row r="40" spans="2:20" s="3" customFormat="1" x14ac:dyDescent="0.25">
      <c r="B40" s="3" t="s">
        <v>33</v>
      </c>
      <c r="C40" s="4"/>
      <c r="D40" s="4"/>
      <c r="E40" s="4"/>
      <c r="F40" s="4"/>
      <c r="G40" s="4"/>
      <c r="H40" s="4"/>
      <c r="I40" s="4"/>
      <c r="J40" s="4">
        <v>1</v>
      </c>
      <c r="K40" s="4">
        <v>1</v>
      </c>
      <c r="L40" s="4">
        <v>1</v>
      </c>
      <c r="M40" s="4"/>
      <c r="N40" s="4"/>
      <c r="S40" s="3">
        <v>1</v>
      </c>
      <c r="T40" s="3">
        <f t="shared" si="35"/>
        <v>1</v>
      </c>
    </row>
    <row r="41" spans="2:20" s="3" customFormat="1" x14ac:dyDescent="0.25">
      <c r="B41" s="3" t="s">
        <v>40</v>
      </c>
      <c r="C41" s="4"/>
      <c r="D41" s="4"/>
      <c r="E41" s="4"/>
      <c r="F41" s="4"/>
      <c r="G41" s="4"/>
      <c r="H41" s="4"/>
      <c r="I41" s="4"/>
      <c r="J41" s="4">
        <v>713</v>
      </c>
      <c r="K41" s="4">
        <v>645</v>
      </c>
      <c r="L41" s="4">
        <v>631</v>
      </c>
      <c r="M41" s="4"/>
      <c r="N41" s="4"/>
      <c r="S41" s="3">
        <v>967</v>
      </c>
      <c r="T41" s="3">
        <f t="shared" si="35"/>
        <v>713</v>
      </c>
    </row>
    <row r="42" spans="2:20" s="3" customFormat="1" x14ac:dyDescent="0.25">
      <c r="B42" s="3" t="s">
        <v>39</v>
      </c>
      <c r="C42" s="4"/>
      <c r="D42" s="4"/>
      <c r="E42" s="4"/>
      <c r="F42" s="4"/>
      <c r="G42" s="4"/>
      <c r="H42" s="4"/>
      <c r="I42" s="4"/>
      <c r="J42" s="4">
        <f t="shared" ref="J42" si="36">SUM(J37:J41)</f>
        <v>3126</v>
      </c>
      <c r="K42" s="4">
        <f>SUM(K37:K41)</f>
        <v>3277</v>
      </c>
      <c r="L42" s="4">
        <f t="shared" ref="L42" si="37">SUM(L37:L41)</f>
        <v>2907</v>
      </c>
      <c r="M42" s="4"/>
      <c r="N42" s="4"/>
      <c r="S42" s="3">
        <f>SUM(S37:S41)</f>
        <v>3567</v>
      </c>
      <c r="T42" s="3">
        <f>SUM(T37:T41)</f>
        <v>3126</v>
      </c>
    </row>
    <row r="44" spans="2:20" x14ac:dyDescent="0.25">
      <c r="B44" s="1" t="s">
        <v>31</v>
      </c>
      <c r="K44" s="4">
        <f>+K19</f>
        <v>-86</v>
      </c>
      <c r="L44" s="4">
        <f>+L19</f>
        <v>-33</v>
      </c>
      <c r="S44" s="4">
        <f t="shared" ref="S44:T44" si="38">+S19</f>
        <v>-583</v>
      </c>
      <c r="T44" s="4">
        <f t="shared" si="38"/>
        <v>-436</v>
      </c>
    </row>
    <row r="45" spans="2:20" x14ac:dyDescent="0.25">
      <c r="B45" s="1" t="s">
        <v>30</v>
      </c>
      <c r="K45" s="2">
        <v>-85</v>
      </c>
      <c r="L45" s="2">
        <f>-114-K45</f>
        <v>-29</v>
      </c>
      <c r="S45" s="3">
        <v>-275</v>
      </c>
      <c r="T45" s="1">
        <v>-392</v>
      </c>
    </row>
    <row r="46" spans="2:20" x14ac:dyDescent="0.25">
      <c r="B46" s="1" t="s">
        <v>43</v>
      </c>
      <c r="K46" s="2">
        <v>10</v>
      </c>
      <c r="L46" s="2">
        <f>22-K46</f>
        <v>12</v>
      </c>
      <c r="S46" s="3">
        <v>66</v>
      </c>
      <c r="T46" s="1">
        <v>48</v>
      </c>
    </row>
    <row r="47" spans="2:20" x14ac:dyDescent="0.25">
      <c r="B47" s="1" t="s">
        <v>44</v>
      </c>
      <c r="K47" s="2">
        <v>1</v>
      </c>
      <c r="L47" s="2">
        <f>1-K47</f>
        <v>0</v>
      </c>
      <c r="S47" s="3">
        <v>7</v>
      </c>
      <c r="T47" s="1">
        <v>5</v>
      </c>
    </row>
    <row r="48" spans="2:20" x14ac:dyDescent="0.25">
      <c r="B48" s="1" t="s">
        <v>45</v>
      </c>
      <c r="K48" s="2">
        <v>14</v>
      </c>
      <c r="L48" s="2">
        <f>27-K48</f>
        <v>13</v>
      </c>
      <c r="S48" s="3">
        <v>126</v>
      </c>
      <c r="T48" s="1">
        <v>114</v>
      </c>
    </row>
    <row r="49" spans="2:20" x14ac:dyDescent="0.25">
      <c r="B49" s="1" t="s">
        <v>46</v>
      </c>
      <c r="K49" s="2">
        <v>13</v>
      </c>
      <c r="L49" s="2">
        <f>34-K49</f>
        <v>21</v>
      </c>
      <c r="S49" s="3">
        <v>65</v>
      </c>
      <c r="T49" s="1">
        <v>57</v>
      </c>
    </row>
    <row r="50" spans="2:20" x14ac:dyDescent="0.25">
      <c r="B50" s="1" t="s">
        <v>47</v>
      </c>
      <c r="K50" s="2">
        <v>3</v>
      </c>
      <c r="L50" s="2">
        <f>3-K50</f>
        <v>0</v>
      </c>
      <c r="S50" s="3">
        <v>1</v>
      </c>
      <c r="T50" s="1">
        <v>7</v>
      </c>
    </row>
    <row r="51" spans="2:20" x14ac:dyDescent="0.25">
      <c r="B51" s="1" t="s">
        <v>33</v>
      </c>
      <c r="K51" s="2">
        <v>0</v>
      </c>
      <c r="L51" s="2">
        <f>4-K51</f>
        <v>4</v>
      </c>
      <c r="S51" s="3">
        <v>13</v>
      </c>
      <c r="T51" s="1">
        <f>7-14+2</f>
        <v>-5</v>
      </c>
    </row>
    <row r="52" spans="2:20" x14ac:dyDescent="0.25">
      <c r="B52" s="1" t="s">
        <v>58</v>
      </c>
      <c r="K52" s="2">
        <v>0</v>
      </c>
      <c r="L52" s="2">
        <f>-10-K52</f>
        <v>-10</v>
      </c>
      <c r="S52" s="3">
        <v>-216</v>
      </c>
      <c r="T52" s="1">
        <v>0</v>
      </c>
    </row>
    <row r="53" spans="2:20" x14ac:dyDescent="0.25">
      <c r="B53" s="1" t="s">
        <v>48</v>
      </c>
      <c r="K53" s="2">
        <v>-14</v>
      </c>
      <c r="L53" s="2">
        <f>-4-K53</f>
        <v>10</v>
      </c>
      <c r="S53" s="3">
        <v>21</v>
      </c>
      <c r="T53" s="1">
        <v>3</v>
      </c>
    </row>
    <row r="54" spans="2:20" ht="13" x14ac:dyDescent="0.3">
      <c r="B54" s="1" t="s">
        <v>49</v>
      </c>
      <c r="K54" s="10">
        <v>-212</v>
      </c>
      <c r="L54" s="10">
        <f>593-K54</f>
        <v>805</v>
      </c>
      <c r="S54" s="3">
        <v>2613</v>
      </c>
      <c r="T54" s="1">
        <v>-449</v>
      </c>
    </row>
    <row r="55" spans="2:20" x14ac:dyDescent="0.25">
      <c r="B55" s="1" t="s">
        <v>50</v>
      </c>
      <c r="K55" s="2">
        <v>-16</v>
      </c>
      <c r="L55" s="2">
        <f>-11-K55</f>
        <v>5</v>
      </c>
      <c r="S55" s="3">
        <v>-19</v>
      </c>
      <c r="T55" s="1">
        <v>-10</v>
      </c>
    </row>
    <row r="56" spans="2:20" x14ac:dyDescent="0.25">
      <c r="B56" s="1" t="s">
        <v>41</v>
      </c>
      <c r="K56" s="2">
        <v>8</v>
      </c>
      <c r="L56" s="2">
        <f>-2-K56</f>
        <v>-10</v>
      </c>
      <c r="S56" s="3">
        <v>-38</v>
      </c>
      <c r="T56" s="1">
        <v>31</v>
      </c>
    </row>
    <row r="57" spans="2:20" x14ac:dyDescent="0.25">
      <c r="B57" s="1" t="s">
        <v>59</v>
      </c>
      <c r="K57" s="2">
        <v>0</v>
      </c>
      <c r="L57" s="2">
        <f>2-K57</f>
        <v>2</v>
      </c>
      <c r="S57" s="3">
        <v>-10</v>
      </c>
      <c r="T57" s="1">
        <v>2</v>
      </c>
    </row>
    <row r="58" spans="2:20" x14ac:dyDescent="0.25">
      <c r="B58" s="1" t="s">
        <v>42</v>
      </c>
      <c r="K58" s="2">
        <v>-1</v>
      </c>
      <c r="L58" s="2">
        <f>-1-K58</f>
        <v>0</v>
      </c>
      <c r="S58" s="3">
        <v>-10</v>
      </c>
      <c r="T58" s="1">
        <v>-6</v>
      </c>
    </row>
    <row r="59" spans="2:20" x14ac:dyDescent="0.25">
      <c r="B59" s="1" t="s">
        <v>28</v>
      </c>
      <c r="K59" s="4">
        <f>SUM(K45:K58)</f>
        <v>-279</v>
      </c>
      <c r="L59" s="4">
        <f>SUM(L45:L58)</f>
        <v>823</v>
      </c>
      <c r="Q59" s="3">
        <v>-5794</v>
      </c>
      <c r="R59" s="3">
        <v>730</v>
      </c>
      <c r="S59" s="3">
        <f>SUM(S45:S58)</f>
        <v>2344</v>
      </c>
      <c r="T59" s="3">
        <f>SUM(T45:T58)</f>
        <v>-595</v>
      </c>
    </row>
    <row r="61" spans="2:20" x14ac:dyDescent="0.25">
      <c r="B61" s="1" t="s">
        <v>36</v>
      </c>
      <c r="K61" s="2">
        <v>-4</v>
      </c>
      <c r="L61" s="2">
        <f>-6-K61</f>
        <v>-2</v>
      </c>
      <c r="S61" s="1">
        <v>-37</v>
      </c>
      <c r="T61" s="1">
        <v>-25</v>
      </c>
    </row>
    <row r="62" spans="2:20" x14ac:dyDescent="0.25">
      <c r="B62" s="1" t="s">
        <v>51</v>
      </c>
      <c r="K62" s="2">
        <v>6</v>
      </c>
      <c r="L62" s="2">
        <f>6-K62</f>
        <v>0</v>
      </c>
      <c r="S62" s="1">
        <f>80+1</f>
        <v>81</v>
      </c>
      <c r="T62" s="1">
        <f>55-2</f>
        <v>53</v>
      </c>
    </row>
    <row r="63" spans="2:20" x14ac:dyDescent="0.25">
      <c r="B63" s="1" t="s">
        <v>52</v>
      </c>
      <c r="K63" s="2">
        <f>+K61+K62</f>
        <v>2</v>
      </c>
      <c r="L63" s="2">
        <f>+L61+L62</f>
        <v>-2</v>
      </c>
      <c r="S63" s="1">
        <f>SUM(S61:S62)</f>
        <v>44</v>
      </c>
      <c r="T63" s="1">
        <f>SUM(T61:T62)</f>
        <v>28</v>
      </c>
    </row>
    <row r="65" spans="2:20" x14ac:dyDescent="0.25">
      <c r="B65" s="1" t="s">
        <v>55</v>
      </c>
      <c r="K65" s="2">
        <v>1</v>
      </c>
      <c r="L65" s="2">
        <f>1-K65</f>
        <v>0</v>
      </c>
      <c r="S65" s="1">
        <f>3+2</f>
        <v>5</v>
      </c>
      <c r="T65" s="1">
        <v>5</v>
      </c>
    </row>
    <row r="66" spans="2:20" x14ac:dyDescent="0.25">
      <c r="B66" s="1" t="s">
        <v>4</v>
      </c>
      <c r="K66" s="2">
        <f>576-362-8</f>
        <v>206</v>
      </c>
      <c r="L66" s="2">
        <f>75+671-853-16-K66</f>
        <v>-329</v>
      </c>
      <c r="S66" s="3">
        <f>-362-2515-1-4+238</f>
        <v>-2644</v>
      </c>
      <c r="T66" s="3">
        <f>2+498-715</f>
        <v>-215</v>
      </c>
    </row>
    <row r="67" spans="2:20" x14ac:dyDescent="0.25">
      <c r="B67" s="1" t="s">
        <v>54</v>
      </c>
      <c r="K67" s="2">
        <f>+K65+K66</f>
        <v>207</v>
      </c>
      <c r="L67" s="2">
        <f>+L65+L66</f>
        <v>-329</v>
      </c>
      <c r="S67" s="3">
        <f>SUM(S65:S66)</f>
        <v>-2639</v>
      </c>
      <c r="T67" s="3">
        <f>SUM(T65:T66)</f>
        <v>-210</v>
      </c>
    </row>
    <row r="68" spans="2:20" x14ac:dyDescent="0.25">
      <c r="B68" s="1" t="s">
        <v>53</v>
      </c>
      <c r="K68" s="4">
        <f>+K67+K63+K59</f>
        <v>-70</v>
      </c>
      <c r="L68" s="4">
        <f>+L67+L63+L59</f>
        <v>492</v>
      </c>
      <c r="S68" s="4">
        <f>+S67+S63+S59</f>
        <v>-251</v>
      </c>
      <c r="T68" s="4">
        <f>+T67+T63+T59</f>
        <v>-777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2025-07-21T13:19:37Z</dcterms:created>
  <dcterms:modified xsi:type="dcterms:W3CDTF">2025-09-17T14:45:50Z</dcterms:modified>
</cp:coreProperties>
</file>