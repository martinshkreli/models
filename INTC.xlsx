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665B6B08-894E-45BB-B3BF-FF8FC9D227B5}" xr6:coauthVersionLast="47" xr6:coauthVersionMax="47" xr10:uidLastSave="{00000000-0000-0000-0000-000000000000}"/>
  <bookViews>
    <workbookView xWindow="42200" yWindow="2360" windowWidth="24340" windowHeight="15680" activeTab="1" xr2:uid="{2060C4C8-3805-4E23-AE6B-F728D7027876}"/>
  </bookViews>
  <sheets>
    <sheet name="Main" sheetId="1" r:id="rId1"/>
    <sheet name="Model" sheetId="2" r:id="rId2"/>
    <sheet name="14th" sheetId="3" r:id="rId3"/>
    <sheet name="IP" sheetId="4" r:id="rId4"/>
    <sheet name="Semiconductor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K7" i="2" l="1"/>
  <c r="BJ7" i="2"/>
  <c r="BI7" i="2"/>
  <c r="BH7" i="2"/>
  <c r="BG7" i="2"/>
  <c r="BF7" i="2"/>
  <c r="BE7" i="2"/>
  <c r="BD7" i="2"/>
  <c r="BC7" i="2"/>
  <c r="BB7" i="2"/>
  <c r="BA7" i="2"/>
  <c r="AZ7" i="2"/>
  <c r="AY7" i="2"/>
  <c r="AX7" i="2"/>
  <c r="AW7" i="2"/>
  <c r="AV7" i="2"/>
  <c r="AU7" i="2"/>
  <c r="AT7" i="2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Q8" i="2"/>
  <c r="BS8" i="2"/>
  <c r="BR8" i="2"/>
  <c r="BP8" i="2"/>
  <c r="BO8" i="2"/>
  <c r="BN8" i="2"/>
  <c r="BM8" i="2"/>
  <c r="BL8" i="2"/>
  <c r="BK8" i="2"/>
  <c r="BH8" i="2"/>
  <c r="BJ8" i="2"/>
  <c r="BI8" i="2"/>
  <c r="BG8" i="2"/>
  <c r="BF8" i="2"/>
  <c r="BE8" i="2"/>
  <c r="BD8" i="2"/>
  <c r="BC8" i="2"/>
  <c r="BB8" i="2"/>
  <c r="BA8" i="2"/>
  <c r="AZ8" i="2"/>
  <c r="AY8" i="2"/>
  <c r="AX8" i="2"/>
  <c r="AW8" i="2"/>
  <c r="AV8" i="2"/>
  <c r="AU8" i="2"/>
  <c r="AT8" i="2"/>
  <c r="AS8" i="2"/>
  <c r="AR8" i="2"/>
  <c r="AQ8" i="2"/>
  <c r="AL8" i="2"/>
  <c r="AP8" i="2"/>
  <c r="AO8" i="2"/>
  <c r="AN8" i="2"/>
  <c r="AM8" i="2"/>
  <c r="AK8" i="2"/>
  <c r="AJ8" i="2"/>
  <c r="AI8" i="2"/>
  <c r="AH8" i="2"/>
  <c r="AG8" i="2"/>
  <c r="AF8" i="2"/>
  <c r="AE8" i="2"/>
  <c r="AJ41" i="2" l="1"/>
  <c r="AI41" i="2"/>
  <c r="AH41" i="2"/>
  <c r="AG41" i="2"/>
  <c r="AF41" i="2"/>
  <c r="AN41" i="2"/>
  <c r="AM41" i="2"/>
  <c r="AL41" i="2"/>
  <c r="AK41" i="2"/>
  <c r="AO41" i="2"/>
  <c r="AW41" i="2"/>
  <c r="AV41" i="2"/>
  <c r="AU41" i="2"/>
  <c r="AT41" i="2"/>
  <c r="AS41" i="2"/>
  <c r="AR41" i="2"/>
  <c r="AQ41" i="2"/>
  <c r="AP41" i="2"/>
  <c r="AX41" i="2"/>
  <c r="AX39" i="2"/>
  <c r="AY39" i="2"/>
  <c r="AY41" i="2"/>
  <c r="AZ41" i="2"/>
  <c r="BA41" i="2"/>
  <c r="AZ39" i="2"/>
  <c r="AX32" i="2"/>
  <c r="AX33" i="2" s="1"/>
  <c r="AX35" i="2" s="1"/>
  <c r="AX37" i="2" s="1"/>
  <c r="AX38" i="2" s="1"/>
  <c r="AX29" i="2"/>
  <c r="AZ32" i="2"/>
  <c r="AY32" i="2"/>
  <c r="AZ29" i="2"/>
  <c r="AY29" i="2"/>
  <c r="BA39" i="2"/>
  <c r="BB39" i="2"/>
  <c r="BC39" i="2"/>
  <c r="BD41" i="2"/>
  <c r="BC41" i="2"/>
  <c r="BB41" i="2"/>
  <c r="BB32" i="2"/>
  <c r="BA32" i="2"/>
  <c r="BB29" i="2"/>
  <c r="BA29" i="2"/>
  <c r="BC32" i="2"/>
  <c r="BC29" i="2"/>
  <c r="BE39" i="2"/>
  <c r="BD32" i="2"/>
  <c r="BD29" i="2"/>
  <c r="BD39" i="2"/>
  <c r="BF39" i="2"/>
  <c r="BE32" i="2"/>
  <c r="BE29" i="2"/>
  <c r="BE41" i="2"/>
  <c r="BF41" i="2"/>
  <c r="BG41" i="2"/>
  <c r="BG39" i="2"/>
  <c r="BH39" i="2"/>
  <c r="BI39" i="2"/>
  <c r="BI41" i="2"/>
  <c r="BH41" i="2"/>
  <c r="BJ41" i="2"/>
  <c r="BI32" i="2"/>
  <c r="BH32" i="2"/>
  <c r="BG32" i="2"/>
  <c r="BF32" i="2"/>
  <c r="BI29" i="2"/>
  <c r="BH29" i="2"/>
  <c r="BG29" i="2"/>
  <c r="BF29" i="2"/>
  <c r="BK41" i="2"/>
  <c r="BL41" i="2"/>
  <c r="BM41" i="2"/>
  <c r="BJ32" i="2"/>
  <c r="BJ29" i="2"/>
  <c r="BK32" i="2"/>
  <c r="BK29" i="2"/>
  <c r="BL32" i="2"/>
  <c r="BL29" i="2"/>
  <c r="BN41" i="2"/>
  <c r="BM32" i="2"/>
  <c r="BM29" i="2"/>
  <c r="BP41" i="2"/>
  <c r="BO41" i="2"/>
  <c r="BN34" i="2"/>
  <c r="BN32" i="2"/>
  <c r="BN29" i="2"/>
  <c r="BD33" i="2" l="1"/>
  <c r="BD35" i="2" s="1"/>
  <c r="BD37" i="2" s="1"/>
  <c r="BD38" i="2" s="1"/>
  <c r="BG33" i="2"/>
  <c r="BG35" i="2" s="1"/>
  <c r="BG37" i="2" s="1"/>
  <c r="BE33" i="2"/>
  <c r="BE35" i="2" s="1"/>
  <c r="BE37" i="2" s="1"/>
  <c r="BE38" i="2" s="1"/>
  <c r="BI33" i="2"/>
  <c r="BI35" i="2" s="1"/>
  <c r="BI37" i="2" s="1"/>
  <c r="AY33" i="2"/>
  <c r="AY35" i="2" s="1"/>
  <c r="AY37" i="2" s="1"/>
  <c r="AY38" i="2" s="1"/>
  <c r="AZ33" i="2"/>
  <c r="AZ35" i="2" s="1"/>
  <c r="AZ37" i="2" s="1"/>
  <c r="AZ38" i="2" s="1"/>
  <c r="BA33" i="2"/>
  <c r="BA35" i="2" s="1"/>
  <c r="BA37" i="2" s="1"/>
  <c r="BA38" i="2" s="1"/>
  <c r="BB33" i="2"/>
  <c r="BB35" i="2" s="1"/>
  <c r="BB37" i="2" s="1"/>
  <c r="BB38" i="2" s="1"/>
  <c r="BC33" i="2"/>
  <c r="BC35" i="2" s="1"/>
  <c r="BC37" i="2" s="1"/>
  <c r="BC38" i="2" s="1"/>
  <c r="BF33" i="2"/>
  <c r="BF35" i="2" s="1"/>
  <c r="BF37" i="2" s="1"/>
  <c r="BF38" i="2" s="1"/>
  <c r="BG38" i="2"/>
  <c r="BH33" i="2"/>
  <c r="BH35" i="2" s="1"/>
  <c r="BH37" i="2" s="1"/>
  <c r="BH38" i="2" s="1"/>
  <c r="BI38" i="2"/>
  <c r="BJ33" i="2"/>
  <c r="BJ35" i="2" s="1"/>
  <c r="BJ37" i="2" s="1"/>
  <c r="BJ38" i="2" s="1"/>
  <c r="BK33" i="2"/>
  <c r="BK35" i="2" s="1"/>
  <c r="BK37" i="2" s="1"/>
  <c r="BK38" i="2" s="1"/>
  <c r="BL33" i="2"/>
  <c r="BL35" i="2" s="1"/>
  <c r="BL37" i="2" s="1"/>
  <c r="BL38" i="2" s="1"/>
  <c r="BM33" i="2"/>
  <c r="BM35" i="2" s="1"/>
  <c r="BM37" i="2" s="1"/>
  <c r="BM38" i="2" s="1"/>
  <c r="BN33" i="2"/>
  <c r="BN35" i="2" s="1"/>
  <c r="BN37" i="2" s="1"/>
  <c r="BN38" i="2" s="1"/>
  <c r="BN2" i="2"/>
  <c r="BM2" i="2" s="1"/>
  <c r="BL2" i="2" s="1"/>
  <c r="BK2" i="2" s="1"/>
  <c r="BJ2" i="2" s="1"/>
  <c r="BI2" i="2" s="1"/>
  <c r="BH2" i="2" s="1"/>
  <c r="BG2" i="2" s="1"/>
  <c r="BF2" i="2" s="1"/>
  <c r="BE2" i="2" s="1"/>
  <c r="BD2" i="2" s="1"/>
  <c r="BC2" i="2" s="1"/>
  <c r="BB2" i="2" s="1"/>
  <c r="BA2" i="2" s="1"/>
  <c r="AZ2" i="2" s="1"/>
  <c r="AY2" i="2" s="1"/>
  <c r="AX2" i="2" s="1"/>
  <c r="AW2" i="2" s="1"/>
  <c r="AV2" i="2" s="1"/>
  <c r="AU2" i="2" s="1"/>
  <c r="AT2" i="2" s="1"/>
  <c r="AS2" i="2" s="1"/>
  <c r="AR2" i="2" s="1"/>
  <c r="AQ2" i="2" s="1"/>
  <c r="AP2" i="2" s="1"/>
  <c r="AO2" i="2" s="1"/>
  <c r="AN2" i="2" s="1"/>
  <c r="AM2" i="2" s="1"/>
  <c r="AL2" i="2" s="1"/>
  <c r="AK2" i="2" s="1"/>
  <c r="AJ2" i="2" s="1"/>
  <c r="AI2" i="2" s="1"/>
  <c r="AH2" i="2" s="1"/>
  <c r="AG2" i="2" s="1"/>
  <c r="AF2" i="2" s="1"/>
  <c r="AE2" i="2" s="1"/>
  <c r="AD2" i="2" s="1"/>
  <c r="AC2" i="2" s="1"/>
  <c r="AB2" i="2" s="1"/>
  <c r="W30" i="2"/>
  <c r="W31" i="2"/>
  <c r="W27" i="2"/>
  <c r="W29" i="2" s="1"/>
  <c r="Q57" i="2"/>
  <c r="Q64" i="2" s="1"/>
  <c r="Q48" i="2"/>
  <c r="Q53" i="2"/>
  <c r="P89" i="2"/>
  <c r="Q89" i="2" s="1"/>
  <c r="P88" i="2"/>
  <c r="Q88" i="2" s="1"/>
  <c r="P87" i="2"/>
  <c r="P86" i="2"/>
  <c r="Q86" i="2" s="1"/>
  <c r="P85" i="2"/>
  <c r="Q85" i="2" s="1"/>
  <c r="P81" i="2"/>
  <c r="Q81" i="2" s="1"/>
  <c r="P79" i="2"/>
  <c r="Q79" i="2" s="1"/>
  <c r="P72" i="2"/>
  <c r="Q72" i="2" s="1"/>
  <c r="P71" i="2"/>
  <c r="Q71" i="2" s="1"/>
  <c r="P70" i="2"/>
  <c r="Q70" i="2" s="1"/>
  <c r="P69" i="2"/>
  <c r="Q69" i="2" s="1"/>
  <c r="P68" i="2"/>
  <c r="Q68" i="2" s="1"/>
  <c r="P67" i="2"/>
  <c r="P57" i="2"/>
  <c r="P64" i="2" s="1"/>
  <c r="P53" i="2"/>
  <c r="P48" i="2"/>
  <c r="O84" i="2"/>
  <c r="O90" i="2" s="1"/>
  <c r="O80" i="2"/>
  <c r="O82" i="2" s="1"/>
  <c r="O76" i="2"/>
  <c r="O77" i="2" s="1"/>
  <c r="O93" i="2" s="1"/>
  <c r="O60" i="2"/>
  <c r="O57" i="2"/>
  <c r="O48" i="2"/>
  <c r="O53" i="2"/>
  <c r="Q47" i="2" l="1"/>
  <c r="P55" i="2"/>
  <c r="Q55" i="2"/>
  <c r="Q67" i="2"/>
  <c r="O91" i="2"/>
  <c r="P76" i="2"/>
  <c r="Q76" i="2" s="1"/>
  <c r="P84" i="2"/>
  <c r="P47" i="2"/>
  <c r="P80" i="2"/>
  <c r="O55" i="2"/>
  <c r="O47" i="2"/>
  <c r="O64" i="2"/>
  <c r="P82" i="2" l="1"/>
  <c r="Q80" i="2"/>
  <c r="Q82" i="2" s="1"/>
  <c r="P90" i="2"/>
  <c r="Q84" i="2"/>
  <c r="Q90" i="2" s="1"/>
  <c r="Q77" i="2"/>
  <c r="Q93" i="2" s="1"/>
  <c r="P77" i="2"/>
  <c r="U74" i="2"/>
  <c r="U73" i="2"/>
  <c r="U57" i="2"/>
  <c r="U64" i="2" s="1"/>
  <c r="U53" i="2"/>
  <c r="U100" i="2" s="1"/>
  <c r="U48" i="2"/>
  <c r="U47" i="2"/>
  <c r="Z32" i="2"/>
  <c r="Y32" i="2"/>
  <c r="X32" i="2"/>
  <c r="W32" i="2"/>
  <c r="Y27" i="2"/>
  <c r="Y41" i="2" s="1"/>
  <c r="X27" i="2"/>
  <c r="X29" i="2" s="1"/>
  <c r="W41" i="2"/>
  <c r="U29" i="2"/>
  <c r="CG93" i="2"/>
  <c r="T79" i="2"/>
  <c r="U79" i="2" s="1"/>
  <c r="T72" i="2"/>
  <c r="U72" i="2" s="1"/>
  <c r="T71" i="2"/>
  <c r="U71" i="2" s="1"/>
  <c r="T70" i="2"/>
  <c r="U70" i="2" s="1"/>
  <c r="T69" i="2"/>
  <c r="U69" i="2" s="1"/>
  <c r="T68" i="2"/>
  <c r="U68" i="2" s="1"/>
  <c r="T67" i="2"/>
  <c r="U67" i="2" s="1"/>
  <c r="S76" i="2"/>
  <c r="T76" i="2" s="1"/>
  <c r="U76" i="2" s="1"/>
  <c r="S57" i="2"/>
  <c r="S64" i="2" s="1"/>
  <c r="S48" i="2"/>
  <c r="S53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V42" i="2"/>
  <c r="BU42" i="2"/>
  <c r="BT42" i="2"/>
  <c r="BS42" i="2"/>
  <c r="BR42" i="2"/>
  <c r="BQ42" i="2"/>
  <c r="CF42" i="2"/>
  <c r="CE42" i="2"/>
  <c r="CD42" i="2"/>
  <c r="CC42" i="2"/>
  <c r="CB42" i="2"/>
  <c r="CA42" i="2"/>
  <c r="BZ42" i="2"/>
  <c r="BY42" i="2"/>
  <c r="BX42" i="2"/>
  <c r="BW42" i="2"/>
  <c r="CG42" i="2"/>
  <c r="CE14" i="2"/>
  <c r="CE15" i="2" s="1"/>
  <c r="CD14" i="2"/>
  <c r="CD15" i="2" s="1"/>
  <c r="CC14" i="2"/>
  <c r="CC15" i="2" s="1"/>
  <c r="CB14" i="2"/>
  <c r="CB15" i="2" s="1"/>
  <c r="CA14" i="2"/>
  <c r="CA15" i="2" s="1"/>
  <c r="BZ14" i="2"/>
  <c r="BZ15" i="2" s="1"/>
  <c r="BY14" i="2"/>
  <c r="BY15" i="2" s="1"/>
  <c r="BX14" i="2"/>
  <c r="BX15" i="2" s="1"/>
  <c r="BW14" i="2"/>
  <c r="BW15" i="2" s="1"/>
  <c r="U55" i="2" l="1"/>
  <c r="P91" i="2"/>
  <c r="P93" i="2"/>
  <c r="Q91" i="2"/>
  <c r="S47" i="2"/>
  <c r="S77" i="2"/>
  <c r="S93" i="2" s="1"/>
  <c r="U77" i="2"/>
  <c r="U93" i="2" s="1"/>
  <c r="X28" i="2"/>
  <c r="X44" i="2"/>
  <c r="V79" i="2"/>
  <c r="X41" i="2"/>
  <c r="S55" i="2"/>
  <c r="W33" i="2"/>
  <c r="W35" i="2" s="1"/>
  <c r="W37" i="2" s="1"/>
  <c r="Y29" i="2"/>
  <c r="Y44" i="2" s="1"/>
  <c r="T77" i="2"/>
  <c r="V77" i="2" s="1"/>
  <c r="X33" i="2"/>
  <c r="X35" i="2" s="1"/>
  <c r="X37" i="2" s="1"/>
  <c r="CH79" i="2"/>
  <c r="CG39" i="2"/>
  <c r="CH36" i="2"/>
  <c r="CG36" i="2"/>
  <c r="CH34" i="2"/>
  <c r="CG34" i="2"/>
  <c r="CH31" i="2"/>
  <c r="CI31" i="2" s="1"/>
  <c r="CJ31" i="2" s="1"/>
  <c r="CK31" i="2" s="1"/>
  <c r="CL31" i="2" s="1"/>
  <c r="CM31" i="2" s="1"/>
  <c r="CN31" i="2" s="1"/>
  <c r="CO31" i="2" s="1"/>
  <c r="CP31" i="2" s="1"/>
  <c r="CQ31" i="2" s="1"/>
  <c r="CR31" i="2" s="1"/>
  <c r="CS31" i="2" s="1"/>
  <c r="CG31" i="2"/>
  <c r="CH30" i="2"/>
  <c r="CI30" i="2" s="1"/>
  <c r="CG30" i="2"/>
  <c r="CG28" i="2"/>
  <c r="V39" i="2"/>
  <c r="V32" i="2"/>
  <c r="U32" i="2"/>
  <c r="U41" i="2"/>
  <c r="V27" i="2"/>
  <c r="CG27" i="2"/>
  <c r="Q29" i="2"/>
  <c r="Q44" i="2" s="1"/>
  <c r="R29" i="2"/>
  <c r="R44" i="2" s="1"/>
  <c r="O29" i="2"/>
  <c r="O44" i="2" s="1"/>
  <c r="S41" i="2"/>
  <c r="S32" i="2"/>
  <c r="S29" i="2"/>
  <c r="S44" i="2" s="1"/>
  <c r="T57" i="2"/>
  <c r="T64" i="2" s="1"/>
  <c r="T48" i="2"/>
  <c r="T53" i="2"/>
  <c r="P29" i="2"/>
  <c r="P44" i="2" s="1"/>
  <c r="T41" i="2"/>
  <c r="T32" i="2"/>
  <c r="T29" i="2"/>
  <c r="T44" i="2" s="1"/>
  <c r="BV93" i="2"/>
  <c r="BW41" i="2"/>
  <c r="BV41" i="2"/>
  <c r="BV32" i="2"/>
  <c r="BV29" i="2"/>
  <c r="BV44" i="2" s="1"/>
  <c r="BU93" i="2"/>
  <c r="BU41" i="2"/>
  <c r="BU32" i="2"/>
  <c r="BU29" i="2"/>
  <c r="BU44" i="2" s="1"/>
  <c r="BT93" i="2"/>
  <c r="BT41" i="2"/>
  <c r="BT32" i="2"/>
  <c r="BT29" i="2"/>
  <c r="BT44" i="2" s="1"/>
  <c r="BS93" i="2"/>
  <c r="BS41" i="2"/>
  <c r="BS32" i="2"/>
  <c r="BS29" i="2"/>
  <c r="BS44" i="2" s="1"/>
  <c r="BR93" i="2"/>
  <c r="BR41" i="2"/>
  <c r="BQ41" i="2"/>
  <c r="BR32" i="2"/>
  <c r="BR29" i="2"/>
  <c r="BR44" i="2" s="1"/>
  <c r="BQ93" i="2"/>
  <c r="BP93" i="2"/>
  <c r="BO93" i="2"/>
  <c r="BQ32" i="2"/>
  <c r="BP32" i="2"/>
  <c r="BO32" i="2"/>
  <c r="BQ29" i="2"/>
  <c r="BQ44" i="2" s="1"/>
  <c r="BW29" i="2"/>
  <c r="BP29" i="2"/>
  <c r="BP44" i="2" s="1"/>
  <c r="BO29" i="2"/>
  <c r="BO44" i="2" s="1"/>
  <c r="CA93" i="2"/>
  <c r="BZ93" i="2"/>
  <c r="BZ29" i="2"/>
  <c r="BZ44" i="2" s="1"/>
  <c r="BZ32" i="2"/>
  <c r="CA32" i="2"/>
  <c r="CA29" i="2"/>
  <c r="CA44" i="2" s="1"/>
  <c r="BY93" i="2"/>
  <c r="BX93" i="2"/>
  <c r="BW93" i="2"/>
  <c r="BX41" i="2"/>
  <c r="BY41" i="2"/>
  <c r="BZ41" i="2"/>
  <c r="BY32" i="2"/>
  <c r="BX32" i="2"/>
  <c r="BW32" i="2"/>
  <c r="BY29" i="2"/>
  <c r="BX29" i="2"/>
  <c r="BX44" i="2" s="1"/>
  <c r="CG11" i="2"/>
  <c r="CG5" i="2"/>
  <c r="CF11" i="2"/>
  <c r="CE3" i="2"/>
  <c r="CE4" i="2" s="1"/>
  <c r="CD3" i="2"/>
  <c r="CD4" i="2" s="1"/>
  <c r="CC3" i="2"/>
  <c r="CC4" i="2" s="1"/>
  <c r="R41" i="2"/>
  <c r="Q41" i="2"/>
  <c r="P41" i="2"/>
  <c r="R32" i="2"/>
  <c r="Q32" i="2"/>
  <c r="P32" i="2"/>
  <c r="O32" i="2"/>
  <c r="O41" i="2"/>
  <c r="M41" i="2"/>
  <c r="L41" i="2"/>
  <c r="K41" i="2"/>
  <c r="N41" i="2"/>
  <c r="G32" i="2"/>
  <c r="G29" i="2"/>
  <c r="G44" i="2" s="1"/>
  <c r="K32" i="2"/>
  <c r="K29" i="2"/>
  <c r="K44" i="2" s="1"/>
  <c r="H32" i="2"/>
  <c r="H29" i="2"/>
  <c r="H44" i="2" s="1"/>
  <c r="L32" i="2"/>
  <c r="L29" i="2"/>
  <c r="L44" i="2" s="1"/>
  <c r="I32" i="2"/>
  <c r="I29" i="2"/>
  <c r="I44" i="2" s="1"/>
  <c r="M32" i="2"/>
  <c r="M29" i="2"/>
  <c r="M44" i="2" s="1"/>
  <c r="J32" i="2"/>
  <c r="J29" i="2"/>
  <c r="J44" i="2" s="1"/>
  <c r="N32" i="2"/>
  <c r="N29" i="2"/>
  <c r="N44" i="2" s="1"/>
  <c r="CB93" i="2"/>
  <c r="CC93" i="2"/>
  <c r="CB32" i="2"/>
  <c r="CB29" i="2"/>
  <c r="CB44" i="2" s="1"/>
  <c r="CC32" i="2"/>
  <c r="CC29" i="2"/>
  <c r="CC44" i="2" s="1"/>
  <c r="CA41" i="2"/>
  <c r="CB41" i="2"/>
  <c r="CC41" i="2"/>
  <c r="CD41" i="2"/>
  <c r="CH2" i="2"/>
  <c r="CI2" i="2" s="1"/>
  <c r="CJ2" i="2" s="1"/>
  <c r="CK2" i="2" s="1"/>
  <c r="CL2" i="2" s="1"/>
  <c r="CM2" i="2" s="1"/>
  <c r="CN2" i="2" s="1"/>
  <c r="CO2" i="2" s="1"/>
  <c r="CP2" i="2" s="1"/>
  <c r="CQ2" i="2" s="1"/>
  <c r="CR2" i="2" s="1"/>
  <c r="CS2" i="2" s="1"/>
  <c r="CT2" i="2" s="1"/>
  <c r="CU2" i="2" s="1"/>
  <c r="CV2" i="2" s="1"/>
  <c r="CW2" i="2" s="1"/>
  <c r="CX2" i="2" s="1"/>
  <c r="CD76" i="2"/>
  <c r="CD77" i="2" s="1"/>
  <c r="CD93" i="2" s="1"/>
  <c r="CE76" i="2"/>
  <c r="CE77" i="2" s="1"/>
  <c r="CE93" i="2" s="1"/>
  <c r="CF76" i="2"/>
  <c r="CF77" i="2" s="1"/>
  <c r="CF93" i="2" s="1"/>
  <c r="CG17" i="2" l="1"/>
  <c r="CG8" i="2"/>
  <c r="T47" i="2"/>
  <c r="Y33" i="2"/>
  <c r="Y35" i="2" s="1"/>
  <c r="Y37" i="2" s="1"/>
  <c r="Y28" i="2"/>
  <c r="W28" i="2"/>
  <c r="W44" i="2"/>
  <c r="T93" i="2"/>
  <c r="V93" i="2" s="1"/>
  <c r="CH77" i="2"/>
  <c r="CH39" i="2"/>
  <c r="CI39" i="2" s="1"/>
  <c r="CJ39" i="2" s="1"/>
  <c r="W39" i="2"/>
  <c r="X39" i="2" s="1"/>
  <c r="Y39" i="2" s="1"/>
  <c r="Z39" i="2" s="1"/>
  <c r="V41" i="2"/>
  <c r="Z27" i="2"/>
  <c r="CH93" i="2"/>
  <c r="CG41" i="2"/>
  <c r="CF3" i="2"/>
  <c r="CF4" i="2" s="1"/>
  <c r="CF14" i="2"/>
  <c r="CF15" i="2" s="1"/>
  <c r="CG14" i="2"/>
  <c r="CG15" i="2" s="1"/>
  <c r="V29" i="2"/>
  <c r="V44" i="2" s="1"/>
  <c r="CH27" i="2"/>
  <c r="CH8" i="2" s="1"/>
  <c r="CG29" i="2"/>
  <c r="CG44" i="2" s="1"/>
  <c r="U33" i="2"/>
  <c r="U35" i="2" s="1"/>
  <c r="U37" i="2" s="1"/>
  <c r="R33" i="2"/>
  <c r="R35" i="2" s="1"/>
  <c r="R37" i="2" s="1"/>
  <c r="S33" i="2"/>
  <c r="S35" i="2" s="1"/>
  <c r="S37" i="2" s="1"/>
  <c r="U44" i="2"/>
  <c r="Q33" i="2"/>
  <c r="Q35" i="2" s="1"/>
  <c r="Q37" i="2" s="1"/>
  <c r="BY33" i="2"/>
  <c r="BY35" i="2" s="1"/>
  <c r="BY37" i="2" s="1"/>
  <c r="BW33" i="2"/>
  <c r="BW35" i="2" s="1"/>
  <c r="BW37" i="2" s="1"/>
  <c r="P33" i="2"/>
  <c r="P35" i="2" s="1"/>
  <c r="P37" i="2" s="1"/>
  <c r="T55" i="2"/>
  <c r="T33" i="2"/>
  <c r="T35" i="2" s="1"/>
  <c r="T37" i="2" s="1"/>
  <c r="N33" i="2"/>
  <c r="N35" i="2" s="1"/>
  <c r="N37" i="2" s="1"/>
  <c r="N38" i="2" s="1"/>
  <c r="CG32" i="2"/>
  <c r="BQ33" i="2"/>
  <c r="BQ35" i="2" s="1"/>
  <c r="BQ37" i="2" s="1"/>
  <c r="BP33" i="2"/>
  <c r="BP35" i="2" s="1"/>
  <c r="BP37" i="2" s="1"/>
  <c r="BO33" i="2"/>
  <c r="BO35" i="2" s="1"/>
  <c r="BO37" i="2" s="1"/>
  <c r="CI32" i="2"/>
  <c r="CJ30" i="2"/>
  <c r="CH32" i="2"/>
  <c r="BV33" i="2"/>
  <c r="BV35" i="2" s="1"/>
  <c r="BV37" i="2" s="1"/>
  <c r="BV94" i="2" s="1"/>
  <c r="BU33" i="2"/>
  <c r="BU35" i="2" s="1"/>
  <c r="BU37" i="2" s="1"/>
  <c r="BU94" i="2" s="1"/>
  <c r="BT33" i="2"/>
  <c r="BT35" i="2" s="1"/>
  <c r="BT37" i="2" s="1"/>
  <c r="BS33" i="2"/>
  <c r="BS35" i="2" s="1"/>
  <c r="BS37" i="2" s="1"/>
  <c r="BR33" i="2"/>
  <c r="BR35" i="2" s="1"/>
  <c r="BR37" i="2" s="1"/>
  <c r="CA33" i="2"/>
  <c r="CA35" i="2" s="1"/>
  <c r="CA37" i="2" s="1"/>
  <c r="BY44" i="2"/>
  <c r="BX33" i="2"/>
  <c r="BX35" i="2" s="1"/>
  <c r="BX37" i="2" s="1"/>
  <c r="BW44" i="2"/>
  <c r="BZ33" i="2"/>
  <c r="BZ35" i="2" s="1"/>
  <c r="BZ37" i="2" s="1"/>
  <c r="BZ94" i="2" s="1"/>
  <c r="H33" i="2"/>
  <c r="H35" i="2" s="1"/>
  <c r="H37" i="2" s="1"/>
  <c r="H38" i="2" s="1"/>
  <c r="J33" i="2"/>
  <c r="J35" i="2" s="1"/>
  <c r="J37" i="2" s="1"/>
  <c r="J38" i="2" s="1"/>
  <c r="CG3" i="2"/>
  <c r="K33" i="2"/>
  <c r="K35" i="2" s="1"/>
  <c r="K37" i="2" s="1"/>
  <c r="K38" i="2" s="1"/>
  <c r="CC33" i="2"/>
  <c r="CC35" i="2" s="1"/>
  <c r="CC37" i="2" s="1"/>
  <c r="CC94" i="2" s="1"/>
  <c r="CB33" i="2"/>
  <c r="CB35" i="2" s="1"/>
  <c r="CB37" i="2" s="1"/>
  <c r="CB94" i="2" s="1"/>
  <c r="O33" i="2"/>
  <c r="O35" i="2" s="1"/>
  <c r="O37" i="2" s="1"/>
  <c r="G33" i="2"/>
  <c r="G35" i="2" s="1"/>
  <c r="G37" i="2" s="1"/>
  <c r="G38" i="2" s="1"/>
  <c r="L33" i="2"/>
  <c r="L35" i="2" s="1"/>
  <c r="L37" i="2" s="1"/>
  <c r="L38" i="2" s="1"/>
  <c r="I33" i="2"/>
  <c r="I35" i="2" s="1"/>
  <c r="I37" i="2" s="1"/>
  <c r="I38" i="2" s="1"/>
  <c r="M33" i="2"/>
  <c r="X38" i="2" l="1"/>
  <c r="W38" i="2"/>
  <c r="Y38" i="2"/>
  <c r="Q38" i="2"/>
  <c r="Q66" i="2"/>
  <c r="R38" i="2"/>
  <c r="R66" i="2"/>
  <c r="O38" i="2"/>
  <c r="O66" i="2"/>
  <c r="P38" i="2"/>
  <c r="P66" i="2"/>
  <c r="Z29" i="2"/>
  <c r="Z41" i="2"/>
  <c r="U38" i="2"/>
  <c r="U66" i="2"/>
  <c r="BX38" i="2"/>
  <c r="BX94" i="2"/>
  <c r="BW38" i="2"/>
  <c r="BW94" i="2"/>
  <c r="S38" i="2"/>
  <c r="S66" i="2"/>
  <c r="T38" i="2"/>
  <c r="T66" i="2"/>
  <c r="BY66" i="2"/>
  <c r="BY94" i="2"/>
  <c r="CA38" i="2"/>
  <c r="CA94" i="2"/>
  <c r="BW66" i="2"/>
  <c r="BY38" i="2"/>
  <c r="V33" i="2"/>
  <c r="V35" i="2" s="1"/>
  <c r="V37" i="2" s="1"/>
  <c r="V38" i="2" s="1"/>
  <c r="V28" i="2"/>
  <c r="CH28" i="2" s="1"/>
  <c r="CH29" i="2"/>
  <c r="BX66" i="2"/>
  <c r="CG33" i="2"/>
  <c r="CG35" i="2" s="1"/>
  <c r="CG37" i="2" s="1"/>
  <c r="CG94" i="2" s="1"/>
  <c r="BV38" i="2"/>
  <c r="BV66" i="2"/>
  <c r="CG4" i="2"/>
  <c r="CH3" i="2"/>
  <c r="BO66" i="2"/>
  <c r="BO38" i="2"/>
  <c r="BP66" i="2"/>
  <c r="BP38" i="2"/>
  <c r="BQ66" i="2"/>
  <c r="BQ38" i="2"/>
  <c r="CA66" i="2"/>
  <c r="CK39" i="2"/>
  <c r="CK30" i="2"/>
  <c r="CJ32" i="2"/>
  <c r="BU38" i="2"/>
  <c r="BU66" i="2"/>
  <c r="BT38" i="2"/>
  <c r="BT66" i="2"/>
  <c r="BS38" i="2"/>
  <c r="BS66" i="2"/>
  <c r="BR38" i="2"/>
  <c r="BR66" i="2"/>
  <c r="BZ38" i="2"/>
  <c r="BZ66" i="2"/>
  <c r="M35" i="2"/>
  <c r="M37" i="2" s="1"/>
  <c r="M38" i="2" s="1"/>
  <c r="CB38" i="2"/>
  <c r="CB66" i="2"/>
  <c r="CC38" i="2"/>
  <c r="CC66" i="2"/>
  <c r="Z33" i="2" l="1"/>
  <c r="Z35" i="2" s="1"/>
  <c r="Z37" i="2" s="1"/>
  <c r="Z38" i="2" s="1"/>
  <c r="Z44" i="2"/>
  <c r="Z28" i="2"/>
  <c r="CG38" i="2"/>
  <c r="CI3" i="2"/>
  <c r="CL39" i="2"/>
  <c r="CL30" i="2"/>
  <c r="CK32" i="2"/>
  <c r="CH41" i="2" l="1"/>
  <c r="CJ3" i="2"/>
  <c r="CI27" i="2"/>
  <c r="CI29" i="2" s="1"/>
  <c r="CM39" i="2"/>
  <c r="CM30" i="2"/>
  <c r="CL32" i="2"/>
  <c r="CI41" i="2" l="1"/>
  <c r="CK3" i="2"/>
  <c r="CJ27" i="2"/>
  <c r="CJ29" i="2" s="1"/>
  <c r="CH44" i="2"/>
  <c r="CH33" i="2"/>
  <c r="CH35" i="2" s="1"/>
  <c r="CH37" i="2" s="1"/>
  <c r="CH94" i="2" s="1"/>
  <c r="CN39" i="2"/>
  <c r="CN30" i="2"/>
  <c r="CM32" i="2"/>
  <c r="CH38" i="2" l="1"/>
  <c r="CJ41" i="2"/>
  <c r="CL3" i="2"/>
  <c r="CK27" i="2"/>
  <c r="CK29" i="2" s="1"/>
  <c r="CI44" i="2"/>
  <c r="CI33" i="2"/>
  <c r="CI35" i="2" s="1"/>
  <c r="CO39" i="2"/>
  <c r="CO30" i="2"/>
  <c r="CN32" i="2"/>
  <c r="CI36" i="2" l="1"/>
  <c r="CI37" i="2" s="1"/>
  <c r="CI38" i="2" s="1"/>
  <c r="CK41" i="2"/>
  <c r="CM3" i="2"/>
  <c r="CL27" i="2"/>
  <c r="CL29" i="2" s="1"/>
  <c r="CJ44" i="2"/>
  <c r="CJ33" i="2"/>
  <c r="CJ35" i="2" s="1"/>
  <c r="CP39" i="2"/>
  <c r="CP30" i="2"/>
  <c r="CO32" i="2"/>
  <c r="CI47" i="2" l="1"/>
  <c r="CL41" i="2"/>
  <c r="CN3" i="2"/>
  <c r="CM27" i="2"/>
  <c r="CM29" i="2" s="1"/>
  <c r="CK44" i="2"/>
  <c r="CK33" i="2"/>
  <c r="CK35" i="2" s="1"/>
  <c r="CJ36" i="2"/>
  <c r="CJ37" i="2" s="1"/>
  <c r="CJ38" i="2" s="1"/>
  <c r="CQ39" i="2"/>
  <c r="CQ30" i="2"/>
  <c r="CP32" i="2"/>
  <c r="CJ47" i="2" l="1"/>
  <c r="CK36" i="2"/>
  <c r="CK37" i="2" s="1"/>
  <c r="CK38" i="2" s="1"/>
  <c r="CM41" i="2"/>
  <c r="CO3" i="2"/>
  <c r="CN27" i="2"/>
  <c r="CN29" i="2" s="1"/>
  <c r="CL44" i="2"/>
  <c r="CL33" i="2"/>
  <c r="CR39" i="2"/>
  <c r="CQ32" i="2"/>
  <c r="CR30" i="2"/>
  <c r="CK47" i="2" l="1"/>
  <c r="CL34" i="2" s="1"/>
  <c r="CL35" i="2" s="1"/>
  <c r="CL36" i="2" s="1"/>
  <c r="CL37" i="2" s="1"/>
  <c r="CN41" i="2"/>
  <c r="CP3" i="2"/>
  <c r="CO27" i="2"/>
  <c r="CO29" i="2" s="1"/>
  <c r="CM44" i="2"/>
  <c r="CM33" i="2"/>
  <c r="CS39" i="2"/>
  <c r="CR32" i="2"/>
  <c r="CS30" i="2"/>
  <c r="CS32" i="2" s="1"/>
  <c r="CL38" i="2" l="1"/>
  <c r="CL47" i="2"/>
  <c r="CO41" i="2"/>
  <c r="CQ3" i="2"/>
  <c r="CP27" i="2"/>
  <c r="CP29" i="2" s="1"/>
  <c r="CN44" i="2"/>
  <c r="CN33" i="2"/>
  <c r="CM34" i="2" l="1"/>
  <c r="CM35" i="2" s="1"/>
  <c r="CM36" i="2" s="1"/>
  <c r="CM37" i="2" s="1"/>
  <c r="CR3" i="2"/>
  <c r="CQ27" i="2"/>
  <c r="CQ29" i="2" s="1"/>
  <c r="CP41" i="2"/>
  <c r="CO44" i="2"/>
  <c r="CO33" i="2"/>
  <c r="CM38" i="2" l="1"/>
  <c r="CM47" i="2"/>
  <c r="CP44" i="2"/>
  <c r="CP33" i="2"/>
  <c r="CQ41" i="2"/>
  <c r="CS3" i="2"/>
  <c r="CS27" i="2" s="1"/>
  <c r="CS29" i="2" s="1"/>
  <c r="CR27" i="2"/>
  <c r="CR29" i="2" s="1"/>
  <c r="CN34" i="2" l="1"/>
  <c r="CN35" i="2" s="1"/>
  <c r="CN36" i="2" s="1"/>
  <c r="CN37" i="2" s="1"/>
  <c r="CR41" i="2"/>
  <c r="CS41" i="2"/>
  <c r="CQ44" i="2"/>
  <c r="CQ33" i="2"/>
  <c r="CF32" i="2"/>
  <c r="CE32" i="2"/>
  <c r="CD32" i="2"/>
  <c r="CF29" i="2"/>
  <c r="CF33" i="2" s="1"/>
  <c r="CF35" i="2" s="1"/>
  <c r="CF37" i="2" s="1"/>
  <c r="CF94" i="2" s="1"/>
  <c r="CE29" i="2"/>
  <c r="CE33" i="2" s="1"/>
  <c r="CE35" i="2" s="1"/>
  <c r="CE37" i="2" s="1"/>
  <c r="CE94" i="2" s="1"/>
  <c r="CD29" i="2"/>
  <c r="CD33" i="2" s="1"/>
  <c r="CD35" i="2" s="1"/>
  <c r="CD37" i="2" s="1"/>
  <c r="CD94" i="2" s="1"/>
  <c r="CE41" i="2"/>
  <c r="CF41" i="2"/>
  <c r="CE2" i="2"/>
  <c r="CF2" i="2" s="1"/>
  <c r="L4" i="1"/>
  <c r="L7" i="1" s="1"/>
  <c r="CN38" i="2" l="1"/>
  <c r="CN47" i="2"/>
  <c r="CS44" i="2"/>
  <c r="CS33" i="2"/>
  <c r="CR44" i="2"/>
  <c r="CR33" i="2"/>
  <c r="CE38" i="2"/>
  <c r="CE66" i="2"/>
  <c r="CD38" i="2"/>
  <c r="CD66" i="2"/>
  <c r="CF38" i="2"/>
  <c r="CF66" i="2"/>
  <c r="CF44" i="2"/>
  <c r="CE44" i="2"/>
  <c r="CD44" i="2"/>
  <c r="CO34" i="2" l="1"/>
  <c r="CO35" i="2" s="1"/>
  <c r="CO36" i="2" s="1"/>
  <c r="CO37" i="2" s="1"/>
  <c r="CO38" i="2" s="1"/>
  <c r="CO47" i="2" l="1"/>
  <c r="CP34" i="2" l="1"/>
  <c r="CP35" i="2" s="1"/>
  <c r="CP36" i="2" s="1"/>
  <c r="CP37" i="2" s="1"/>
  <c r="CP38" i="2" s="1"/>
  <c r="CP47" i="2" l="1"/>
  <c r="CQ34" i="2" l="1"/>
  <c r="CQ35" i="2" s="1"/>
  <c r="CQ36" i="2" l="1"/>
  <c r="CQ37" i="2" s="1"/>
  <c r="CQ38" i="2" l="1"/>
  <c r="CQ47" i="2"/>
  <c r="CR34" i="2" l="1"/>
  <c r="CR35" i="2" s="1"/>
  <c r="CR36" i="2" l="1"/>
  <c r="CR37" i="2" s="1"/>
  <c r="CR38" i="2" l="1"/>
  <c r="CR47" i="2"/>
  <c r="CS34" i="2" l="1"/>
  <c r="CS35" i="2" s="1"/>
  <c r="CS36" i="2" s="1"/>
  <c r="CS37" i="2" s="1"/>
  <c r="CT37" i="2" l="1"/>
  <c r="CU37" i="2" s="1"/>
  <c r="CV37" i="2" s="1"/>
  <c r="CW37" i="2" s="1"/>
  <c r="CX37" i="2" s="1"/>
  <c r="CY37" i="2" s="1"/>
  <c r="CZ37" i="2" s="1"/>
  <c r="DA37" i="2" s="1"/>
  <c r="DB37" i="2" s="1"/>
  <c r="DC37" i="2" s="1"/>
  <c r="DD37" i="2" s="1"/>
  <c r="DE37" i="2" s="1"/>
  <c r="DF37" i="2" s="1"/>
  <c r="DG37" i="2" s="1"/>
  <c r="DH37" i="2" s="1"/>
  <c r="DI37" i="2" s="1"/>
  <c r="DJ37" i="2" s="1"/>
  <c r="DK37" i="2" s="1"/>
  <c r="DL37" i="2" s="1"/>
  <c r="DM37" i="2" s="1"/>
  <c r="DN37" i="2" s="1"/>
  <c r="DO37" i="2" s="1"/>
  <c r="DP37" i="2" s="1"/>
  <c r="DQ37" i="2" s="1"/>
  <c r="DR37" i="2" s="1"/>
  <c r="DS37" i="2" s="1"/>
  <c r="DT37" i="2" s="1"/>
  <c r="DU37" i="2" s="1"/>
  <c r="DV37" i="2" s="1"/>
  <c r="DW37" i="2" s="1"/>
  <c r="DX37" i="2" s="1"/>
  <c r="DY37" i="2" s="1"/>
  <c r="DZ37" i="2" s="1"/>
  <c r="EA37" i="2" s="1"/>
  <c r="EB37" i="2" s="1"/>
  <c r="EC37" i="2" s="1"/>
  <c r="ED37" i="2" s="1"/>
  <c r="EE37" i="2" s="1"/>
  <c r="EF37" i="2" s="1"/>
  <c r="EG37" i="2" s="1"/>
  <c r="EH37" i="2" s="1"/>
  <c r="EI37" i="2" s="1"/>
  <c r="EJ37" i="2" s="1"/>
  <c r="EK37" i="2" s="1"/>
  <c r="EL37" i="2" s="1"/>
  <c r="EM37" i="2" s="1"/>
  <c r="EN37" i="2" s="1"/>
  <c r="EO37" i="2" s="1"/>
  <c r="EP37" i="2" s="1"/>
  <c r="EQ37" i="2" s="1"/>
  <c r="ER37" i="2" s="1"/>
  <c r="ES37" i="2" s="1"/>
  <c r="ET37" i="2" s="1"/>
  <c r="EU37" i="2" s="1"/>
  <c r="EV37" i="2" s="1"/>
  <c r="EW37" i="2" s="1"/>
  <c r="EX37" i="2" s="1"/>
  <c r="EY37" i="2" s="1"/>
  <c r="EZ37" i="2" s="1"/>
  <c r="FA37" i="2" s="1"/>
  <c r="FB37" i="2" s="1"/>
  <c r="FC37" i="2" s="1"/>
  <c r="FD37" i="2" s="1"/>
  <c r="FE37" i="2" s="1"/>
  <c r="FF37" i="2" s="1"/>
  <c r="FG37" i="2" s="1"/>
  <c r="FH37" i="2" s="1"/>
  <c r="FI37" i="2" s="1"/>
  <c r="FJ37" i="2" s="1"/>
  <c r="FK37" i="2" s="1"/>
  <c r="FL37" i="2" s="1"/>
  <c r="FM37" i="2" s="1"/>
  <c r="FN37" i="2" s="1"/>
  <c r="FO37" i="2" s="1"/>
  <c r="FP37" i="2" s="1"/>
  <c r="FQ37" i="2" s="1"/>
  <c r="FR37" i="2" s="1"/>
  <c r="FS37" i="2" s="1"/>
  <c r="CW43" i="2" s="1"/>
  <c r="CW44" i="2" s="1"/>
  <c r="CW45" i="2" s="1"/>
  <c r="CS38" i="2"/>
  <c r="CS4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tc={553749E0-B84C-400F-AA60-70B2200EB741}</author>
    <author>tc={53CD2C1B-5EFB-433B-8341-4E710A5D9E0D}</author>
    <author>tc={4AF041F6-2BD0-46AD-AD03-05C15165F132}</author>
    <author>tc={7EE51CAC-1EE9-40D6-A4B0-06A92694160C}</author>
    <author>tc={955D5229-7487-466C-B93B-BCA8A826F0B7}</author>
    <author>tc={BEA6A42C-CEC1-47E1-B002-6B6D239FF53A}</author>
  </authors>
  <commentList>
    <comment ref="P19" authorId="0" shapeId="0" xr:uid="{553749E0-B84C-400F-AA60-70B2200EB741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232m, moved from DCAI</t>
      </text>
    </comment>
    <comment ref="P23" authorId="1" shapeId="0" xr:uid="{53CD2C1B-5EFB-433B-8341-4E710A5D9E0D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4,004, moved to foundry</t>
      </text>
    </comment>
    <comment ref="O27" authorId="2" shapeId="0" xr:uid="{4AF041F6-2BD0-46AD-AD03-05C15165F132}">
      <text>
        <t>[Threaded comment]
Your version of Excel allows you to read this threaded comment; however, any edits to it will get removed if the file is opened in a newer version of Excel. Learn more: https://go.microsoft.com/fwlink/?linkid=870924
Comment:
    10.5-11.5B guidance for Q123 given Q422</t>
      </text>
    </comment>
    <comment ref="U27" authorId="3" shapeId="0" xr:uid="{7EE51CAC-1EE9-40D6-A4B0-06A92694160C}">
      <text>
        <t>[Threaded comment]
Your version of Excel allows you to read this threaded comment; however, any edits to it will get removed if the file is opened in a newer version of Excel. Learn more: https://go.microsoft.com/fwlink/?linkid=870924
Comment:
    Q224: 12.5B-13.5B</t>
      </text>
    </comment>
    <comment ref="V27" authorId="4" shapeId="0" xr:uid="{955D5229-7487-466C-B93B-BCA8A826F0B7}">
      <text>
        <t>[Threaded comment]
Your version of Excel allows you to read this threaded comment; however, any edits to it will get removed if the file is opened in a newer version of Excel. Learn more: https://go.microsoft.com/fwlink/?linkid=870924
Comment:
    Q324 guidance: 13.3-14.3</t>
      </text>
    </comment>
    <comment ref="O29" authorId="5" shapeId="0" xr:uid="{BEA6A42C-CEC1-47E1-B002-6B6D239FF53A}">
      <text>
        <t>[Threaded comment]
Your version of Excel allows you to read this threaded comment; however, any edits to it will get removed if the file is opened in a newer version of Excel. Learn more: https://go.microsoft.com/fwlink/?linkid=870924
Comment:
    39% GM non-gaap given Q422</t>
      </text>
    </comment>
  </commentList>
</comments>
</file>

<file path=xl/sharedStrings.xml><?xml version="1.0" encoding="utf-8"?>
<sst xmlns="http://schemas.openxmlformats.org/spreadsheetml/2006/main" count="300" uniqueCount="282">
  <si>
    <t>Price</t>
  </si>
  <si>
    <t>Shares</t>
  </si>
  <si>
    <t>MC</t>
  </si>
  <si>
    <t>Cash</t>
  </si>
  <si>
    <t>Debt</t>
  </si>
  <si>
    <t>EV</t>
  </si>
  <si>
    <t>Q422</t>
  </si>
  <si>
    <t>Main</t>
  </si>
  <si>
    <t>Revenue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</si>
  <si>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</si>
  <si>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</si>
  <si>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</si>
  <si>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</si>
  <si>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</si>
  <si>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</si>
  <si>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</si>
  <si>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</si>
  <si>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</si>
  <si>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</si>
  <si>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Q322</t>
  </si>
  <si>
    <t>Q123</t>
  </si>
  <si>
    <t>Q223</t>
  </si>
  <si>
    <t>Q323</t>
  </si>
  <si>
    <t>Q423</t>
  </si>
  <si>
    <t>Revenue y/y</t>
  </si>
  <si>
    <t>Gross Margin</t>
  </si>
  <si>
    <t>COGS</t>
  </si>
  <si>
    <t>R&amp;D</t>
  </si>
  <si>
    <t>MG&amp;A</t>
  </si>
  <si>
    <t>Operating Expenses</t>
  </si>
  <si>
    <t>Operating Income</t>
  </si>
  <si>
    <t>Interest</t>
  </si>
  <si>
    <t>Pretax</t>
  </si>
  <si>
    <t>Taxes</t>
  </si>
  <si>
    <t>Net Income</t>
  </si>
  <si>
    <t>EPS</t>
  </si>
  <si>
    <t>Nvidia</t>
  </si>
  <si>
    <t>Model NI</t>
  </si>
  <si>
    <t>Reported NI</t>
  </si>
  <si>
    <t>CFFO</t>
  </si>
  <si>
    <t>Depreciation</t>
  </si>
  <si>
    <t>SBC</t>
  </si>
  <si>
    <t>Restructuring</t>
  </si>
  <si>
    <t>Amortization</t>
  </si>
  <si>
    <t>Equity Investments</t>
  </si>
  <si>
    <t>Divestitures</t>
  </si>
  <si>
    <t>WC</t>
  </si>
  <si>
    <t>CapEx</t>
  </si>
  <si>
    <t>FCF</t>
  </si>
  <si>
    <t>12th-gen Intel Core HX</t>
  </si>
  <si>
    <t>Alder Lake</t>
  </si>
  <si>
    <t>Meteor Lake</t>
  </si>
  <si>
    <t>Ponte Vecchio - Intel Data Center GPU Max Series</t>
  </si>
  <si>
    <t>CCG - Notebook</t>
  </si>
  <si>
    <t>CCG - Desktop</t>
  </si>
  <si>
    <t>CCG - Other</t>
  </si>
  <si>
    <t>DCAI</t>
  </si>
  <si>
    <t>NEX</t>
  </si>
  <si>
    <t>Mobileye</t>
  </si>
  <si>
    <t>AXG</t>
  </si>
  <si>
    <t>Foundry</t>
  </si>
  <si>
    <t>CEO: Pat Gelsinger replaced Bob Swan</t>
  </si>
  <si>
    <t>Ice Lake - 10nm 3rd-gen Xeon</t>
  </si>
  <si>
    <t>GDP y/y</t>
  </si>
  <si>
    <t>Intel 7 - 7nm? - in high-volume manufacturing for client/server (Q422)</t>
  </si>
  <si>
    <t>Intel 3 - 3nm continues to progress, 20A, 18A test chips</t>
  </si>
  <si>
    <t>Raptor Lake - 13th-gen client, K processors, Z790 chipset</t>
  </si>
  <si>
    <t xml:space="preserve">  i9-13900K</t>
  </si>
  <si>
    <t xml:space="preserve">  4th-gen Xeon (Sapphire Rapids)</t>
  </si>
  <si>
    <t>Xeon</t>
  </si>
  <si>
    <t>AMD</t>
  </si>
  <si>
    <t>Big Three</t>
  </si>
  <si>
    <t xml:space="preserve">  Intel %</t>
  </si>
  <si>
    <t>Discount</t>
  </si>
  <si>
    <t>ROIC</t>
  </si>
  <si>
    <t>Terminal</t>
  </si>
  <si>
    <t>Net Cash</t>
  </si>
  <si>
    <t>NPV</t>
  </si>
  <si>
    <t>Share</t>
  </si>
  <si>
    <t>CFO: David Zinsner</t>
  </si>
  <si>
    <t>Q124</t>
  </si>
  <si>
    <t>Q224</t>
  </si>
  <si>
    <t>Q324</t>
  </si>
  <si>
    <t>Q424</t>
  </si>
  <si>
    <t>Employees</t>
  </si>
  <si>
    <t>AR</t>
  </si>
  <si>
    <t>Inventories</t>
  </si>
  <si>
    <t>OCA</t>
  </si>
  <si>
    <t>PP&amp;E</t>
  </si>
  <si>
    <t>Goodwill</t>
  </si>
  <si>
    <t>LOTA</t>
  </si>
  <si>
    <t>Assets</t>
  </si>
  <si>
    <t>L+SE</t>
  </si>
  <si>
    <t>SE</t>
  </si>
  <si>
    <t>AP</t>
  </si>
  <si>
    <t>Compensation</t>
  </si>
  <si>
    <t>OL</t>
  </si>
  <si>
    <t>OLTL</t>
  </si>
  <si>
    <t>Broadcom</t>
  </si>
  <si>
    <t>Avago</t>
  </si>
  <si>
    <t>PC Shipments</t>
  </si>
  <si>
    <t>PC revenue</t>
  </si>
  <si>
    <t>Intel Share</t>
  </si>
  <si>
    <t>PC shipments y/y</t>
  </si>
  <si>
    <t>Rev/Shipment</t>
  </si>
  <si>
    <t>NG GM%</t>
  </si>
  <si>
    <t>Intel Core Ultra - 2024, with NPU</t>
  </si>
  <si>
    <t>13th-gen mobile, first 24-core laptop</t>
  </si>
  <si>
    <t>vPro</t>
  </si>
  <si>
    <t>14th-gen desktop - voltage coding error</t>
  </si>
  <si>
    <t>i9</t>
  </si>
  <si>
    <t>Max Turbo</t>
  </si>
  <si>
    <t>i7</t>
  </si>
  <si>
    <t>i5</t>
  </si>
  <si>
    <t>i3</t>
  </si>
  <si>
    <t>Intel Turbo Boost</t>
  </si>
  <si>
    <t>-</t>
  </si>
  <si>
    <t>Performance Core Max Turbo Frequency</t>
  </si>
  <si>
    <t>Efficient-core Max Turbo</t>
  </si>
  <si>
    <t>Cores</t>
  </si>
  <si>
    <t>P Cores</t>
  </si>
  <si>
    <t>Threads</t>
  </si>
  <si>
    <t>L3</t>
  </si>
  <si>
    <t>i9-13900K</t>
  </si>
  <si>
    <t>Raptor Lake</t>
  </si>
  <si>
    <t>Raptor Lake Refresh</t>
  </si>
  <si>
    <t>i9-12900K</t>
  </si>
  <si>
    <t>i9-14900K, i9-14900KF, i9-14900KS</t>
  </si>
  <si>
    <t>Base</t>
  </si>
  <si>
    <t>*k = unlocked</t>
  </si>
  <si>
    <t>*f = no GPU</t>
  </si>
  <si>
    <t>*s = lower power</t>
  </si>
  <si>
    <t xml:space="preserve">  vRAN Boost</t>
  </si>
  <si>
    <t>5th-Gen Xeon Scalable</t>
  </si>
  <si>
    <t>GPUs</t>
  </si>
  <si>
    <t>Intel Arc Pro A60</t>
  </si>
  <si>
    <t>Intel Arc Pro A60M</t>
  </si>
  <si>
    <t>Intel Arc Pro A40</t>
  </si>
  <si>
    <t>US Manufacturing</t>
  </si>
  <si>
    <t>Arizona, New Mexico, Oregon, Ohio</t>
  </si>
  <si>
    <t>EU Manufacturing</t>
  </si>
  <si>
    <t>Ireland, Israel, Germany, Poland</t>
  </si>
  <si>
    <t>Intel 4 - 4nm? - manufacturing ready, Meteor Lake ramp in 2H23, with EUV?</t>
  </si>
  <si>
    <t>C-C bond is 1.54A, 0.15nm</t>
  </si>
  <si>
    <t>MOSFET - metal-oxide smiconductor field-effect transistor</t>
  </si>
  <si>
    <t>Lunar Lake - SOC/laptop (battle mage)</t>
  </si>
  <si>
    <t>NI-FCF</t>
  </si>
  <si>
    <t>Q125</t>
  </si>
  <si>
    <t>Q225</t>
  </si>
  <si>
    <t>Q325</t>
  </si>
  <si>
    <t>Q425</t>
  </si>
  <si>
    <t>DT</t>
  </si>
  <si>
    <t>Impairments</t>
  </si>
  <si>
    <t>CFFI</t>
  </si>
  <si>
    <t>Investments</t>
  </si>
  <si>
    <t>CFFF</t>
  </si>
  <si>
    <t>Partner</t>
  </si>
  <si>
    <t>ESOP</t>
  </si>
  <si>
    <t>Dividends</t>
  </si>
  <si>
    <t>Other</t>
  </si>
  <si>
    <t>CIC</t>
  </si>
  <si>
    <t>Number</t>
  </si>
  <si>
    <t>Title</t>
  </si>
  <si>
    <t>Unifying Interface for Cloud Content Sharing Devices</t>
  </si>
  <si>
    <t>Inventors</t>
  </si>
  <si>
    <t>Steven J. Birkel</t>
  </si>
  <si>
    <t>Optimizing Head Mounted Displays for Augmented Reality</t>
  </si>
  <si>
    <t>Anna Petrovskaya</t>
  </si>
  <si>
    <t>Embedded Bridge Die With Through-Silicon Vias</t>
  </si>
  <si>
    <t>Aditya Vaidya</t>
  </si>
  <si>
    <t>die</t>
  </si>
  <si>
    <t>fabrication</t>
  </si>
  <si>
    <t>PCB</t>
  </si>
  <si>
    <t>wafer</t>
  </si>
  <si>
    <t>the small, thin silce of silicon that houses the IC. Contains millions - billions transistors and other components</t>
  </si>
  <si>
    <t>the active component of the electronic device, it is encased in packaging</t>
  </si>
  <si>
    <t>printed circuit board, a large, flat board which acts as a platform to connect and organize electronic components such as dies, capacitors, resistors, etc. provides power and communication between components via conductive traces (copper paths</t>
  </si>
  <si>
    <t>conductive traces</t>
  </si>
  <si>
    <t>packaging</t>
  </si>
  <si>
    <t>houses the die in a plastic or ceramic enclosure with pins or solder balls to form an IC chip</t>
  </si>
  <si>
    <t>integrated circuit</t>
  </si>
  <si>
    <t>Circuits were once made of discrete components: individual transistors, resistors, capacitors, diodes, all connected via wires on a circuit board. Jack Kilby and Robert Noyce developed methods to combine these materials on a silicon substrate.</t>
  </si>
  <si>
    <t>via</t>
  </si>
  <si>
    <t>BEOL</t>
  </si>
  <si>
    <t>back-end-of-line process is where multiple metal layers are deposited and patterned on a chip to form interconnections</t>
  </si>
  <si>
    <t>vertical connections that allow signal to pass through different layers of a device.</t>
  </si>
  <si>
    <t>TSV</t>
  </si>
  <si>
    <t>through-silicon vias are vias which pass through a silicon die in a 3D stacked IC</t>
  </si>
  <si>
    <t>HBM</t>
  </si>
  <si>
    <t>3D stacked IC</t>
  </si>
  <si>
    <t>3D NAND</t>
  </si>
  <si>
    <t>through-hole vias</t>
  </si>
  <si>
    <t>small drilled hole enabling connection to different layers of the board</t>
  </si>
  <si>
    <t>blind vias</t>
  </si>
  <si>
    <t>buried vias</t>
  </si>
  <si>
    <t>not visible, connects internal PCB layers</t>
  </si>
  <si>
    <t>connects an outer layer to an inner layer, but not through the entire board</t>
  </si>
  <si>
    <t>contact pitches</t>
  </si>
  <si>
    <t>trace routing</t>
  </si>
  <si>
    <t>see conductive traces</t>
  </si>
  <si>
    <t>pitch</t>
  </si>
  <si>
    <t>routing pitch</t>
  </si>
  <si>
    <t>bridging die</t>
  </si>
  <si>
    <t>FIVR</t>
  </si>
  <si>
    <t>MCI</t>
  </si>
  <si>
    <t>multilayer chip inductor</t>
  </si>
  <si>
    <t>fully integrated voltage regulator</t>
  </si>
  <si>
    <t>bridge</t>
  </si>
  <si>
    <t>bond pad</t>
  </si>
  <si>
    <t>electrical bond pad</t>
  </si>
  <si>
    <t>MEMS</t>
  </si>
  <si>
    <t>bump</t>
  </si>
  <si>
    <t>also known as a solder bump</t>
  </si>
  <si>
    <t>dielectric layer</t>
  </si>
  <si>
    <t>DBF</t>
  </si>
  <si>
    <t>die backside film</t>
  </si>
  <si>
    <t>epoxy film</t>
  </si>
  <si>
    <t>RAM die</t>
  </si>
  <si>
    <t>logic die</t>
  </si>
  <si>
    <t>power bus</t>
  </si>
  <si>
    <t>wet etch</t>
  </si>
  <si>
    <t>DRIE</t>
  </si>
  <si>
    <t>deep reactive ion etching</t>
  </si>
  <si>
    <t>PECVD</t>
  </si>
  <si>
    <t>plasma-enhanced chemical vapor deposition</t>
  </si>
  <si>
    <t>RF sputtering</t>
  </si>
  <si>
    <t>LPD</t>
  </si>
  <si>
    <t>liquid phase deposition</t>
  </si>
  <si>
    <t>electroplating</t>
  </si>
  <si>
    <t>photolithography</t>
  </si>
  <si>
    <t>adhesion layer</t>
  </si>
  <si>
    <t>carrier wafer</t>
  </si>
  <si>
    <t>ACF</t>
  </si>
  <si>
    <t>anisotropic conductive film</t>
  </si>
  <si>
    <t>BBUL</t>
  </si>
  <si>
    <t>bumpless build-up layer package</t>
  </si>
  <si>
    <t>FLI</t>
  </si>
  <si>
    <t>first-level interconnect</t>
  </si>
  <si>
    <t>microvias</t>
  </si>
  <si>
    <t>system-on-chip</t>
  </si>
  <si>
    <t>Processor Related Communications</t>
  </si>
  <si>
    <t>Chih-Jen Chang</t>
  </si>
  <si>
    <t>PCIe</t>
  </si>
  <si>
    <t>peripheral component interconnect express</t>
  </si>
  <si>
    <t>Infiniband</t>
  </si>
  <si>
    <t>Omni-Path</t>
  </si>
  <si>
    <t>Kent Lusted</t>
  </si>
  <si>
    <t>Device-to-Device Link Training</t>
  </si>
  <si>
    <t>Notes</t>
  </si>
  <si>
    <t>networking</t>
  </si>
  <si>
    <t>Intelligent Resource Selection for Received Content</t>
  </si>
  <si>
    <t>Francesc Guim Bernat</t>
  </si>
  <si>
    <t>Issued</t>
  </si>
  <si>
    <t>Gate-all-around integrated circuit structures having source or drain structures with epitaxial nubs</t>
  </si>
  <si>
    <t>Cory Bomberger</t>
  </si>
  <si>
    <t>gate-all-around</t>
  </si>
  <si>
    <t>transistor</t>
  </si>
  <si>
    <t>transistor, multigate</t>
  </si>
  <si>
    <t>transistor, trigate</t>
  </si>
  <si>
    <t>Tangible Book</t>
  </si>
  <si>
    <t>i9 270H</t>
  </si>
  <si>
    <t>i7 251TE</t>
  </si>
  <si>
    <t>i7 251E</t>
  </si>
  <si>
    <t>i7 250U</t>
  </si>
  <si>
    <t>i7 250H</t>
  </si>
  <si>
    <t>i7 240H</t>
  </si>
  <si>
    <t>Speed</t>
  </si>
  <si>
    <t>Cache (MB)</t>
  </si>
  <si>
    <t>i9 14900T</t>
  </si>
  <si>
    <t>i9 14900K</t>
  </si>
  <si>
    <t>i9 14900KF</t>
  </si>
  <si>
    <t>i9 14900HX</t>
  </si>
  <si>
    <t>i9 14901E</t>
  </si>
  <si>
    <t>i9 14901KE</t>
  </si>
  <si>
    <t>Xeon 6527P</t>
  </si>
  <si>
    <t>Xeon 6745P</t>
  </si>
  <si>
    <t>Xeon 6944P</t>
  </si>
  <si>
    <t>Nvidia staggered</t>
  </si>
  <si>
    <t>Intel Today's Dollars</t>
  </si>
  <si>
    <t>INTC Today's Dollars Adjustment</t>
  </si>
  <si>
    <t>NVDA Today's Dollars Adjustmnet</t>
  </si>
  <si>
    <t>Nvidia Today's Dollars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</si>
</sst>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i/>
      <sz val="10"/>
      <color theme="1"/>
      <name val="Arial"/>
      <family val="2"/>
    </font>
    <font>
      <b/>
      <u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4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9" fontId="0" fillId="0" borderId="0" xfId="0" applyNumberFormat="1"/>
    <xf numFmtId="3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right"/>
    </xf>
    <xf numFmtId="3" fontId="3" fillId="0" borderId="0" xfId="0" applyNumberFormat="1" applyFont="1"/>
    <xf numFmtId="0" fontId="2" fillId="0" borderId="0" xfId="1"/>
    <xf numFmtId="0" fontId="1" fillId="0" borderId="0" xfId="0" applyFont="1"/>
    <xf numFmtId="0" fontId="4" fillId="0" borderId="0" xfId="0" applyFont="1"/>
    <xf numFmtId="0" fontId="1" fillId="0" borderId="0" xfId="0" applyFont="1" applyAlignment="1">
      <alignment horizontal="right"/>
    </xf>
    <xf numFmtId="9" fontId="1" fillId="0" borderId="0" xfId="0" applyNumberFormat="1" applyFont="1"/>
    <xf numFmtId="4" fontId="0" fillId="0" borderId="0" xfId="0" applyNumberFormat="1" applyAlignment="1">
      <alignment horizontal="right"/>
    </xf>
    <xf numFmtId="9" fontId="1" fillId="0" borderId="0" xfId="0" applyNumberFormat="1" applyFont="1" applyAlignment="1">
      <alignment horizontal="right"/>
    </xf>
    <xf numFmtId="9" fontId="3" fillId="0" borderId="0" xfId="0" applyNumberFormat="1" applyFont="1"/>
    <xf numFmtId="9" fontId="0" fillId="0" borderId="0" xfId="0" applyNumberFormat="1" applyAlignment="1">
      <alignment horizontal="right"/>
    </xf>
    <xf numFmtId="4" fontId="3" fillId="0" borderId="0" xfId="0" applyNumberFormat="1" applyFont="1"/>
    <xf numFmtId="164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/>
    <xf numFmtId="0" fontId="0" fillId="2" borderId="0" xfId="0" applyFill="1"/>
    <xf numFmtId="0" fontId="3" fillId="2" borderId="0" xfId="0" applyFont="1" applyFill="1"/>
    <xf numFmtId="3" fontId="3" fillId="2" borderId="0" xfId="0" applyNumberFormat="1" applyFont="1" applyFill="1"/>
    <xf numFmtId="4" fontId="3" fillId="2" borderId="0" xfId="0" applyNumberFormat="1" applyFont="1" applyFill="1"/>
    <xf numFmtId="3" fontId="0" fillId="2" borderId="0" xfId="0" applyNumberFormat="1" applyFill="1"/>
    <xf numFmtId="3" fontId="1" fillId="2" borderId="0" xfId="0" applyNumberFormat="1" applyFont="1" applyFill="1"/>
    <xf numFmtId="4" fontId="0" fillId="2" borderId="0" xfId="0" applyNumberFormat="1" applyFill="1"/>
    <xf numFmtId="9" fontId="1" fillId="2" borderId="0" xfId="0" applyNumberFormat="1" applyFont="1" applyFill="1"/>
    <xf numFmtId="9" fontId="0" fillId="2" borderId="0" xfId="0" applyNumberFormat="1" applyFill="1"/>
    <xf numFmtId="0" fontId="1" fillId="2" borderId="0" xfId="0" applyFont="1" applyFill="1"/>
    <xf numFmtId="0" fontId="0" fillId="3" borderId="0" xfId="0" applyFill="1"/>
    <xf numFmtId="0" fontId="3" fillId="3" borderId="0" xfId="0" applyFont="1" applyFill="1"/>
    <xf numFmtId="3" fontId="0" fillId="3" borderId="0" xfId="0" applyNumberFormat="1" applyFill="1"/>
    <xf numFmtId="3" fontId="1" fillId="3" borderId="0" xfId="0" applyNumberFormat="1" applyFont="1" applyFill="1"/>
    <xf numFmtId="4" fontId="0" fillId="3" borderId="0" xfId="0" applyNumberFormat="1" applyFill="1"/>
    <xf numFmtId="9" fontId="1" fillId="3" borderId="0" xfId="0" applyNumberFormat="1" applyFont="1" applyFill="1"/>
    <xf numFmtId="0" fontId="1" fillId="3" borderId="0" xfId="0" applyFont="1" applyFill="1"/>
    <xf numFmtId="3" fontId="3" fillId="3" borderId="0" xfId="0" applyNumberFormat="1" applyFont="1" applyFill="1"/>
    <xf numFmtId="4" fontId="3" fillId="0" borderId="0" xfId="0" applyNumberFormat="1" applyFont="1" applyAlignment="1">
      <alignment horizontal="right"/>
    </xf>
    <xf numFmtId="4" fontId="3" fillId="3" borderId="0" xfId="0" applyNumberFormat="1" applyFont="1" applyFill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D8BC6DE2-7325-4FE8-9C44-3D73230255D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Model!$AE$2:$CH$2</c:f>
              <c:numCache>
                <c:formatCode>General</c:formatCode>
                <c:ptCount val="56"/>
                <c:pt idx="0">
                  <c:v>1969</c:v>
                </c:pt>
                <c:pt idx="1">
                  <c:v>1970</c:v>
                </c:pt>
                <c:pt idx="2">
                  <c:v>1971</c:v>
                </c:pt>
                <c:pt idx="3">
                  <c:v>1972</c:v>
                </c:pt>
                <c:pt idx="4">
                  <c:v>1973</c:v>
                </c:pt>
                <c:pt idx="5">
                  <c:v>1974</c:v>
                </c:pt>
                <c:pt idx="6">
                  <c:v>1975</c:v>
                </c:pt>
                <c:pt idx="7">
                  <c:v>1976</c:v>
                </c:pt>
                <c:pt idx="8">
                  <c:v>1977</c:v>
                </c:pt>
                <c:pt idx="9">
                  <c:v>1978</c:v>
                </c:pt>
                <c:pt idx="10">
                  <c:v>1979</c:v>
                </c:pt>
                <c:pt idx="11">
                  <c:v>1980</c:v>
                </c:pt>
                <c:pt idx="12">
                  <c:v>1981</c:v>
                </c:pt>
                <c:pt idx="13">
                  <c:v>1982</c:v>
                </c:pt>
                <c:pt idx="14">
                  <c:v>1983</c:v>
                </c:pt>
                <c:pt idx="15">
                  <c:v>1984</c:v>
                </c:pt>
                <c:pt idx="16">
                  <c:v>1985</c:v>
                </c:pt>
                <c:pt idx="17">
                  <c:v>1986</c:v>
                </c:pt>
                <c:pt idx="18">
                  <c:v>1987</c:v>
                </c:pt>
                <c:pt idx="19">
                  <c:v>1988</c:v>
                </c:pt>
                <c:pt idx="20">
                  <c:v>1989</c:v>
                </c:pt>
                <c:pt idx="21">
                  <c:v>1990</c:v>
                </c:pt>
                <c:pt idx="22">
                  <c:v>1991</c:v>
                </c:pt>
                <c:pt idx="23">
                  <c:v>1992</c:v>
                </c:pt>
                <c:pt idx="24">
                  <c:v>1993</c:v>
                </c:pt>
                <c:pt idx="25">
                  <c:v>1994</c:v>
                </c:pt>
                <c:pt idx="26">
                  <c:v>1995</c:v>
                </c:pt>
                <c:pt idx="27">
                  <c:v>1996</c:v>
                </c:pt>
                <c:pt idx="28">
                  <c:v>1997</c:v>
                </c:pt>
                <c:pt idx="29">
                  <c:v>1998</c:v>
                </c:pt>
                <c:pt idx="30">
                  <c:v>1999</c:v>
                </c:pt>
                <c:pt idx="31">
                  <c:v>2000</c:v>
                </c:pt>
                <c:pt idx="32">
                  <c:v>2001</c:v>
                </c:pt>
                <c:pt idx="33">
                  <c:v>2002</c:v>
                </c:pt>
                <c:pt idx="34">
                  <c:v>2003</c:v>
                </c:pt>
                <c:pt idx="35">
                  <c:v>2004</c:v>
                </c:pt>
                <c:pt idx="36">
                  <c:v>2005</c:v>
                </c:pt>
                <c:pt idx="37">
                  <c:v>2006</c:v>
                </c:pt>
                <c:pt idx="38">
                  <c:v>2007</c:v>
                </c:pt>
                <c:pt idx="39">
                  <c:v>2008</c:v>
                </c:pt>
                <c:pt idx="40">
                  <c:v>2009</c:v>
                </c:pt>
                <c:pt idx="41">
                  <c:v>2010</c:v>
                </c:pt>
                <c:pt idx="42">
                  <c:v>2011</c:v>
                </c:pt>
                <c:pt idx="43">
                  <c:v>2012</c:v>
                </c:pt>
                <c:pt idx="44">
                  <c:v>2013</c:v>
                </c:pt>
                <c:pt idx="45">
                  <c:v>2014</c:v>
                </c:pt>
                <c:pt idx="46">
                  <c:v>2015</c:v>
                </c:pt>
                <c:pt idx="47">
                  <c:v>2016</c:v>
                </c:pt>
                <c:pt idx="48">
                  <c:v>2017</c:v>
                </c:pt>
                <c:pt idx="49">
                  <c:v>2018</c:v>
                </c:pt>
                <c:pt idx="50">
                  <c:v>2019</c:v>
                </c:pt>
                <c:pt idx="51">
                  <c:v>2020</c:v>
                </c:pt>
                <c:pt idx="52">
                  <c:v>2021</c:v>
                </c:pt>
                <c:pt idx="53">
                  <c:v>2022</c:v>
                </c:pt>
                <c:pt idx="54">
                  <c:v>2023</c:v>
                </c:pt>
                <c:pt idx="55">
                  <c:v>2024</c:v>
                </c:pt>
              </c:numCache>
            </c:numRef>
          </c:cat>
          <c:val>
            <c:numRef>
              <c:f>Model!$AE$7:$CH$7</c:f>
              <c:numCache>
                <c:formatCode>#,##0</c:formatCode>
                <c:ptCount val="56"/>
                <c:pt idx="0">
                  <c:v>2.4822000000000002</c:v>
                </c:pt>
                <c:pt idx="1">
                  <c:v>8.0587199999999992</c:v>
                </c:pt>
                <c:pt idx="2">
                  <c:v>58.723420000000004</c:v>
                </c:pt>
                <c:pt idx="3">
                  <c:v>25.935000000000002</c:v>
                </c:pt>
                <c:pt idx="4">
                  <c:v>300.65029999999996</c:v>
                </c:pt>
                <c:pt idx="5">
                  <c:v>692.83425</c:v>
                </c:pt>
                <c:pt idx="6">
                  <c:v>1345.5331200000001</c:v>
                </c:pt>
                <c:pt idx="7">
                  <c:v>2437.6583799999999</c:v>
                </c:pt>
                <c:pt idx="8">
                  <c:v>3284.2488399999997</c:v>
                </c:pt>
                <c:pt idx="9">
                  <c:v>3007.8592499999995</c:v>
                </c:pt>
                <c:pt idx="10">
                  <c:v>3216.0527999999999</c:v>
                </c:pt>
                <c:pt idx="11">
                  <c:v>3682.3148499999998</c:v>
                </c:pt>
                <c:pt idx="12">
                  <c:v>4633.8442100000002</c:v>
                </c:pt>
                <c:pt idx="13">
                  <c:v>6023.8541999999998</c:v>
                </c:pt>
                <c:pt idx="14">
                  <c:v>4966.0455499999998</c:v>
                </c:pt>
                <c:pt idx="15">
                  <c:v>4956.4030499999999</c:v>
                </c:pt>
                <c:pt idx="16">
                  <c:v>5102.3649599999999</c:v>
                </c:pt>
                <c:pt idx="17">
                  <c:v>5597.1019999999999</c:v>
                </c:pt>
                <c:pt idx="18">
                  <c:v>5906.6194199999991</c:v>
                </c:pt>
                <c:pt idx="19">
                  <c:v>5616.8</c:v>
                </c:pt>
                <c:pt idx="20">
                  <c:v>6273.88</c:v>
                </c:pt>
                <c:pt idx="21">
                  <c:v>6663.3</c:v>
                </c:pt>
                <c:pt idx="22">
                  <c:v>9052.1</c:v>
                </c:pt>
                <c:pt idx="23">
                  <c:v>12531.06</c:v>
                </c:pt>
                <c:pt idx="24">
                  <c:v>14996.48</c:v>
                </c:pt>
                <c:pt idx="25">
                  <c:v>13647.5</c:v>
                </c:pt>
                <c:pt idx="26">
                  <c:v>19343</c:v>
                </c:pt>
                <c:pt idx="27">
                  <c:v>29604.300000000003</c:v>
                </c:pt>
                <c:pt idx="28">
                  <c:v>28595.620000000003</c:v>
                </c:pt>
                <c:pt idx="29">
                  <c:v>62749.66</c:v>
                </c:pt>
                <c:pt idx="30">
                  <c:v>130497</c:v>
                </c:pt>
                <c:pt idx="31">
                  <c:v>197220</c:v>
                </c:pt>
                <c:pt idx="32">
                  <c:v>300000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D9-47FD-998C-7EC0362B334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Model!$AE$2:$CH$2</c:f>
              <c:numCache>
                <c:formatCode>General</c:formatCode>
                <c:ptCount val="56"/>
                <c:pt idx="0">
                  <c:v>1969</c:v>
                </c:pt>
                <c:pt idx="1">
                  <c:v>1970</c:v>
                </c:pt>
                <c:pt idx="2">
                  <c:v>1971</c:v>
                </c:pt>
                <c:pt idx="3">
                  <c:v>1972</c:v>
                </c:pt>
                <c:pt idx="4">
                  <c:v>1973</c:v>
                </c:pt>
                <c:pt idx="5">
                  <c:v>1974</c:v>
                </c:pt>
                <c:pt idx="6">
                  <c:v>1975</c:v>
                </c:pt>
                <c:pt idx="7">
                  <c:v>1976</c:v>
                </c:pt>
                <c:pt idx="8">
                  <c:v>1977</c:v>
                </c:pt>
                <c:pt idx="9">
                  <c:v>1978</c:v>
                </c:pt>
                <c:pt idx="10">
                  <c:v>1979</c:v>
                </c:pt>
                <c:pt idx="11">
                  <c:v>1980</c:v>
                </c:pt>
                <c:pt idx="12">
                  <c:v>1981</c:v>
                </c:pt>
                <c:pt idx="13">
                  <c:v>1982</c:v>
                </c:pt>
                <c:pt idx="14">
                  <c:v>1983</c:v>
                </c:pt>
                <c:pt idx="15">
                  <c:v>1984</c:v>
                </c:pt>
                <c:pt idx="16">
                  <c:v>1985</c:v>
                </c:pt>
                <c:pt idx="17">
                  <c:v>1986</c:v>
                </c:pt>
                <c:pt idx="18">
                  <c:v>1987</c:v>
                </c:pt>
                <c:pt idx="19">
                  <c:v>1988</c:v>
                </c:pt>
                <c:pt idx="20">
                  <c:v>1989</c:v>
                </c:pt>
                <c:pt idx="21">
                  <c:v>1990</c:v>
                </c:pt>
                <c:pt idx="22">
                  <c:v>1991</c:v>
                </c:pt>
                <c:pt idx="23">
                  <c:v>1992</c:v>
                </c:pt>
                <c:pt idx="24">
                  <c:v>1993</c:v>
                </c:pt>
                <c:pt idx="25">
                  <c:v>1994</c:v>
                </c:pt>
                <c:pt idx="26">
                  <c:v>1995</c:v>
                </c:pt>
                <c:pt idx="27">
                  <c:v>1996</c:v>
                </c:pt>
                <c:pt idx="28">
                  <c:v>1997</c:v>
                </c:pt>
                <c:pt idx="29">
                  <c:v>1998</c:v>
                </c:pt>
                <c:pt idx="30">
                  <c:v>1999</c:v>
                </c:pt>
                <c:pt idx="31">
                  <c:v>2000</c:v>
                </c:pt>
                <c:pt idx="32">
                  <c:v>2001</c:v>
                </c:pt>
                <c:pt idx="33">
                  <c:v>2002</c:v>
                </c:pt>
                <c:pt idx="34">
                  <c:v>2003</c:v>
                </c:pt>
                <c:pt idx="35">
                  <c:v>2004</c:v>
                </c:pt>
                <c:pt idx="36">
                  <c:v>2005</c:v>
                </c:pt>
                <c:pt idx="37">
                  <c:v>2006</c:v>
                </c:pt>
                <c:pt idx="38">
                  <c:v>2007</c:v>
                </c:pt>
                <c:pt idx="39">
                  <c:v>2008</c:v>
                </c:pt>
                <c:pt idx="40">
                  <c:v>2009</c:v>
                </c:pt>
                <c:pt idx="41">
                  <c:v>2010</c:v>
                </c:pt>
                <c:pt idx="42">
                  <c:v>2011</c:v>
                </c:pt>
                <c:pt idx="43">
                  <c:v>2012</c:v>
                </c:pt>
                <c:pt idx="44">
                  <c:v>2013</c:v>
                </c:pt>
                <c:pt idx="45">
                  <c:v>2014</c:v>
                </c:pt>
                <c:pt idx="46">
                  <c:v>2015</c:v>
                </c:pt>
                <c:pt idx="47">
                  <c:v>2016</c:v>
                </c:pt>
                <c:pt idx="48">
                  <c:v>2017</c:v>
                </c:pt>
                <c:pt idx="49">
                  <c:v>2018</c:v>
                </c:pt>
                <c:pt idx="50">
                  <c:v>2019</c:v>
                </c:pt>
                <c:pt idx="51">
                  <c:v>2020</c:v>
                </c:pt>
                <c:pt idx="52">
                  <c:v>2021</c:v>
                </c:pt>
                <c:pt idx="53">
                  <c:v>2022</c:v>
                </c:pt>
                <c:pt idx="54">
                  <c:v>2023</c:v>
                </c:pt>
                <c:pt idx="55">
                  <c:v>2024</c:v>
                </c:pt>
              </c:numCache>
            </c:numRef>
          </c:cat>
          <c:val>
            <c:numRef>
              <c:f>Model!$AE$8:$CH$8</c:f>
              <c:numCache>
                <c:formatCode>#,##0</c:formatCode>
                <c:ptCount val="56"/>
                <c:pt idx="0">
                  <c:v>5.28</c:v>
                </c:pt>
                <c:pt idx="1">
                  <c:v>34.860000000000007</c:v>
                </c:pt>
                <c:pt idx="2">
                  <c:v>74.260000000000005</c:v>
                </c:pt>
                <c:pt idx="3">
                  <c:v>180.18</c:v>
                </c:pt>
                <c:pt idx="4">
                  <c:v>483.26</c:v>
                </c:pt>
                <c:pt idx="5">
                  <c:v>887.69999999999993</c:v>
                </c:pt>
                <c:pt idx="6">
                  <c:v>820.80000000000007</c:v>
                </c:pt>
                <c:pt idx="7">
                  <c:v>1288.2</c:v>
                </c:pt>
                <c:pt idx="8">
                  <c:v>1497.25</c:v>
                </c:pt>
                <c:pt idx="9">
                  <c:v>1983.03</c:v>
                </c:pt>
                <c:pt idx="10">
                  <c:v>2948.06</c:v>
                </c:pt>
                <c:pt idx="11">
                  <c:v>3360.15</c:v>
                </c:pt>
                <c:pt idx="12">
                  <c:v>2808.84</c:v>
                </c:pt>
                <c:pt idx="13">
                  <c:v>2916</c:v>
                </c:pt>
                <c:pt idx="14">
                  <c:v>3511.8599999999997</c:v>
                </c:pt>
                <c:pt idx="15">
                  <c:v>4887</c:v>
                </c:pt>
                <c:pt idx="16">
                  <c:v>3972.15</c:v>
                </c:pt>
                <c:pt idx="17">
                  <c:v>3605.25</c:v>
                </c:pt>
                <c:pt idx="18">
                  <c:v>5244.25</c:v>
                </c:pt>
                <c:pt idx="19">
                  <c:v>7618.1378499999992</c:v>
                </c:pt>
                <c:pt idx="20">
                  <c:v>7879.6191600000002</c:v>
                </c:pt>
                <c:pt idx="21">
                  <c:v>9724.7595199999996</c:v>
                </c:pt>
                <c:pt idx="22">
                  <c:v>11135.07</c:v>
                </c:pt>
                <c:pt idx="23">
                  <c:v>13149</c:v>
                </c:pt>
                <c:pt idx="24">
                  <c:v>19144.760000000002</c:v>
                </c:pt>
                <c:pt idx="25">
                  <c:v>24654.940000000002</c:v>
                </c:pt>
                <c:pt idx="26">
                  <c:v>34024.200000000004</c:v>
                </c:pt>
                <c:pt idx="27">
                  <c:v>42944.82</c:v>
                </c:pt>
                <c:pt idx="28">
                  <c:v>50641.4</c:v>
                </c:pt>
                <c:pt idx="29">
                  <c:v>51232.35</c:v>
                </c:pt>
                <c:pt idx="30">
                  <c:v>55839.1</c:v>
                </c:pt>
                <c:pt idx="31">
                  <c:v>62393.100000000006</c:v>
                </c:pt>
                <c:pt idx="32">
                  <c:v>48566.37</c:v>
                </c:pt>
                <c:pt idx="33">
                  <c:v>47639.92</c:v>
                </c:pt>
                <c:pt idx="34">
                  <c:v>51842.52</c:v>
                </c:pt>
                <c:pt idx="35">
                  <c:v>56444.85</c:v>
                </c:pt>
                <c:pt idx="36">
                  <c:v>62121.600000000006</c:v>
                </c:pt>
                <c:pt idx="37">
                  <c:v>54842.1</c:v>
                </c:pt>
                <c:pt idx="38">
                  <c:v>57884.340000000004</c:v>
                </c:pt>
                <c:pt idx="39">
                  <c:v>55251.42</c:v>
                </c:pt>
                <c:pt idx="40">
                  <c:v>50934.15</c:v>
                </c:pt>
                <c:pt idx="41">
                  <c:v>64998.27</c:v>
                </c:pt>
                <c:pt idx="42">
                  <c:v>77758.559999999998</c:v>
                </c:pt>
                <c:pt idx="43">
                  <c:v>74677.399999999994</c:v>
                </c:pt>
                <c:pt idx="44">
                  <c:v>72737.039999999994</c:v>
                </c:pt>
                <c:pt idx="45">
                  <c:v>75983.200000000012</c:v>
                </c:pt>
                <c:pt idx="46">
                  <c:v>74175.700000000012</c:v>
                </c:pt>
                <c:pt idx="47">
                  <c:v>78984.710000000006</c:v>
                </c:pt>
                <c:pt idx="48">
                  <c:v>82216.91</c:v>
                </c:pt>
                <c:pt idx="49">
                  <c:v>91393.919999999998</c:v>
                </c:pt>
                <c:pt idx="50">
                  <c:v>92115.199999999997</c:v>
                </c:pt>
                <c:pt idx="51">
                  <c:v>97333.75</c:v>
                </c:pt>
                <c:pt idx="52">
                  <c:v>91667.839999999997</c:v>
                </c:pt>
                <c:pt idx="53">
                  <c:v>69359.400000000009</c:v>
                </c:pt>
                <c:pt idx="54">
                  <c:v>57481.68</c:v>
                </c:pt>
                <c:pt idx="55">
                  <c:v>54287.592000000004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D9-47FD-998C-7EC0362B33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7520671"/>
        <c:axId val="1037522591"/>
      </c:lineChart>
      <c:catAx>
        <c:axId val="1037520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522591"/>
        <c:crosses val="autoZero"/>
        <c:auto val="1"/>
        <c:lblAlgn val="ctr"/>
        <c:lblOffset val="100"/>
        <c:noMultiLvlLbl val="0"/>
      </c:catAx>
      <c:valAx>
        <c:axId val="1037522591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520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86</xdr:col>
      <xdr:colOff>36034</xdr:colOff>
      <xdr:row>0</xdr:row>
      <xdr:rowOff>0</xdr:rowOff>
    </xdr:from>
    <xdr:to>
      <xdr:col>86</xdr:col>
      <xdr:colOff>36034</xdr:colOff>
      <xdr:row>97</xdr:row>
      <xdr:rowOff>135669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A93E111-9A1E-969E-B046-4678216F947D}"/>
            </a:ext>
          </a:extLst>
        </xdr:cNvPr>
        <xdr:cNvCxnSpPr/>
      </xdr:nvCxnSpPr>
      <xdr:spPr>
        <a:xfrm>
          <a:off x="53757034" y="0"/>
          <a:ext cx="0" cy="1485179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24430</xdr:colOff>
      <xdr:row>0</xdr:row>
      <xdr:rowOff>0</xdr:rowOff>
    </xdr:from>
    <xdr:to>
      <xdr:col>22</xdr:col>
      <xdr:colOff>24430</xdr:colOff>
      <xdr:row>99</xdr:row>
      <xdr:rowOff>107156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9DD1792C-2787-8FDE-6B43-CA52F6045161}"/>
            </a:ext>
          </a:extLst>
        </xdr:cNvPr>
        <xdr:cNvCxnSpPr/>
      </xdr:nvCxnSpPr>
      <xdr:spPr>
        <a:xfrm>
          <a:off x="14432361" y="0"/>
          <a:ext cx="0" cy="1504936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24423</xdr:colOff>
      <xdr:row>11</xdr:row>
      <xdr:rowOff>37612</xdr:rowOff>
    </xdr:from>
    <xdr:to>
      <xdr:col>40</xdr:col>
      <xdr:colOff>449385</xdr:colOff>
      <xdr:row>28</xdr:row>
      <xdr:rowOff>1465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9C7CBA-429E-136A-B231-32C0CB4219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885FAFCD-EA21-4344-9B78-0E93CEEF76F9}" userId="9ffda80931a57275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19" dT="2024-12-09T19:16:37.54" personId="{885FAFCD-EA21-4344-9B78-0E93CEEF76F9}" id="{553749E0-B84C-400F-AA60-70B2200EB741}">
    <text>Was 232m, moved from DCAI</text>
  </threadedComment>
  <threadedComment ref="P23" dT="2024-12-09T19:16:13.48" personId="{885FAFCD-EA21-4344-9B78-0E93CEEF76F9}" id="{53CD2C1B-5EFB-433B-8341-4E710A5D9E0D}">
    <text>Was 4,004, moved to foundry</text>
  </threadedComment>
  <threadedComment ref="O27" dT="2023-02-01T15:27:50.55" personId="{885FAFCD-EA21-4344-9B78-0E93CEEF76F9}" id="{4AF041F6-2BD0-46AD-AD03-05C15165F132}">
    <text>10.5-11.5B guidance for Q123 given Q422</text>
  </threadedComment>
  <threadedComment ref="U27" dT="2024-08-03T18:40:43.02" personId="{885FAFCD-EA21-4344-9B78-0E93CEEF76F9}" id="{7EE51CAC-1EE9-40D6-A4B0-06A92694160C}">
    <text>Q224: 12.5B-13.5B</text>
  </threadedComment>
  <threadedComment ref="V27" dT="2025-01-30T20:52:10.59" personId="{885FAFCD-EA21-4344-9B78-0E93CEEF76F9}" id="{955D5229-7487-466C-B93B-BCA8A826F0B7}">
    <text>Q324 guidance: 13.3-14.3</text>
  </threadedComment>
  <threadedComment ref="O29" dT="2023-02-01T15:28:03.45" personId="{885FAFCD-EA21-4344-9B78-0E93CEEF76F9}" id="{BEA6A42C-CEC1-47E1-B002-6B6D239FF53A}">
    <text>39% GM non-gaap given Q422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AE7DF-8440-4CDE-A9CC-8CE68EF0CE24}">
  <dimension ref="B2:M33"/>
  <sheetViews>
    <sheetView zoomScale="175" zoomScaleNormal="175" workbookViewId="0">
      <selection activeCell="L3" sqref="L3"/>
    </sheetView>
  </sheetViews>
  <sheetFormatPr defaultRowHeight="12.5" x14ac:dyDescent="0.25"/>
  <sheetData>
    <row r="2" spans="2:13" ht="13" x14ac:dyDescent="0.3">
      <c r="B2" s="13"/>
      <c r="K2" t="s">
        <v>0</v>
      </c>
      <c r="L2" s="1">
        <v>19.91</v>
      </c>
    </row>
    <row r="3" spans="2:13" x14ac:dyDescent="0.25">
      <c r="B3" t="s">
        <v>106</v>
      </c>
      <c r="K3" t="s">
        <v>1</v>
      </c>
      <c r="L3" s="2">
        <v>4267</v>
      </c>
      <c r="M3" s="3" t="s">
        <v>81</v>
      </c>
    </row>
    <row r="4" spans="2:13" x14ac:dyDescent="0.25">
      <c r="B4" t="s">
        <v>49</v>
      </c>
      <c r="K4" t="s">
        <v>2</v>
      </c>
      <c r="L4" s="2">
        <f>+L2*L3</f>
        <v>84955.97</v>
      </c>
      <c r="M4" s="3"/>
    </row>
    <row r="5" spans="2:13" x14ac:dyDescent="0.25">
      <c r="B5" t="s">
        <v>66</v>
      </c>
      <c r="K5" t="s">
        <v>3</v>
      </c>
      <c r="L5" s="2">
        <v>35097</v>
      </c>
      <c r="M5" s="3" t="s">
        <v>81</v>
      </c>
    </row>
    <row r="6" spans="2:13" x14ac:dyDescent="0.25">
      <c r="B6" t="s">
        <v>67</v>
      </c>
      <c r="K6" t="s">
        <v>4</v>
      </c>
      <c r="L6" s="2">
        <v>53029</v>
      </c>
      <c r="M6" s="3" t="s">
        <v>81</v>
      </c>
    </row>
    <row r="7" spans="2:13" x14ac:dyDescent="0.25">
      <c r="B7" t="s">
        <v>107</v>
      </c>
      <c r="K7" t="s">
        <v>5</v>
      </c>
      <c r="L7" s="2">
        <f>+L4-L5+L6</f>
        <v>102887.97</v>
      </c>
    </row>
    <row r="8" spans="2:13" x14ac:dyDescent="0.25">
      <c r="B8" t="s">
        <v>108</v>
      </c>
      <c r="M8" s="2"/>
    </row>
    <row r="9" spans="2:13" x14ac:dyDescent="0.25">
      <c r="B9" t="s">
        <v>145</v>
      </c>
      <c r="M9" s="2"/>
    </row>
    <row r="10" spans="2:13" x14ac:dyDescent="0.25">
      <c r="L10" s="2"/>
    </row>
    <row r="11" spans="2:13" ht="13" x14ac:dyDescent="0.3">
      <c r="B11" s="13" t="s">
        <v>69</v>
      </c>
    </row>
    <row r="12" spans="2:13" x14ac:dyDescent="0.25">
      <c r="B12" t="s">
        <v>62</v>
      </c>
    </row>
    <row r="13" spans="2:13" x14ac:dyDescent="0.25">
      <c r="B13" t="s">
        <v>68</v>
      </c>
      <c r="K13" t="s">
        <v>61</v>
      </c>
    </row>
    <row r="14" spans="2:13" x14ac:dyDescent="0.25">
      <c r="B14" t="s">
        <v>132</v>
      </c>
      <c r="K14" t="s">
        <v>79</v>
      </c>
    </row>
    <row r="15" spans="2:13" x14ac:dyDescent="0.25">
      <c r="B15" t="s">
        <v>133</v>
      </c>
    </row>
    <row r="18" spans="2:9" ht="13" x14ac:dyDescent="0.3">
      <c r="B18" t="s">
        <v>52</v>
      </c>
      <c r="I18" s="13" t="s">
        <v>138</v>
      </c>
    </row>
    <row r="19" spans="2:9" x14ac:dyDescent="0.25">
      <c r="B19" t="s">
        <v>51</v>
      </c>
      <c r="I19" t="s">
        <v>139</v>
      </c>
    </row>
    <row r="21" spans="2:9" ht="13" x14ac:dyDescent="0.3">
      <c r="B21" s="13" t="s">
        <v>134</v>
      </c>
      <c r="I21" s="13" t="s">
        <v>140</v>
      </c>
    </row>
    <row r="22" spans="2:9" x14ac:dyDescent="0.25">
      <c r="B22" t="s">
        <v>137</v>
      </c>
      <c r="I22" t="s">
        <v>141</v>
      </c>
    </row>
    <row r="23" spans="2:9" x14ac:dyDescent="0.25">
      <c r="B23" t="s">
        <v>135</v>
      </c>
    </row>
    <row r="24" spans="2:9" x14ac:dyDescent="0.25">
      <c r="B24" t="s">
        <v>136</v>
      </c>
    </row>
    <row r="27" spans="2:9" x14ac:dyDescent="0.25">
      <c r="B27" t="s">
        <v>64</v>
      </c>
    </row>
    <row r="28" spans="2:9" ht="13" x14ac:dyDescent="0.3">
      <c r="B28" s="12" t="s">
        <v>142</v>
      </c>
    </row>
    <row r="29" spans="2:9" x14ac:dyDescent="0.25">
      <c r="B29" t="s">
        <v>65</v>
      </c>
    </row>
    <row r="32" spans="2:9" x14ac:dyDescent="0.25">
      <c r="B32" t="s">
        <v>143</v>
      </c>
    </row>
    <row r="33" spans="2:2" x14ac:dyDescent="0.25">
      <c r="B33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9D04B-6226-42F4-9686-EE1156E609DE}">
  <dimension ref="A1:FS100"/>
  <sheetViews>
    <sheetView tabSelected="1" zoomScale="115" zoomScaleNormal="115" workbookViewId="0">
      <pane xSplit="2" ySplit="2" topLeftCell="AB3" activePane="bottomRight" state="frozen"/>
      <selection pane="topRight" activeCell="C1" sqref="C1"/>
      <selection pane="bottomLeft" activeCell="A3" sqref="A3"/>
      <selection pane="bottomRight" activeCell="AC6" sqref="AC5:AC6"/>
    </sheetView>
  </sheetViews>
  <sheetFormatPr defaultRowHeight="12.5" x14ac:dyDescent="0.25"/>
  <cols>
    <col min="1" max="1" width="5" bestFit="1" customWidth="1"/>
    <col min="2" max="2" width="20.7265625" customWidth="1"/>
    <col min="3" max="26" width="9.1796875" style="3"/>
    <col min="31" max="36" width="8.7265625" style="34"/>
    <col min="37" max="37" width="8.7265625" style="24"/>
    <col min="38" max="42" width="8.7265625" style="34"/>
    <col min="43" max="43" width="8.7265625" style="24"/>
    <col min="44" max="46" width="8.7265625" style="34"/>
    <col min="47" max="48" width="8.7265625" style="24"/>
    <col min="49" max="50" width="8.7265625" style="34"/>
    <col min="51" max="51" width="8.7265625" style="24"/>
    <col min="52" max="59" width="8.7265625" style="34"/>
    <col min="60" max="60" width="8.7265625" style="24"/>
    <col min="61" max="62" width="8.7265625" style="34"/>
    <col min="63" max="64" width="8.7265625" style="24"/>
    <col min="68" max="68" width="8.7265625" style="24"/>
    <col min="70" max="71" width="8.7265625" style="24"/>
    <col min="101" max="101" width="10.7265625" customWidth="1"/>
  </cols>
  <sheetData>
    <row r="1" spans="1:102" x14ac:dyDescent="0.25">
      <c r="A1" s="11" t="s">
        <v>7</v>
      </c>
    </row>
    <row r="2" spans="1:102" x14ac:dyDescent="0.25"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3" t="s">
        <v>15</v>
      </c>
      <c r="J2" s="3" t="s">
        <v>16</v>
      </c>
      <c r="K2" s="3" t="s">
        <v>17</v>
      </c>
      <c r="L2" s="3" t="s">
        <v>18</v>
      </c>
      <c r="M2" s="3" t="s">
        <v>19</v>
      </c>
      <c r="N2" s="3" t="s">
        <v>6</v>
      </c>
      <c r="O2" s="3" t="s">
        <v>20</v>
      </c>
      <c r="P2" s="3" t="s">
        <v>21</v>
      </c>
      <c r="Q2" s="3" t="s">
        <v>22</v>
      </c>
      <c r="R2" s="3" t="s">
        <v>23</v>
      </c>
      <c r="S2" s="3" t="s">
        <v>80</v>
      </c>
      <c r="T2" s="3" t="s">
        <v>81</v>
      </c>
      <c r="U2" s="3" t="s">
        <v>82</v>
      </c>
      <c r="V2" s="3" t="s">
        <v>83</v>
      </c>
      <c r="W2" s="3" t="s">
        <v>147</v>
      </c>
      <c r="X2" s="3" t="s">
        <v>148</v>
      </c>
      <c r="Y2" s="3" t="s">
        <v>149</v>
      </c>
      <c r="Z2" s="3" t="s">
        <v>150</v>
      </c>
      <c r="AB2">
        <f t="shared" ref="AB2:AI2" si="0">+AC2-1</f>
        <v>1966</v>
      </c>
      <c r="AC2">
        <f t="shared" si="0"/>
        <v>1967</v>
      </c>
      <c r="AD2">
        <f t="shared" si="0"/>
        <v>1968</v>
      </c>
      <c r="AE2" s="34">
        <f t="shared" si="0"/>
        <v>1969</v>
      </c>
      <c r="AF2" s="34">
        <f t="shared" si="0"/>
        <v>1970</v>
      </c>
      <c r="AG2" s="34">
        <f t="shared" si="0"/>
        <v>1971</v>
      </c>
      <c r="AH2" s="34">
        <f t="shared" si="0"/>
        <v>1972</v>
      </c>
      <c r="AI2" s="34">
        <f t="shared" ref="AI2:AS2" si="1">+AJ2-1</f>
        <v>1973</v>
      </c>
      <c r="AJ2" s="34">
        <f t="shared" si="1"/>
        <v>1974</v>
      </c>
      <c r="AK2" s="24">
        <f t="shared" si="1"/>
        <v>1975</v>
      </c>
      <c r="AL2" s="34">
        <f t="shared" si="1"/>
        <v>1976</v>
      </c>
      <c r="AM2" s="34">
        <f t="shared" si="1"/>
        <v>1977</v>
      </c>
      <c r="AN2" s="34">
        <f t="shared" si="1"/>
        <v>1978</v>
      </c>
      <c r="AO2" s="34">
        <f t="shared" si="1"/>
        <v>1979</v>
      </c>
      <c r="AP2" s="34">
        <f t="shared" si="1"/>
        <v>1980</v>
      </c>
      <c r="AQ2" s="24">
        <f t="shared" si="1"/>
        <v>1981</v>
      </c>
      <c r="AR2" s="34">
        <f t="shared" si="1"/>
        <v>1982</v>
      </c>
      <c r="AS2" s="34">
        <f t="shared" ref="AS2:BA2" si="2">+AT2-1</f>
        <v>1983</v>
      </c>
      <c r="AT2" s="34">
        <f t="shared" si="2"/>
        <v>1984</v>
      </c>
      <c r="AU2" s="24">
        <f t="shared" si="2"/>
        <v>1985</v>
      </c>
      <c r="AV2" s="24">
        <f t="shared" si="2"/>
        <v>1986</v>
      </c>
      <c r="AW2" s="34">
        <f t="shared" si="2"/>
        <v>1987</v>
      </c>
      <c r="AX2" s="34">
        <f t="shared" si="2"/>
        <v>1988</v>
      </c>
      <c r="AY2" s="24">
        <f t="shared" si="2"/>
        <v>1989</v>
      </c>
      <c r="AZ2" s="34">
        <f t="shared" si="2"/>
        <v>1990</v>
      </c>
      <c r="BA2" s="34">
        <f t="shared" ref="BA2:BN2" si="3">+BB2-1</f>
        <v>1991</v>
      </c>
      <c r="BB2" s="34">
        <f t="shared" si="3"/>
        <v>1992</v>
      </c>
      <c r="BC2" s="34">
        <f t="shared" si="3"/>
        <v>1993</v>
      </c>
      <c r="BD2" s="34">
        <f t="shared" si="3"/>
        <v>1994</v>
      </c>
      <c r="BE2" s="34">
        <f t="shared" si="3"/>
        <v>1995</v>
      </c>
      <c r="BF2" s="34">
        <f t="shared" si="3"/>
        <v>1996</v>
      </c>
      <c r="BG2" s="34">
        <f t="shared" si="3"/>
        <v>1997</v>
      </c>
      <c r="BH2" s="24">
        <f t="shared" si="3"/>
        <v>1998</v>
      </c>
      <c r="BI2" s="34">
        <f t="shared" si="3"/>
        <v>1999</v>
      </c>
      <c r="BJ2" s="34">
        <f t="shared" si="3"/>
        <v>2000</v>
      </c>
      <c r="BK2" s="24">
        <f t="shared" si="3"/>
        <v>2001</v>
      </c>
      <c r="BL2" s="24">
        <f t="shared" si="3"/>
        <v>2002</v>
      </c>
      <c r="BM2">
        <f t="shared" si="3"/>
        <v>2003</v>
      </c>
      <c r="BN2">
        <f>+BO2-1</f>
        <v>2004</v>
      </c>
      <c r="BO2">
        <v>2005</v>
      </c>
      <c r="BP2" s="24">
        <v>2006</v>
      </c>
      <c r="BQ2">
        <v>2007</v>
      </c>
      <c r="BR2" s="24">
        <v>2008</v>
      </c>
      <c r="BS2" s="24">
        <v>2009</v>
      </c>
      <c r="BT2">
        <v>2010</v>
      </c>
      <c r="BU2">
        <v>2011</v>
      </c>
      <c r="BV2">
        <v>2012</v>
      </c>
      <c r="BW2">
        <v>2013</v>
      </c>
      <c r="BX2">
        <v>2014</v>
      </c>
      <c r="BY2">
        <v>2015</v>
      </c>
      <c r="BZ2">
        <v>2016</v>
      </c>
      <c r="CA2">
        <v>2017</v>
      </c>
      <c r="CB2">
        <v>2018</v>
      </c>
      <c r="CC2">
        <v>2019</v>
      </c>
      <c r="CD2">
        <v>2020</v>
      </c>
      <c r="CE2">
        <f>+CD2+1</f>
        <v>2021</v>
      </c>
      <c r="CF2">
        <f>+CE2+1</f>
        <v>2022</v>
      </c>
      <c r="CG2">
        <v>2023</v>
      </c>
      <c r="CH2">
        <f>+CG2+1</f>
        <v>2024</v>
      </c>
      <c r="CI2">
        <f t="shared" ref="CI2:CX2" si="4">+CH2+1</f>
        <v>2025</v>
      </c>
      <c r="CJ2">
        <f t="shared" si="4"/>
        <v>2026</v>
      </c>
      <c r="CK2">
        <f t="shared" si="4"/>
        <v>2027</v>
      </c>
      <c r="CL2">
        <f t="shared" si="4"/>
        <v>2028</v>
      </c>
      <c r="CM2">
        <f t="shared" si="4"/>
        <v>2029</v>
      </c>
      <c r="CN2">
        <f t="shared" si="4"/>
        <v>2030</v>
      </c>
      <c r="CO2">
        <f t="shared" si="4"/>
        <v>2031</v>
      </c>
      <c r="CP2">
        <f t="shared" si="4"/>
        <v>2032</v>
      </c>
      <c r="CQ2">
        <f t="shared" si="4"/>
        <v>2033</v>
      </c>
      <c r="CR2">
        <f t="shared" si="4"/>
        <v>2034</v>
      </c>
      <c r="CS2">
        <f t="shared" si="4"/>
        <v>2035</v>
      </c>
      <c r="CT2">
        <f t="shared" si="4"/>
        <v>2036</v>
      </c>
      <c r="CU2">
        <f t="shared" si="4"/>
        <v>2037</v>
      </c>
      <c r="CV2">
        <f t="shared" si="4"/>
        <v>2038</v>
      </c>
      <c r="CW2">
        <f t="shared" si="4"/>
        <v>2039</v>
      </c>
      <c r="CX2">
        <f t="shared" si="4"/>
        <v>2040</v>
      </c>
    </row>
    <row r="3" spans="1:102" x14ac:dyDescent="0.25">
      <c r="B3" t="s">
        <v>71</v>
      </c>
      <c r="CC3" s="2">
        <f>+CC5+CC11+CC27</f>
        <v>89614</v>
      </c>
      <c r="CD3" s="2">
        <f>+CD5+CD11+CD27</f>
        <v>104305</v>
      </c>
      <c r="CE3" s="2">
        <f>+CE5+CE11+CE27</f>
        <v>122372</v>
      </c>
      <c r="CF3" s="2">
        <f>+CF5+CF11+CF27</f>
        <v>106411</v>
      </c>
      <c r="CG3" s="2">
        <f t="shared" ref="CG3" si="5">+CG5+CG11+CG27</f>
        <v>102351</v>
      </c>
      <c r="CH3" s="2">
        <f>+CG3*1.05</f>
        <v>107468.55</v>
      </c>
      <c r="CI3" s="2">
        <f t="shared" ref="CI3:CS3" si="6">+CH3*1.05</f>
        <v>112841.97750000001</v>
      </c>
      <c r="CJ3" s="2">
        <f t="shared" si="6"/>
        <v>118484.07637500002</v>
      </c>
      <c r="CK3" s="2">
        <f t="shared" si="6"/>
        <v>124408.28019375002</v>
      </c>
      <c r="CL3" s="2">
        <f t="shared" si="6"/>
        <v>130628.69420343752</v>
      </c>
      <c r="CM3" s="2">
        <f t="shared" si="6"/>
        <v>137160.1289136094</v>
      </c>
      <c r="CN3" s="2">
        <f t="shared" si="6"/>
        <v>144018.13535928988</v>
      </c>
      <c r="CO3" s="2">
        <f t="shared" si="6"/>
        <v>151219.04212725439</v>
      </c>
      <c r="CP3" s="2">
        <f t="shared" si="6"/>
        <v>158779.99423361712</v>
      </c>
      <c r="CQ3" s="2">
        <f t="shared" si="6"/>
        <v>166718.99394529799</v>
      </c>
      <c r="CR3" s="2">
        <f t="shared" si="6"/>
        <v>175054.9436425629</v>
      </c>
      <c r="CS3" s="2">
        <f t="shared" si="6"/>
        <v>183807.69082469106</v>
      </c>
    </row>
    <row r="4" spans="1:102" ht="13" x14ac:dyDescent="0.3">
      <c r="B4" t="s">
        <v>72</v>
      </c>
      <c r="CC4" s="18">
        <f>+CC27/CC3</f>
        <v>0.80305532617671349</v>
      </c>
      <c r="CD4" s="18">
        <f>+CD27/CD3</f>
        <v>0.74653180576194811</v>
      </c>
      <c r="CE4" s="18">
        <f>+CE27/CE3</f>
        <v>0.64576863988494104</v>
      </c>
      <c r="CF4" s="18">
        <f>+CF27/CF3</f>
        <v>0.59255152192912386</v>
      </c>
      <c r="CG4" s="18">
        <f>+CG27/CG3</f>
        <v>0.52982384148664885</v>
      </c>
      <c r="CH4" s="4">
        <v>0.51</v>
      </c>
      <c r="CI4" s="4">
        <v>0.52</v>
      </c>
      <c r="CJ4" s="4">
        <v>0.53</v>
      </c>
      <c r="CK4" s="4">
        <v>0.53</v>
      </c>
      <c r="CL4" s="4">
        <v>0.54</v>
      </c>
      <c r="CM4" s="4">
        <v>0.54</v>
      </c>
      <c r="CN4" s="4">
        <v>0.54</v>
      </c>
      <c r="CO4" s="4">
        <v>0.55000000000000004</v>
      </c>
      <c r="CP4" s="4">
        <v>0.56000000000000005</v>
      </c>
      <c r="CQ4" s="4">
        <v>0.56000000000000005</v>
      </c>
      <c r="CR4" s="4">
        <v>0.56000000000000005</v>
      </c>
      <c r="CS4" s="4">
        <v>0.56000000000000005</v>
      </c>
    </row>
    <row r="5" spans="1:102" s="8" customFormat="1" ht="13" x14ac:dyDescent="0.3">
      <c r="B5" s="8" t="s">
        <v>36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E5" s="35"/>
      <c r="AF5" s="35"/>
      <c r="AG5" s="35"/>
      <c r="AH5" s="35"/>
      <c r="AI5" s="35"/>
      <c r="AJ5" s="35"/>
      <c r="AK5" s="25"/>
      <c r="AL5" s="35"/>
      <c r="AM5" s="35"/>
      <c r="AN5" s="35"/>
      <c r="AO5" s="35"/>
      <c r="AP5" s="35"/>
      <c r="AQ5" s="25"/>
      <c r="AR5" s="35"/>
      <c r="AS5" s="35"/>
      <c r="AT5" s="35"/>
      <c r="AU5" s="25"/>
      <c r="AV5" s="25"/>
      <c r="AW5" s="35"/>
      <c r="AX5" s="35"/>
      <c r="AY5" s="25"/>
      <c r="AZ5" s="35"/>
      <c r="BA5" s="35"/>
      <c r="BB5" s="35"/>
      <c r="BC5" s="35"/>
      <c r="BD5" s="35"/>
      <c r="BE5" s="35"/>
      <c r="BF5" s="35"/>
      <c r="BG5" s="35"/>
      <c r="BH5" s="25"/>
      <c r="BI5" s="35"/>
      <c r="BJ5" s="35"/>
      <c r="BK5" s="25"/>
      <c r="BL5" s="25"/>
      <c r="BP5" s="25"/>
      <c r="BR5" s="25"/>
      <c r="BS5" s="25"/>
      <c r="CC5" s="10">
        <v>10918</v>
      </c>
      <c r="CD5" s="10">
        <v>16675</v>
      </c>
      <c r="CE5" s="10">
        <v>26914</v>
      </c>
      <c r="CF5" s="10">
        <v>26923</v>
      </c>
      <c r="CG5" s="10">
        <f>+CF5</f>
        <v>26923</v>
      </c>
    </row>
    <row r="6" spans="1:102" s="8" customFormat="1" ht="13" x14ac:dyDescent="0.3">
      <c r="B6" s="8" t="s">
        <v>277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E6" s="41">
        <v>1.1819999999999999</v>
      </c>
      <c r="AF6" s="41">
        <v>3.9119999999999999</v>
      </c>
      <c r="AG6" s="41">
        <v>29.071000000000002</v>
      </c>
      <c r="AH6" s="41">
        <v>13.3</v>
      </c>
      <c r="AI6" s="41">
        <v>158.23699999999999</v>
      </c>
      <c r="AJ6" s="41">
        <v>374.505</v>
      </c>
      <c r="AK6" s="26">
        <v>735.26400000000001</v>
      </c>
      <c r="AL6" s="41">
        <v>1369.471</v>
      </c>
      <c r="AM6" s="41">
        <v>1909.4469999999999</v>
      </c>
      <c r="AN6" s="41">
        <v>1822.9449999999999</v>
      </c>
      <c r="AO6" s="41">
        <v>2010.0329999999999</v>
      </c>
      <c r="AP6" s="41">
        <v>2375.6869999999999</v>
      </c>
      <c r="AQ6" s="26">
        <v>3068.7710000000002</v>
      </c>
      <c r="AR6" s="41">
        <v>4097.8599999999997</v>
      </c>
      <c r="AS6" s="41">
        <v>3424.8589999999999</v>
      </c>
      <c r="AT6" s="41">
        <v>3326.4450000000002</v>
      </c>
      <c r="AU6" s="26">
        <v>3543.3090000000002</v>
      </c>
      <c r="AV6" s="26">
        <v>3997.93</v>
      </c>
      <c r="AW6" s="41">
        <v>4280.1589999999997</v>
      </c>
      <c r="AX6" s="41">
        <v>4130</v>
      </c>
      <c r="AY6" s="26">
        <v>4682</v>
      </c>
      <c r="AZ6" s="41">
        <v>5010</v>
      </c>
      <c r="BA6" s="41">
        <v>6910</v>
      </c>
      <c r="BB6" s="41">
        <v>9714</v>
      </c>
      <c r="BC6" s="41">
        <v>11716</v>
      </c>
      <c r="BD6" s="41">
        <v>10918</v>
      </c>
      <c r="BE6" s="41">
        <v>16675</v>
      </c>
      <c r="BF6" s="41">
        <v>26913</v>
      </c>
      <c r="BG6" s="41">
        <v>26977</v>
      </c>
      <c r="BH6" s="26">
        <v>60922</v>
      </c>
      <c r="BI6" s="41">
        <v>130497</v>
      </c>
      <c r="BJ6" s="41">
        <v>197220</v>
      </c>
      <c r="BK6" s="26">
        <v>300000</v>
      </c>
      <c r="BL6" s="25"/>
      <c r="BP6" s="25"/>
      <c r="BR6" s="25"/>
      <c r="BS6" s="25"/>
      <c r="CC6" s="10"/>
      <c r="CD6" s="10"/>
      <c r="CE6" s="10"/>
      <c r="CF6" s="10"/>
      <c r="CG6" s="10"/>
    </row>
    <row r="7" spans="1:102" s="8" customFormat="1" ht="13" x14ac:dyDescent="0.3">
      <c r="B7" s="8" t="s">
        <v>281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E7" s="41">
        <f>+AE6*AE10</f>
        <v>2.4822000000000002</v>
      </c>
      <c r="AF7" s="41">
        <f t="shared" ref="AF7:BK7" si="7">+AF6*AF10</f>
        <v>8.0587199999999992</v>
      </c>
      <c r="AG7" s="41">
        <f t="shared" si="7"/>
        <v>58.723420000000004</v>
      </c>
      <c r="AH7" s="41">
        <f t="shared" si="7"/>
        <v>25.935000000000002</v>
      </c>
      <c r="AI7" s="41">
        <f t="shared" si="7"/>
        <v>300.65029999999996</v>
      </c>
      <c r="AJ7" s="41">
        <f t="shared" si="7"/>
        <v>692.83425</v>
      </c>
      <c r="AK7" s="41">
        <f t="shared" si="7"/>
        <v>1345.5331200000001</v>
      </c>
      <c r="AL7" s="41">
        <f t="shared" si="7"/>
        <v>2437.6583799999999</v>
      </c>
      <c r="AM7" s="41">
        <f t="shared" si="7"/>
        <v>3284.2488399999997</v>
      </c>
      <c r="AN7" s="41">
        <f t="shared" si="7"/>
        <v>3007.8592499999995</v>
      </c>
      <c r="AO7" s="41">
        <f t="shared" si="7"/>
        <v>3216.0527999999999</v>
      </c>
      <c r="AP7" s="41">
        <f t="shared" si="7"/>
        <v>3682.3148499999998</v>
      </c>
      <c r="AQ7" s="41">
        <f t="shared" si="7"/>
        <v>4633.8442100000002</v>
      </c>
      <c r="AR7" s="41">
        <f t="shared" si="7"/>
        <v>6023.8541999999998</v>
      </c>
      <c r="AS7" s="41">
        <f t="shared" si="7"/>
        <v>4966.0455499999998</v>
      </c>
      <c r="AT7" s="41">
        <f t="shared" si="7"/>
        <v>4956.4030499999999</v>
      </c>
      <c r="AU7" s="41">
        <f t="shared" si="7"/>
        <v>5102.3649599999999</v>
      </c>
      <c r="AV7" s="41">
        <f t="shared" si="7"/>
        <v>5597.1019999999999</v>
      </c>
      <c r="AW7" s="41">
        <f t="shared" si="7"/>
        <v>5906.6194199999991</v>
      </c>
      <c r="AX7" s="41">
        <f t="shared" si="7"/>
        <v>5616.8</v>
      </c>
      <c r="AY7" s="41">
        <f t="shared" si="7"/>
        <v>6273.88</v>
      </c>
      <c r="AZ7" s="41">
        <f t="shared" si="7"/>
        <v>6663.3</v>
      </c>
      <c r="BA7" s="41">
        <f t="shared" si="7"/>
        <v>9052.1</v>
      </c>
      <c r="BB7" s="41">
        <f t="shared" si="7"/>
        <v>12531.06</v>
      </c>
      <c r="BC7" s="41">
        <f t="shared" si="7"/>
        <v>14996.48</v>
      </c>
      <c r="BD7" s="41">
        <f t="shared" si="7"/>
        <v>13647.5</v>
      </c>
      <c r="BE7" s="41">
        <f t="shared" si="7"/>
        <v>19343</v>
      </c>
      <c r="BF7" s="41">
        <f t="shared" si="7"/>
        <v>29604.300000000003</v>
      </c>
      <c r="BG7" s="41">
        <f t="shared" si="7"/>
        <v>28595.620000000003</v>
      </c>
      <c r="BH7" s="41">
        <f t="shared" si="7"/>
        <v>62749.66</v>
      </c>
      <c r="BI7" s="41">
        <f t="shared" si="7"/>
        <v>130497</v>
      </c>
      <c r="BJ7" s="41">
        <f t="shared" si="7"/>
        <v>197220</v>
      </c>
      <c r="BK7" s="41">
        <f t="shared" si="7"/>
        <v>300000</v>
      </c>
      <c r="BL7" s="25"/>
      <c r="BP7" s="25"/>
      <c r="BR7" s="25"/>
      <c r="BS7" s="25"/>
      <c r="CC7" s="10"/>
      <c r="CD7" s="10"/>
      <c r="CE7" s="10"/>
      <c r="CF7" s="10"/>
      <c r="CG7" s="10"/>
    </row>
    <row r="8" spans="1:102" s="8" customFormat="1" ht="13" x14ac:dyDescent="0.3">
      <c r="B8" s="8" t="s">
        <v>278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E8" s="41">
        <f>+AE9*AE27</f>
        <v>5.28</v>
      </c>
      <c r="AF8" s="41">
        <f t="shared" ref="AF8:AL8" si="8">+AF9*AF27</f>
        <v>34.860000000000007</v>
      </c>
      <c r="AG8" s="41">
        <f t="shared" si="8"/>
        <v>74.260000000000005</v>
      </c>
      <c r="AH8" s="41">
        <f t="shared" si="8"/>
        <v>180.18</v>
      </c>
      <c r="AI8" s="41">
        <f t="shared" si="8"/>
        <v>483.26</v>
      </c>
      <c r="AJ8" s="41">
        <f t="shared" si="8"/>
        <v>887.69999999999993</v>
      </c>
      <c r="AK8" s="26">
        <f>+AK9*AK27</f>
        <v>820.80000000000007</v>
      </c>
      <c r="AL8" s="41">
        <f>+AL9*AL27</f>
        <v>1288.2</v>
      </c>
      <c r="AM8" s="41">
        <f t="shared" ref="AM8" si="9">+AM9*AM27</f>
        <v>1497.25</v>
      </c>
      <c r="AN8" s="41">
        <f t="shared" ref="AN8" si="10">+AN9*AN27</f>
        <v>1983.03</v>
      </c>
      <c r="AO8" s="41">
        <f t="shared" ref="AO8" si="11">+AO9*AO27</f>
        <v>2948.06</v>
      </c>
      <c r="AP8" s="41">
        <f t="shared" ref="AP8" si="12">+AP9*AP27</f>
        <v>3360.15</v>
      </c>
      <c r="AQ8" s="26">
        <f>+AQ9*AQ27</f>
        <v>2808.84</v>
      </c>
      <c r="AR8" s="41">
        <f t="shared" ref="AR8" si="13">+AR9*AR27</f>
        <v>2916</v>
      </c>
      <c r="AS8" s="41">
        <f t="shared" ref="AS8" si="14">+AS9*AS27</f>
        <v>3511.8599999999997</v>
      </c>
      <c r="AT8" s="41">
        <f t="shared" ref="AT8:AV8" si="15">+AT9*AT27</f>
        <v>4887</v>
      </c>
      <c r="AU8" s="26">
        <f t="shared" si="15"/>
        <v>3972.15</v>
      </c>
      <c r="AV8" s="26">
        <f t="shared" si="15"/>
        <v>3605.25</v>
      </c>
      <c r="AW8" s="41">
        <f t="shared" ref="AW8" si="16">+AW9*AW27</f>
        <v>5244.25</v>
      </c>
      <c r="AX8" s="41">
        <f t="shared" ref="AX8:AZ8" si="17">+AX9*AX27</f>
        <v>7618.1378499999992</v>
      </c>
      <c r="AY8" s="26">
        <f t="shared" si="17"/>
        <v>7879.6191600000002</v>
      </c>
      <c r="AZ8" s="41">
        <f t="shared" si="17"/>
        <v>9724.7595199999996</v>
      </c>
      <c r="BA8" s="41">
        <f t="shared" ref="BA8" si="18">+BA9*BA27</f>
        <v>11135.07</v>
      </c>
      <c r="BB8" s="41">
        <f t="shared" ref="BB8" si="19">+BB9*BB27</f>
        <v>13149</v>
      </c>
      <c r="BC8" s="41">
        <f t="shared" ref="BC8" si="20">+BC9*BC27</f>
        <v>19144.760000000002</v>
      </c>
      <c r="BD8" s="41">
        <f t="shared" ref="BD8" si="21">+BD9*BD27</f>
        <v>24654.940000000002</v>
      </c>
      <c r="BE8" s="41">
        <f t="shared" ref="BE8" si="22">+BE9*BE27</f>
        <v>34024.200000000004</v>
      </c>
      <c r="BF8" s="41">
        <f t="shared" ref="BF8" si="23">+BF9*BF27</f>
        <v>42944.82</v>
      </c>
      <c r="BG8" s="41">
        <f t="shared" ref="BG8:BH8" si="24">+BG9*BG27</f>
        <v>50641.4</v>
      </c>
      <c r="BH8" s="26">
        <f t="shared" si="24"/>
        <v>51232.35</v>
      </c>
      <c r="BI8" s="41">
        <f t="shared" ref="BI8" si="25">+BI9*BI27</f>
        <v>55839.1</v>
      </c>
      <c r="BJ8" s="41">
        <f t="shared" ref="BJ8:BL8" si="26">+BJ9*BJ27</f>
        <v>62393.100000000006</v>
      </c>
      <c r="BK8" s="26">
        <f t="shared" si="26"/>
        <v>48566.37</v>
      </c>
      <c r="BL8" s="26">
        <f t="shared" si="26"/>
        <v>47639.92</v>
      </c>
      <c r="BM8" s="10">
        <f>+BM9*BM27</f>
        <v>51842.52</v>
      </c>
      <c r="BN8" s="10">
        <f>+BN9*BN27</f>
        <v>56444.85</v>
      </c>
      <c r="BO8" s="10">
        <f>+BO9*BO27</f>
        <v>62121.600000000006</v>
      </c>
      <c r="BP8" s="26">
        <f t="shared" ref="BP8" si="27">+BP9*BP27</f>
        <v>54842.1</v>
      </c>
      <c r="BQ8" s="10">
        <f>+BQ9*BQ27</f>
        <v>57884.340000000004</v>
      </c>
      <c r="BR8" s="26">
        <f t="shared" ref="BR8:CB8" si="28">+BR9*BR27</f>
        <v>55251.42</v>
      </c>
      <c r="BS8" s="26">
        <f t="shared" si="28"/>
        <v>50934.15</v>
      </c>
      <c r="BT8" s="10">
        <f t="shared" si="28"/>
        <v>64998.27</v>
      </c>
      <c r="BU8" s="10">
        <f t="shared" si="28"/>
        <v>77758.559999999998</v>
      </c>
      <c r="BV8" s="10">
        <f t="shared" si="28"/>
        <v>74677.399999999994</v>
      </c>
      <c r="BW8" s="10">
        <f t="shared" si="28"/>
        <v>72737.039999999994</v>
      </c>
      <c r="BX8" s="10">
        <f t="shared" si="28"/>
        <v>75983.200000000012</v>
      </c>
      <c r="BY8" s="10">
        <f t="shared" si="28"/>
        <v>74175.700000000012</v>
      </c>
      <c r="BZ8" s="10">
        <f t="shared" si="28"/>
        <v>78984.710000000006</v>
      </c>
      <c r="CA8" s="10">
        <f t="shared" si="28"/>
        <v>82216.91</v>
      </c>
      <c r="CB8" s="10">
        <f t="shared" si="28"/>
        <v>91393.919999999998</v>
      </c>
      <c r="CC8" s="10">
        <f t="shared" ref="CC8" si="29">+CC9*CC27</f>
        <v>92115.199999999997</v>
      </c>
      <c r="CD8" s="10">
        <f t="shared" ref="CD8" si="30">+CD9*CD27</f>
        <v>97333.75</v>
      </c>
      <c r="CE8" s="10">
        <f t="shared" ref="CE8" si="31">+CE9*CE27</f>
        <v>91667.839999999997</v>
      </c>
      <c r="CF8" s="10">
        <f t="shared" ref="CF8" si="32">+CF9*CF27</f>
        <v>69359.400000000009</v>
      </c>
      <c r="CG8" s="10">
        <f t="shared" ref="CG8" si="33">+CG9*CG27</f>
        <v>57481.68</v>
      </c>
      <c r="CH8" s="10">
        <f t="shared" ref="CH8" si="34">+CH9*CH27</f>
        <v>54287.592000000004</v>
      </c>
    </row>
    <row r="9" spans="1:102" s="20" customFormat="1" ht="13" x14ac:dyDescent="0.3">
      <c r="B9" s="20" t="s">
        <v>279</v>
      </c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E9" s="43">
        <v>8.8000000000000007</v>
      </c>
      <c r="AF9" s="43">
        <v>8.3000000000000007</v>
      </c>
      <c r="AG9" s="43">
        <v>7.9</v>
      </c>
      <c r="AH9" s="43">
        <v>7.7</v>
      </c>
      <c r="AI9" s="43">
        <v>7.3</v>
      </c>
      <c r="AJ9" s="43">
        <v>6.6</v>
      </c>
      <c r="AK9" s="27">
        <v>6</v>
      </c>
      <c r="AL9" s="43">
        <v>5.7</v>
      </c>
      <c r="AM9" s="43">
        <v>5.3</v>
      </c>
      <c r="AN9" s="43">
        <v>4.97</v>
      </c>
      <c r="AO9" s="43">
        <v>4.46</v>
      </c>
      <c r="AP9" s="43">
        <v>3.93</v>
      </c>
      <c r="AQ9" s="27">
        <v>3.56</v>
      </c>
      <c r="AR9" s="43">
        <v>3.24</v>
      </c>
      <c r="AS9" s="43">
        <v>3.13</v>
      </c>
      <c r="AT9" s="43">
        <v>3</v>
      </c>
      <c r="AU9" s="27">
        <v>2.91</v>
      </c>
      <c r="AV9" s="27">
        <v>2.85</v>
      </c>
      <c r="AW9" s="43">
        <v>2.75</v>
      </c>
      <c r="AX9" s="43">
        <v>2.65</v>
      </c>
      <c r="AY9" s="27">
        <v>2.52</v>
      </c>
      <c r="AZ9" s="43">
        <v>2.48</v>
      </c>
      <c r="BA9" s="43">
        <v>2.33</v>
      </c>
      <c r="BB9" s="43">
        <v>2.25</v>
      </c>
      <c r="BC9" s="43">
        <v>2.1800000000000002</v>
      </c>
      <c r="BD9" s="43">
        <v>2.14</v>
      </c>
      <c r="BE9" s="43">
        <v>2.1</v>
      </c>
      <c r="BF9" s="43">
        <v>2.06</v>
      </c>
      <c r="BG9" s="43">
        <v>2.02</v>
      </c>
      <c r="BH9" s="27">
        <v>1.95</v>
      </c>
      <c r="BI9" s="43">
        <v>1.9</v>
      </c>
      <c r="BJ9" s="43">
        <v>1.85</v>
      </c>
      <c r="BK9" s="27">
        <v>1.83</v>
      </c>
      <c r="BL9" s="27">
        <v>1.78</v>
      </c>
      <c r="BM9" s="20">
        <v>1.72</v>
      </c>
      <c r="BN9" s="20">
        <v>1.65</v>
      </c>
      <c r="BO9" s="20">
        <v>1.6</v>
      </c>
      <c r="BP9" s="27">
        <v>1.55</v>
      </c>
      <c r="BQ9" s="20">
        <v>1.51</v>
      </c>
      <c r="BR9" s="27">
        <v>1.47</v>
      </c>
      <c r="BS9" s="27">
        <v>1.45</v>
      </c>
      <c r="BT9" s="20">
        <v>1.49</v>
      </c>
      <c r="BU9" s="20">
        <v>1.44</v>
      </c>
      <c r="BV9" s="20">
        <v>1.4</v>
      </c>
      <c r="BW9" s="20">
        <v>1.38</v>
      </c>
      <c r="BX9" s="20">
        <v>1.36</v>
      </c>
      <c r="BY9" s="20">
        <v>1.34</v>
      </c>
      <c r="BZ9" s="20">
        <v>1.33</v>
      </c>
      <c r="CA9" s="20">
        <v>1.31</v>
      </c>
      <c r="CB9" s="20">
        <v>1.29</v>
      </c>
      <c r="CC9" s="20">
        <v>1.28</v>
      </c>
      <c r="CD9" s="20">
        <v>1.25</v>
      </c>
      <c r="CE9" s="20">
        <v>1.1599999999999999</v>
      </c>
      <c r="CF9" s="20">
        <v>1.1000000000000001</v>
      </c>
      <c r="CG9" s="20">
        <v>1.06</v>
      </c>
      <c r="CH9" s="20">
        <v>1.03</v>
      </c>
      <c r="CI9" s="20">
        <v>1</v>
      </c>
    </row>
    <row r="10" spans="1:102" s="20" customFormat="1" ht="13" x14ac:dyDescent="0.3">
      <c r="B10" s="20" t="s">
        <v>280</v>
      </c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E10" s="43">
        <v>2.1</v>
      </c>
      <c r="AF10" s="43">
        <v>2.06</v>
      </c>
      <c r="AG10" s="43">
        <v>2.02</v>
      </c>
      <c r="AH10" s="27">
        <v>1.95</v>
      </c>
      <c r="AI10" s="43">
        <v>1.9</v>
      </c>
      <c r="AJ10" s="43">
        <v>1.85</v>
      </c>
      <c r="AK10" s="27">
        <v>1.83</v>
      </c>
      <c r="AL10" s="27">
        <v>1.78</v>
      </c>
      <c r="AM10" s="20">
        <v>1.72</v>
      </c>
      <c r="AN10" s="20">
        <v>1.65</v>
      </c>
      <c r="AO10" s="20">
        <v>1.6</v>
      </c>
      <c r="AP10" s="27">
        <v>1.55</v>
      </c>
      <c r="AQ10" s="20">
        <v>1.51</v>
      </c>
      <c r="AR10" s="27">
        <v>1.47</v>
      </c>
      <c r="AS10" s="27">
        <v>1.45</v>
      </c>
      <c r="AT10" s="20">
        <v>1.49</v>
      </c>
      <c r="AU10" s="20">
        <v>1.44</v>
      </c>
      <c r="AV10" s="20">
        <v>1.4</v>
      </c>
      <c r="AW10" s="20">
        <v>1.38</v>
      </c>
      <c r="AX10" s="20">
        <v>1.36</v>
      </c>
      <c r="AY10" s="20">
        <v>1.34</v>
      </c>
      <c r="AZ10" s="20">
        <v>1.33</v>
      </c>
      <c r="BA10" s="20">
        <v>1.31</v>
      </c>
      <c r="BB10" s="20">
        <v>1.29</v>
      </c>
      <c r="BC10" s="20">
        <v>1.28</v>
      </c>
      <c r="BD10" s="20">
        <v>1.25</v>
      </c>
      <c r="BE10" s="20">
        <v>1.1599999999999999</v>
      </c>
      <c r="BF10" s="20">
        <v>1.1000000000000001</v>
      </c>
      <c r="BG10" s="20">
        <v>1.06</v>
      </c>
      <c r="BH10" s="20">
        <v>1.03</v>
      </c>
      <c r="BI10" s="20">
        <v>1</v>
      </c>
      <c r="BJ10" s="43">
        <v>1</v>
      </c>
      <c r="BK10" s="27">
        <v>1</v>
      </c>
      <c r="BL10" s="27"/>
      <c r="BP10" s="27"/>
      <c r="BR10" s="27"/>
      <c r="BS10" s="27"/>
    </row>
    <row r="11" spans="1:102" s="8" customFormat="1" ht="13" x14ac:dyDescent="0.3">
      <c r="B11" s="8" t="s">
        <v>70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E11" s="35"/>
      <c r="AF11" s="35"/>
      <c r="AG11" s="35"/>
      <c r="AH11" s="35"/>
      <c r="AI11" s="35"/>
      <c r="AJ11" s="35"/>
      <c r="AK11" s="25"/>
      <c r="AL11" s="35"/>
      <c r="AM11" s="35"/>
      <c r="AN11" s="35"/>
      <c r="AO11" s="35"/>
      <c r="AP11" s="35"/>
      <c r="AQ11" s="25"/>
      <c r="AR11" s="35"/>
      <c r="AS11" s="35"/>
      <c r="AT11" s="35"/>
      <c r="AU11" s="25"/>
      <c r="AV11" s="25"/>
      <c r="AW11" s="35"/>
      <c r="AX11" s="35"/>
      <c r="AY11" s="25"/>
      <c r="AZ11" s="35"/>
      <c r="BA11" s="35"/>
      <c r="BB11" s="35"/>
      <c r="BC11" s="35"/>
      <c r="BD11" s="35"/>
      <c r="BE11" s="35"/>
      <c r="BF11" s="35"/>
      <c r="BG11" s="35"/>
      <c r="BH11" s="25"/>
      <c r="BI11" s="35"/>
      <c r="BJ11" s="35"/>
      <c r="BK11" s="25"/>
      <c r="BL11" s="25"/>
      <c r="BP11" s="25"/>
      <c r="BR11" s="25"/>
      <c r="BS11" s="25"/>
      <c r="BW11" s="10">
        <v>5299</v>
      </c>
      <c r="BX11" s="10">
        <v>5506</v>
      </c>
      <c r="BY11" s="10">
        <v>3991</v>
      </c>
      <c r="BZ11" s="10">
        <v>4272</v>
      </c>
      <c r="CA11" s="10">
        <v>5329</v>
      </c>
      <c r="CB11" s="10">
        <v>6475</v>
      </c>
      <c r="CC11" s="10">
        <v>6731</v>
      </c>
      <c r="CD11" s="10">
        <v>9763</v>
      </c>
      <c r="CE11" s="10">
        <v>16434</v>
      </c>
      <c r="CF11" s="10">
        <f>+CE11</f>
        <v>16434</v>
      </c>
      <c r="CG11" s="10">
        <f>5300*4</f>
        <v>21200</v>
      </c>
    </row>
    <row r="12" spans="1:102" s="8" customFormat="1" ht="13" x14ac:dyDescent="0.3">
      <c r="B12" s="8" t="s">
        <v>98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E12" s="35"/>
      <c r="AF12" s="35"/>
      <c r="AG12" s="35"/>
      <c r="AH12" s="35"/>
      <c r="AI12" s="35"/>
      <c r="AJ12" s="35"/>
      <c r="AK12" s="25"/>
      <c r="AL12" s="35"/>
      <c r="AM12" s="35"/>
      <c r="AN12" s="35"/>
      <c r="AO12" s="35"/>
      <c r="AP12" s="35"/>
      <c r="AQ12" s="25"/>
      <c r="AR12" s="35"/>
      <c r="AS12" s="35"/>
      <c r="AT12" s="35"/>
      <c r="AU12" s="25"/>
      <c r="AV12" s="25"/>
      <c r="AW12" s="35"/>
      <c r="AX12" s="35"/>
      <c r="AY12" s="25"/>
      <c r="AZ12" s="35"/>
      <c r="BA12" s="35"/>
      <c r="BB12" s="35"/>
      <c r="BC12" s="35"/>
      <c r="BD12" s="35"/>
      <c r="BE12" s="35"/>
      <c r="BF12" s="35"/>
      <c r="BG12" s="35"/>
      <c r="BH12" s="25"/>
      <c r="BI12" s="35"/>
      <c r="BJ12" s="35"/>
      <c r="BK12" s="25"/>
      <c r="BL12" s="25"/>
      <c r="BP12" s="25"/>
      <c r="BR12" s="25"/>
      <c r="BS12" s="25"/>
      <c r="CC12" s="10"/>
      <c r="CD12" s="10"/>
      <c r="CE12" s="10"/>
      <c r="CF12" s="10"/>
      <c r="CG12" s="10"/>
    </row>
    <row r="13" spans="1:102" s="8" customFormat="1" ht="13" x14ac:dyDescent="0.3">
      <c r="B13" s="8" t="s">
        <v>99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E13" s="35"/>
      <c r="AF13" s="35"/>
      <c r="AG13" s="35"/>
      <c r="AH13" s="35"/>
      <c r="AI13" s="35"/>
      <c r="AJ13" s="35"/>
      <c r="AK13" s="25"/>
      <c r="AL13" s="35"/>
      <c r="AM13" s="35"/>
      <c r="AN13" s="35"/>
      <c r="AO13" s="35"/>
      <c r="AP13" s="35"/>
      <c r="AQ13" s="25"/>
      <c r="AR13" s="35"/>
      <c r="AS13" s="35"/>
      <c r="AT13" s="35"/>
      <c r="AU13" s="25"/>
      <c r="AV13" s="25"/>
      <c r="AW13" s="35"/>
      <c r="AX13" s="35"/>
      <c r="AY13" s="25"/>
      <c r="AZ13" s="35"/>
      <c r="BA13" s="35"/>
      <c r="BB13" s="35"/>
      <c r="BC13" s="35"/>
      <c r="BD13" s="35"/>
      <c r="BE13" s="35"/>
      <c r="BF13" s="35"/>
      <c r="BG13" s="35"/>
      <c r="BH13" s="25"/>
      <c r="BI13" s="35"/>
      <c r="BJ13" s="35"/>
      <c r="BK13" s="25"/>
      <c r="BL13" s="25"/>
      <c r="BP13" s="25"/>
      <c r="BR13" s="25"/>
      <c r="BS13" s="25"/>
      <c r="CC13" s="10"/>
      <c r="CD13" s="10"/>
      <c r="CE13" s="10"/>
      <c r="CF13" s="10"/>
      <c r="CG13" s="10"/>
    </row>
    <row r="14" spans="1:102" s="8" customFormat="1" ht="13" x14ac:dyDescent="0.3">
      <c r="B14" s="8" t="s">
        <v>101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E14" s="35"/>
      <c r="AF14" s="35"/>
      <c r="AG14" s="35"/>
      <c r="AH14" s="35"/>
      <c r="AI14" s="35"/>
      <c r="AJ14" s="35"/>
      <c r="AK14" s="25"/>
      <c r="AL14" s="35"/>
      <c r="AM14" s="35"/>
      <c r="AN14" s="35"/>
      <c r="AO14" s="35"/>
      <c r="AP14" s="35"/>
      <c r="AQ14" s="25"/>
      <c r="AR14" s="35"/>
      <c r="AS14" s="35"/>
      <c r="AT14" s="35"/>
      <c r="AU14" s="25"/>
      <c r="AV14" s="25"/>
      <c r="AW14" s="35"/>
      <c r="AX14" s="35"/>
      <c r="AY14" s="25"/>
      <c r="AZ14" s="35"/>
      <c r="BA14" s="35"/>
      <c r="BB14" s="35"/>
      <c r="BC14" s="35"/>
      <c r="BD14" s="35"/>
      <c r="BE14" s="35"/>
      <c r="BF14" s="35"/>
      <c r="BG14" s="35"/>
      <c r="BH14" s="25"/>
      <c r="BI14" s="35"/>
      <c r="BJ14" s="35"/>
      <c r="BK14" s="25"/>
      <c r="BL14" s="25"/>
      <c r="BP14" s="25"/>
      <c r="BR14" s="25"/>
      <c r="BS14" s="25"/>
      <c r="BW14" s="10">
        <f>+BW11+BW27</f>
        <v>58007</v>
      </c>
      <c r="BX14" s="10">
        <f t="shared" ref="BX14:CG14" si="35">+BX11+BX27</f>
        <v>61376</v>
      </c>
      <c r="BY14" s="10">
        <f t="shared" si="35"/>
        <v>59346</v>
      </c>
      <c r="BZ14" s="10">
        <f t="shared" si="35"/>
        <v>63659</v>
      </c>
      <c r="CA14" s="10">
        <f t="shared" si="35"/>
        <v>68090</v>
      </c>
      <c r="CB14" s="10">
        <f t="shared" si="35"/>
        <v>77323</v>
      </c>
      <c r="CC14" s="10">
        <f t="shared" si="35"/>
        <v>78696</v>
      </c>
      <c r="CD14" s="10">
        <f t="shared" si="35"/>
        <v>87630</v>
      </c>
      <c r="CE14" s="10">
        <f t="shared" si="35"/>
        <v>95458</v>
      </c>
      <c r="CF14" s="10">
        <f t="shared" si="35"/>
        <v>79488</v>
      </c>
      <c r="CG14" s="10">
        <f t="shared" si="35"/>
        <v>75428</v>
      </c>
    </row>
    <row r="15" spans="1:102" s="8" customFormat="1" ht="13" x14ac:dyDescent="0.3">
      <c r="B15" s="8" t="s">
        <v>102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E15" s="35"/>
      <c r="AF15" s="35"/>
      <c r="AG15" s="35"/>
      <c r="AH15" s="35"/>
      <c r="AI15" s="35"/>
      <c r="AJ15" s="35"/>
      <c r="AK15" s="25"/>
      <c r="AL15" s="35"/>
      <c r="AM15" s="35"/>
      <c r="AN15" s="35"/>
      <c r="AO15" s="35"/>
      <c r="AP15" s="35"/>
      <c r="AQ15" s="25"/>
      <c r="AR15" s="35"/>
      <c r="AS15" s="35"/>
      <c r="AT15" s="35"/>
      <c r="AU15" s="25"/>
      <c r="AV15" s="25"/>
      <c r="AW15" s="35"/>
      <c r="AX15" s="35"/>
      <c r="AY15" s="25"/>
      <c r="AZ15" s="35"/>
      <c r="BA15" s="35"/>
      <c r="BB15" s="35"/>
      <c r="BC15" s="35"/>
      <c r="BD15" s="35"/>
      <c r="BE15" s="35"/>
      <c r="BF15" s="35"/>
      <c r="BG15" s="35"/>
      <c r="BH15" s="25"/>
      <c r="BI15" s="35"/>
      <c r="BJ15" s="35"/>
      <c r="BK15" s="25"/>
      <c r="BL15" s="25"/>
      <c r="BP15" s="25"/>
      <c r="BR15" s="25"/>
      <c r="BS15" s="25"/>
      <c r="BW15" s="18">
        <f>+BW27/BW14</f>
        <v>0.90864895616046337</v>
      </c>
      <c r="BX15" s="18">
        <f t="shared" ref="BX15:CG15" si="36">+BX27/BX14</f>
        <v>0.91029066736183528</v>
      </c>
      <c r="BY15" s="18">
        <f t="shared" si="36"/>
        <v>0.93275031173120349</v>
      </c>
      <c r="BZ15" s="18">
        <f t="shared" si="36"/>
        <v>0.93289244254543746</v>
      </c>
      <c r="CA15" s="18">
        <f t="shared" si="36"/>
        <v>0.92173593772947571</v>
      </c>
      <c r="CB15" s="18">
        <f t="shared" si="36"/>
        <v>0.91626036237600716</v>
      </c>
      <c r="CC15" s="18">
        <f t="shared" si="36"/>
        <v>0.91446833384161841</v>
      </c>
      <c r="CD15" s="18">
        <f t="shared" si="36"/>
        <v>0.88858838297386744</v>
      </c>
      <c r="CE15" s="18">
        <f t="shared" si="36"/>
        <v>0.82784051624798338</v>
      </c>
      <c r="CF15" s="18">
        <f t="shared" si="36"/>
        <v>0.79325181159420288</v>
      </c>
      <c r="CG15" s="18">
        <f t="shared" si="36"/>
        <v>0.71893726467624752</v>
      </c>
    </row>
    <row r="16" spans="1:102" s="8" customFormat="1" ht="13" x14ac:dyDescent="0.3">
      <c r="B16" s="8" t="s">
        <v>100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E16" s="35"/>
      <c r="AF16" s="35"/>
      <c r="AG16" s="35"/>
      <c r="AH16" s="35"/>
      <c r="AI16" s="35"/>
      <c r="AJ16" s="35"/>
      <c r="AK16" s="25"/>
      <c r="AL16" s="35"/>
      <c r="AM16" s="35"/>
      <c r="AN16" s="35"/>
      <c r="AO16" s="35"/>
      <c r="AP16" s="35"/>
      <c r="AQ16" s="25"/>
      <c r="AR16" s="35"/>
      <c r="AS16" s="35"/>
      <c r="AT16" s="35"/>
      <c r="AU16" s="25"/>
      <c r="AV16" s="25"/>
      <c r="AW16" s="35"/>
      <c r="AX16" s="35"/>
      <c r="AY16" s="25"/>
      <c r="AZ16" s="35"/>
      <c r="BA16" s="35"/>
      <c r="BB16" s="35"/>
      <c r="BC16" s="35"/>
      <c r="BD16" s="35"/>
      <c r="BE16" s="35"/>
      <c r="BF16" s="35"/>
      <c r="BG16" s="35"/>
      <c r="BH16" s="25"/>
      <c r="BI16" s="35"/>
      <c r="BJ16" s="35"/>
      <c r="BK16" s="25"/>
      <c r="BL16" s="25"/>
      <c r="BP16" s="26">
        <v>239.2</v>
      </c>
      <c r="BQ16" s="10">
        <v>272.45</v>
      </c>
      <c r="BR16" s="26">
        <v>290.8</v>
      </c>
      <c r="BS16" s="26">
        <v>308.33999999999997</v>
      </c>
      <c r="BT16" s="10">
        <v>350.9</v>
      </c>
      <c r="BU16" s="10">
        <v>365.36</v>
      </c>
      <c r="BV16" s="10">
        <v>351.06</v>
      </c>
      <c r="BW16" s="10">
        <v>316.39999999999998</v>
      </c>
      <c r="BX16" s="10">
        <v>313.68</v>
      </c>
      <c r="BY16" s="10">
        <v>287.68</v>
      </c>
      <c r="BZ16" s="10">
        <v>269.7</v>
      </c>
      <c r="CA16" s="10">
        <v>262.60000000000002</v>
      </c>
      <c r="CB16" s="10">
        <v>259.7</v>
      </c>
      <c r="CC16" s="10">
        <v>262.55</v>
      </c>
      <c r="CD16" s="10">
        <v>309.08</v>
      </c>
      <c r="CE16" s="10">
        <v>341.73</v>
      </c>
      <c r="CF16" s="10">
        <v>284.05</v>
      </c>
      <c r="CG16" s="10">
        <v>241.89</v>
      </c>
    </row>
    <row r="17" spans="2:97" s="8" customFormat="1" ht="13" x14ac:dyDescent="0.3">
      <c r="B17" s="8" t="s">
        <v>104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E17" s="35"/>
      <c r="AF17" s="35"/>
      <c r="AG17" s="35"/>
      <c r="AH17" s="35"/>
      <c r="AI17" s="35"/>
      <c r="AJ17" s="35"/>
      <c r="AK17" s="25"/>
      <c r="AL17" s="35"/>
      <c r="AM17" s="35"/>
      <c r="AN17" s="35"/>
      <c r="AO17" s="35"/>
      <c r="AP17" s="35"/>
      <c r="AQ17" s="25"/>
      <c r="AR17" s="35"/>
      <c r="AS17" s="35"/>
      <c r="AT17" s="35"/>
      <c r="AU17" s="25"/>
      <c r="AV17" s="25"/>
      <c r="AW17" s="35"/>
      <c r="AX17" s="35"/>
      <c r="AY17" s="25"/>
      <c r="AZ17" s="35"/>
      <c r="BA17" s="35"/>
      <c r="BB17" s="35"/>
      <c r="BC17" s="35"/>
      <c r="BD17" s="35"/>
      <c r="BE17" s="35"/>
      <c r="BF17" s="35"/>
      <c r="BG17" s="35"/>
      <c r="BH17" s="25"/>
      <c r="BI17" s="35"/>
      <c r="BJ17" s="35"/>
      <c r="BK17" s="25"/>
      <c r="BL17" s="25"/>
      <c r="BP17" s="27">
        <f>+BP27/BP16</f>
        <v>147.91806020066889</v>
      </c>
      <c r="BQ17" s="20">
        <f t="shared" ref="BQ17:CG17" si="37">+BQ27/BQ16</f>
        <v>140.7010460634979</v>
      </c>
      <c r="BR17" s="27">
        <f t="shared" si="37"/>
        <v>129.2503438789546</v>
      </c>
      <c r="BS17" s="27">
        <f t="shared" si="37"/>
        <v>113.92294220665499</v>
      </c>
      <c r="BT17" s="20">
        <f t="shared" si="37"/>
        <v>124.31746936449132</v>
      </c>
      <c r="BU17" s="20">
        <f t="shared" si="37"/>
        <v>147.79669367199475</v>
      </c>
      <c r="BV17" s="20">
        <f t="shared" si="37"/>
        <v>151.94268785962512</v>
      </c>
      <c r="BW17" s="20">
        <f t="shared" si="37"/>
        <v>166.5865992414665</v>
      </c>
      <c r="BX17" s="20">
        <f t="shared" si="37"/>
        <v>178.11145116041826</v>
      </c>
      <c r="BY17" s="20">
        <f t="shared" si="37"/>
        <v>192.41865962180199</v>
      </c>
      <c r="BZ17" s="20">
        <f t="shared" si="37"/>
        <v>220.19651464590285</v>
      </c>
      <c r="CA17" s="20">
        <f t="shared" si="37"/>
        <v>238.99847677075397</v>
      </c>
      <c r="CB17" s="20">
        <f t="shared" si="37"/>
        <v>272.80708509819021</v>
      </c>
      <c r="CC17" s="20">
        <f t="shared" si="37"/>
        <v>274.10017139592458</v>
      </c>
      <c r="CD17" s="20">
        <f t="shared" si="37"/>
        <v>251.93153876019156</v>
      </c>
      <c r="CE17" s="20">
        <f t="shared" si="37"/>
        <v>231.24689082023818</v>
      </c>
      <c r="CF17" s="20">
        <f t="shared" si="37"/>
        <v>221.9820454145397</v>
      </c>
      <c r="CG17" s="20">
        <f t="shared" si="37"/>
        <v>224.18454669477862</v>
      </c>
    </row>
    <row r="18" spans="2:97" s="8" customFormat="1" ht="13" x14ac:dyDescent="0.3"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E18" s="35"/>
      <c r="AF18" s="35"/>
      <c r="AG18" s="35"/>
      <c r="AH18" s="35"/>
      <c r="AI18" s="35"/>
      <c r="AJ18" s="35"/>
      <c r="AK18" s="25"/>
      <c r="AL18" s="35"/>
      <c r="AM18" s="35"/>
      <c r="AN18" s="35"/>
      <c r="AO18" s="35"/>
      <c r="AP18" s="35"/>
      <c r="AQ18" s="25"/>
      <c r="AR18" s="35"/>
      <c r="AS18" s="35"/>
      <c r="AT18" s="35"/>
      <c r="AU18" s="25"/>
      <c r="AV18" s="25"/>
      <c r="AW18" s="35"/>
      <c r="AX18" s="35"/>
      <c r="AY18" s="25"/>
      <c r="AZ18" s="35"/>
      <c r="BA18" s="35"/>
      <c r="BB18" s="35"/>
      <c r="BC18" s="35"/>
      <c r="BD18" s="35"/>
      <c r="BE18" s="35"/>
      <c r="BF18" s="35"/>
      <c r="BG18" s="35"/>
      <c r="BH18" s="25"/>
      <c r="BI18" s="35"/>
      <c r="BJ18" s="35"/>
      <c r="BK18" s="25"/>
      <c r="BL18" s="25"/>
      <c r="BP18" s="25"/>
      <c r="BR18" s="25"/>
      <c r="BS18" s="25"/>
      <c r="CD18" s="10"/>
      <c r="CE18" s="10"/>
      <c r="CF18" s="10"/>
    </row>
    <row r="19" spans="2:97" x14ac:dyDescent="0.25">
      <c r="B19" t="s">
        <v>60</v>
      </c>
      <c r="K19" s="5">
        <v>156</v>
      </c>
      <c r="L19" s="3">
        <v>57</v>
      </c>
      <c r="O19" s="5">
        <v>118</v>
      </c>
      <c r="P19" s="5">
        <v>4172</v>
      </c>
      <c r="Q19" s="5">
        <v>4732</v>
      </c>
      <c r="T19" s="5">
        <v>4320</v>
      </c>
      <c r="U19" s="5">
        <v>4352</v>
      </c>
      <c r="CD19" s="2">
        <v>700</v>
      </c>
      <c r="CE19" s="2">
        <v>800</v>
      </c>
      <c r="CF19" s="2">
        <v>900</v>
      </c>
    </row>
    <row r="20" spans="2:97" x14ac:dyDescent="0.25">
      <c r="B20" t="s">
        <v>59</v>
      </c>
      <c r="K20" s="5">
        <v>268</v>
      </c>
      <c r="L20" s="3">
        <v>220</v>
      </c>
      <c r="O20" s="5">
        <v>165</v>
      </c>
      <c r="P20" s="3">
        <v>848</v>
      </c>
      <c r="Q20" s="3">
        <v>735</v>
      </c>
      <c r="T20" s="3">
        <v>361</v>
      </c>
      <c r="U20" s="3">
        <v>412</v>
      </c>
      <c r="CD20" s="2">
        <v>700</v>
      </c>
      <c r="CE20" s="2">
        <v>800</v>
      </c>
      <c r="CF20" s="2">
        <v>800</v>
      </c>
    </row>
    <row r="21" spans="2:97" x14ac:dyDescent="0.25">
      <c r="B21" t="s">
        <v>58</v>
      </c>
      <c r="K21" s="5">
        <v>394</v>
      </c>
      <c r="L21" s="3">
        <v>460</v>
      </c>
      <c r="O21" s="5">
        <v>458</v>
      </c>
      <c r="P21" s="5">
        <v>454</v>
      </c>
      <c r="Q21" s="3">
        <v>530</v>
      </c>
      <c r="T21" s="5">
        <v>440</v>
      </c>
      <c r="U21" s="5">
        <v>485</v>
      </c>
      <c r="CD21" s="2">
        <v>1000</v>
      </c>
      <c r="CE21" s="2">
        <v>1400</v>
      </c>
      <c r="CF21" s="2">
        <v>1900</v>
      </c>
    </row>
    <row r="22" spans="2:97" x14ac:dyDescent="0.25">
      <c r="B22" t="s">
        <v>57</v>
      </c>
      <c r="K22" s="5">
        <v>2139</v>
      </c>
      <c r="L22" s="3">
        <v>2211</v>
      </c>
      <c r="O22" s="5">
        <v>1489</v>
      </c>
      <c r="P22" s="5">
        <v>1364</v>
      </c>
      <c r="Q22" s="5">
        <v>1450</v>
      </c>
      <c r="T22" s="5">
        <v>1344</v>
      </c>
      <c r="U22" s="5">
        <v>1511</v>
      </c>
      <c r="CD22" s="2">
        <v>7100</v>
      </c>
      <c r="CE22" s="2">
        <v>8000</v>
      </c>
      <c r="CF22" s="2">
        <v>8900</v>
      </c>
    </row>
    <row r="23" spans="2:97" x14ac:dyDescent="0.25">
      <c r="B23" t="s">
        <v>56</v>
      </c>
      <c r="K23" s="5">
        <v>6074</v>
      </c>
      <c r="L23" s="5">
        <v>4695</v>
      </c>
      <c r="O23" s="5">
        <v>3718</v>
      </c>
      <c r="P23" s="5">
        <v>3155</v>
      </c>
      <c r="Q23" s="5">
        <v>3076</v>
      </c>
      <c r="R23" s="5"/>
      <c r="S23" s="5"/>
      <c r="T23" s="5">
        <v>3045</v>
      </c>
      <c r="U23" s="5">
        <v>3349</v>
      </c>
      <c r="CD23" s="2">
        <v>23400</v>
      </c>
      <c r="CE23" s="2">
        <v>22700</v>
      </c>
      <c r="CF23" s="2">
        <v>19200</v>
      </c>
    </row>
    <row r="24" spans="2:97" x14ac:dyDescent="0.25">
      <c r="B24" t="s">
        <v>55</v>
      </c>
      <c r="K24" s="5">
        <v>722</v>
      </c>
      <c r="L24" s="5">
        <v>638</v>
      </c>
      <c r="O24" s="5">
        <v>481</v>
      </c>
      <c r="P24" s="3">
        <v>514</v>
      </c>
      <c r="Q24" s="3">
        <v>611</v>
      </c>
      <c r="T24" s="3">
        <v>403</v>
      </c>
      <c r="U24" s="3">
        <v>372</v>
      </c>
      <c r="CD24" s="2">
        <v>4500</v>
      </c>
      <c r="CE24" s="2">
        <v>3200</v>
      </c>
      <c r="CF24" s="2">
        <v>2300</v>
      </c>
    </row>
    <row r="25" spans="2:97" s="2" customFormat="1" x14ac:dyDescent="0.25">
      <c r="B25" s="2" t="s">
        <v>54</v>
      </c>
      <c r="C25" s="5"/>
      <c r="D25" s="5"/>
      <c r="E25" s="5"/>
      <c r="F25" s="5"/>
      <c r="G25" s="5"/>
      <c r="H25" s="5"/>
      <c r="I25" s="5"/>
      <c r="J25" s="5"/>
      <c r="K25" s="5">
        <v>2641</v>
      </c>
      <c r="L25" s="5">
        <v>2289</v>
      </c>
      <c r="M25" s="5"/>
      <c r="N25" s="5"/>
      <c r="O25" s="5">
        <v>1879</v>
      </c>
      <c r="P25" s="5">
        <v>2370</v>
      </c>
      <c r="Q25" s="5">
        <v>2753</v>
      </c>
      <c r="R25" s="5"/>
      <c r="S25" s="5"/>
      <c r="T25" s="5">
        <v>2527</v>
      </c>
      <c r="U25" s="5">
        <v>2070</v>
      </c>
      <c r="V25" s="5"/>
      <c r="W25" s="5"/>
      <c r="X25" s="5"/>
      <c r="Y25" s="5"/>
      <c r="Z25" s="5"/>
      <c r="AE25" s="36"/>
      <c r="AF25" s="36"/>
      <c r="AG25" s="36"/>
      <c r="AH25" s="36"/>
      <c r="AI25" s="36"/>
      <c r="AJ25" s="36"/>
      <c r="AK25" s="28"/>
      <c r="AL25" s="36"/>
      <c r="AM25" s="36"/>
      <c r="AN25" s="36"/>
      <c r="AO25" s="36"/>
      <c r="AP25" s="36"/>
      <c r="AQ25" s="28"/>
      <c r="AR25" s="36"/>
      <c r="AS25" s="36"/>
      <c r="AT25" s="36"/>
      <c r="AU25" s="28"/>
      <c r="AV25" s="28"/>
      <c r="AW25" s="36"/>
      <c r="AX25" s="36"/>
      <c r="AY25" s="28"/>
      <c r="AZ25" s="36"/>
      <c r="BA25" s="36"/>
      <c r="BB25" s="36"/>
      <c r="BC25" s="36"/>
      <c r="BD25" s="36"/>
      <c r="BE25" s="36"/>
      <c r="BF25" s="36"/>
      <c r="BG25" s="36"/>
      <c r="BH25" s="28"/>
      <c r="BI25" s="36"/>
      <c r="BJ25" s="36"/>
      <c r="BK25" s="28"/>
      <c r="BL25" s="28"/>
      <c r="BP25" s="28"/>
      <c r="BR25" s="28"/>
      <c r="BS25" s="28"/>
      <c r="CD25" s="2">
        <v>11200</v>
      </c>
      <c r="CE25" s="2">
        <v>12400</v>
      </c>
      <c r="CF25" s="2">
        <v>10700</v>
      </c>
    </row>
    <row r="26" spans="2:97" s="2" customFormat="1" x14ac:dyDescent="0.25">
      <c r="B26" s="2" t="s">
        <v>53</v>
      </c>
      <c r="C26" s="5"/>
      <c r="D26" s="5"/>
      <c r="E26" s="5"/>
      <c r="F26" s="5"/>
      <c r="G26" s="5"/>
      <c r="H26" s="5"/>
      <c r="I26" s="5"/>
      <c r="J26" s="5"/>
      <c r="K26" s="5">
        <v>5959</v>
      </c>
      <c r="L26" s="5">
        <v>4751</v>
      </c>
      <c r="M26" s="5"/>
      <c r="N26" s="5"/>
      <c r="O26" s="5">
        <v>3407</v>
      </c>
      <c r="P26" s="5">
        <v>3896</v>
      </c>
      <c r="Q26" s="5">
        <v>4503</v>
      </c>
      <c r="R26" s="5"/>
      <c r="S26" s="5"/>
      <c r="T26" s="5">
        <v>4480</v>
      </c>
      <c r="U26" s="5">
        <v>4888</v>
      </c>
      <c r="V26" s="5"/>
      <c r="W26" s="5"/>
      <c r="X26" s="5"/>
      <c r="Y26" s="5"/>
      <c r="Z26" s="5"/>
      <c r="AE26" s="36"/>
      <c r="AF26" s="36"/>
      <c r="AG26" s="36"/>
      <c r="AH26" s="36"/>
      <c r="AI26" s="36"/>
      <c r="AJ26" s="36"/>
      <c r="AK26" s="28"/>
      <c r="AL26" s="36"/>
      <c r="AM26" s="36"/>
      <c r="AN26" s="36"/>
      <c r="AO26" s="36"/>
      <c r="AP26" s="36"/>
      <c r="AQ26" s="28"/>
      <c r="AR26" s="36"/>
      <c r="AS26" s="36"/>
      <c r="AT26" s="36"/>
      <c r="AU26" s="28"/>
      <c r="AV26" s="28"/>
      <c r="AW26" s="36"/>
      <c r="AX26" s="36"/>
      <c r="AY26" s="28"/>
      <c r="AZ26" s="36"/>
      <c r="BA26" s="36"/>
      <c r="BB26" s="36"/>
      <c r="BC26" s="36"/>
      <c r="BD26" s="36"/>
      <c r="BE26" s="36"/>
      <c r="BF26" s="36"/>
      <c r="BG26" s="36"/>
      <c r="BH26" s="28"/>
      <c r="BI26" s="36"/>
      <c r="BJ26" s="36"/>
      <c r="BK26" s="28"/>
      <c r="BL26" s="28"/>
      <c r="BP26" s="28"/>
      <c r="BR26" s="28"/>
      <c r="BS26" s="28"/>
      <c r="CD26" s="2">
        <v>24900</v>
      </c>
      <c r="CE26" s="2">
        <v>25400</v>
      </c>
      <c r="CF26" s="2">
        <v>18800</v>
      </c>
    </row>
    <row r="27" spans="2:97" s="6" customFormat="1" ht="13" x14ac:dyDescent="0.3">
      <c r="B27" s="6" t="s">
        <v>8</v>
      </c>
      <c r="C27" s="7"/>
      <c r="D27" s="7"/>
      <c r="E27" s="7"/>
      <c r="F27" s="7"/>
      <c r="G27" s="7">
        <v>19673</v>
      </c>
      <c r="H27" s="7">
        <v>19631</v>
      </c>
      <c r="I27" s="7">
        <v>19192</v>
      </c>
      <c r="J27" s="7">
        <v>20528</v>
      </c>
      <c r="K27" s="7">
        <v>18353</v>
      </c>
      <c r="L27" s="7">
        <v>15321</v>
      </c>
      <c r="M27" s="7">
        <v>15338</v>
      </c>
      <c r="N27" s="7">
        <v>14042</v>
      </c>
      <c r="O27" s="7">
        <v>11715</v>
      </c>
      <c r="P27" s="7">
        <v>12949</v>
      </c>
      <c r="Q27" s="7">
        <v>14158</v>
      </c>
      <c r="R27" s="7">
        <v>15406</v>
      </c>
      <c r="S27" s="7">
        <v>12724</v>
      </c>
      <c r="T27" s="7">
        <v>12833</v>
      </c>
      <c r="U27" s="7">
        <v>13284</v>
      </c>
      <c r="V27" s="7">
        <f>+R27*0.9</f>
        <v>13865.4</v>
      </c>
      <c r="W27" s="7">
        <f>+S27*0.97</f>
        <v>12342.279999999999</v>
      </c>
      <c r="X27" s="7">
        <f>+T27*0.9</f>
        <v>11549.7</v>
      </c>
      <c r="Y27" s="7">
        <f>+U27*0.9</f>
        <v>11955.6</v>
      </c>
      <c r="Z27" s="7">
        <f>+V27*0.9</f>
        <v>12478.86</v>
      </c>
      <c r="AE27" s="37">
        <v>0.6</v>
      </c>
      <c r="AF27" s="37">
        <v>4.2</v>
      </c>
      <c r="AG27" s="37">
        <v>9.4</v>
      </c>
      <c r="AH27" s="37">
        <v>23.4</v>
      </c>
      <c r="AI27" s="37">
        <v>66.2</v>
      </c>
      <c r="AJ27" s="37">
        <v>134.5</v>
      </c>
      <c r="AK27" s="29">
        <v>136.80000000000001</v>
      </c>
      <c r="AL27" s="37">
        <v>226</v>
      </c>
      <c r="AM27" s="37">
        <v>282.5</v>
      </c>
      <c r="AN27" s="37">
        <v>399</v>
      </c>
      <c r="AO27" s="37">
        <v>661</v>
      </c>
      <c r="AP27" s="37">
        <v>855</v>
      </c>
      <c r="AQ27" s="29">
        <v>789</v>
      </c>
      <c r="AR27" s="37">
        <v>900</v>
      </c>
      <c r="AS27" s="37">
        <v>1122</v>
      </c>
      <c r="AT27" s="37">
        <v>1629</v>
      </c>
      <c r="AU27" s="29">
        <v>1365</v>
      </c>
      <c r="AV27" s="29">
        <v>1265</v>
      </c>
      <c r="AW27" s="37">
        <v>1907</v>
      </c>
      <c r="AX27" s="37">
        <v>2874.7689999999998</v>
      </c>
      <c r="AY27" s="29">
        <v>3126.8330000000001</v>
      </c>
      <c r="AZ27" s="37">
        <v>3921.2739999999999</v>
      </c>
      <c r="BA27" s="37">
        <v>4779</v>
      </c>
      <c r="BB27" s="37">
        <v>5844</v>
      </c>
      <c r="BC27" s="37">
        <v>8782</v>
      </c>
      <c r="BD27" s="37">
        <v>11521</v>
      </c>
      <c r="BE27" s="37">
        <v>16202</v>
      </c>
      <c r="BF27" s="37">
        <v>20847</v>
      </c>
      <c r="BG27" s="37">
        <v>25070</v>
      </c>
      <c r="BH27" s="29">
        <v>26273</v>
      </c>
      <c r="BI27" s="37">
        <v>29389</v>
      </c>
      <c r="BJ27" s="37">
        <v>33726</v>
      </c>
      <c r="BK27" s="29">
        <v>26539</v>
      </c>
      <c r="BL27" s="29">
        <v>26764</v>
      </c>
      <c r="BM27" s="6">
        <v>30141</v>
      </c>
      <c r="BN27" s="6">
        <v>34209</v>
      </c>
      <c r="BO27" s="6">
        <v>38826</v>
      </c>
      <c r="BP27" s="29">
        <v>35382</v>
      </c>
      <c r="BQ27" s="6">
        <v>38334</v>
      </c>
      <c r="BR27" s="29">
        <v>37586</v>
      </c>
      <c r="BS27" s="29">
        <v>35127</v>
      </c>
      <c r="BT27" s="6">
        <v>43623</v>
      </c>
      <c r="BU27" s="6">
        <v>53999</v>
      </c>
      <c r="BV27" s="6">
        <v>53341</v>
      </c>
      <c r="BW27" s="6">
        <v>52708</v>
      </c>
      <c r="BX27" s="6">
        <v>55870</v>
      </c>
      <c r="BY27" s="6">
        <v>55355</v>
      </c>
      <c r="BZ27" s="6">
        <v>59387</v>
      </c>
      <c r="CA27" s="6">
        <v>62761</v>
      </c>
      <c r="CB27" s="6">
        <v>70848</v>
      </c>
      <c r="CC27" s="6">
        <v>71965</v>
      </c>
      <c r="CD27" s="6">
        <v>77867</v>
      </c>
      <c r="CE27" s="6">
        <v>79024</v>
      </c>
      <c r="CF27" s="6">
        <v>63054</v>
      </c>
      <c r="CG27" s="6">
        <f>SUM(O27:R27)</f>
        <v>54228</v>
      </c>
      <c r="CH27" s="6">
        <f>SUM(S27:V27)</f>
        <v>52706.400000000001</v>
      </c>
      <c r="CI27" s="6">
        <f t="shared" ref="CI27:CS27" si="38">+CI4*CI3</f>
        <v>58677.828300000008</v>
      </c>
      <c r="CJ27" s="6">
        <f t="shared" si="38"/>
        <v>62796.560478750012</v>
      </c>
      <c r="CK27" s="6">
        <f t="shared" si="38"/>
        <v>65936.388502687507</v>
      </c>
      <c r="CL27" s="6">
        <f t="shared" si="38"/>
        <v>70539.494869856266</v>
      </c>
      <c r="CM27" s="6">
        <f t="shared" si="38"/>
        <v>74066.46961334908</v>
      </c>
      <c r="CN27" s="6">
        <f t="shared" si="38"/>
        <v>77769.793094016539</v>
      </c>
      <c r="CO27" s="6">
        <f t="shared" si="38"/>
        <v>83170.473169989928</v>
      </c>
      <c r="CP27" s="6">
        <f t="shared" si="38"/>
        <v>88916.796770825604</v>
      </c>
      <c r="CQ27" s="6">
        <f t="shared" si="38"/>
        <v>93362.636609366877</v>
      </c>
      <c r="CR27" s="6">
        <f t="shared" si="38"/>
        <v>98030.768439835228</v>
      </c>
      <c r="CS27" s="6">
        <f t="shared" si="38"/>
        <v>102932.306861827</v>
      </c>
    </row>
    <row r="28" spans="2:97" s="2" customFormat="1" x14ac:dyDescent="0.25">
      <c r="B28" s="2" t="s">
        <v>26</v>
      </c>
      <c r="C28" s="5"/>
      <c r="D28" s="5"/>
      <c r="E28" s="5"/>
      <c r="F28" s="5"/>
      <c r="G28" s="5">
        <v>8819</v>
      </c>
      <c r="H28" s="5">
        <v>8425</v>
      </c>
      <c r="I28" s="5">
        <v>8446</v>
      </c>
      <c r="J28" s="5">
        <v>9519</v>
      </c>
      <c r="K28" s="5">
        <v>9109</v>
      </c>
      <c r="L28" s="5">
        <v>9734</v>
      </c>
      <c r="M28" s="5">
        <v>8803</v>
      </c>
      <c r="N28" s="5">
        <v>8542</v>
      </c>
      <c r="O28" s="5">
        <v>7707</v>
      </c>
      <c r="P28" s="5">
        <v>8311</v>
      </c>
      <c r="Q28" s="5">
        <v>8140</v>
      </c>
      <c r="R28" s="5">
        <v>8359</v>
      </c>
      <c r="S28" s="5">
        <v>7507</v>
      </c>
      <c r="T28" s="5">
        <v>8286</v>
      </c>
      <c r="U28" s="5">
        <v>11287</v>
      </c>
      <c r="V28" s="5">
        <f>+V27-V29</f>
        <v>8319.24</v>
      </c>
      <c r="W28" s="5">
        <f>+W27-W29</f>
        <v>7158.5223999999998</v>
      </c>
      <c r="X28" s="5">
        <f>+X27-X29</f>
        <v>6929.8200000000006</v>
      </c>
      <c r="Y28" s="5">
        <f>+Y27-Y29</f>
        <v>7173.36</v>
      </c>
      <c r="Z28" s="5">
        <f>+Z27-Z29</f>
        <v>7487.3159999999998</v>
      </c>
      <c r="AE28" s="36"/>
      <c r="AF28" s="36"/>
      <c r="AG28" s="36"/>
      <c r="AH28" s="36"/>
      <c r="AI28" s="36"/>
      <c r="AJ28" s="36"/>
      <c r="AK28" s="28"/>
      <c r="AL28" s="36"/>
      <c r="AM28" s="36"/>
      <c r="AN28" s="36"/>
      <c r="AO28" s="36"/>
      <c r="AP28" s="36"/>
      <c r="AQ28" s="28"/>
      <c r="AR28" s="36"/>
      <c r="AS28" s="36"/>
      <c r="AT28" s="36"/>
      <c r="AU28" s="28"/>
      <c r="AV28" s="28"/>
      <c r="AW28" s="36"/>
      <c r="AX28" s="36">
        <v>1505.925</v>
      </c>
      <c r="AY28" s="28">
        <v>1720.979</v>
      </c>
      <c r="AZ28" s="36">
        <v>1930.288</v>
      </c>
      <c r="BA28" s="36">
        <v>2316</v>
      </c>
      <c r="BB28" s="36">
        <v>2557</v>
      </c>
      <c r="BC28" s="36">
        <v>3252</v>
      </c>
      <c r="BD28" s="36">
        <v>5576</v>
      </c>
      <c r="BE28" s="36">
        <v>7811</v>
      </c>
      <c r="BF28" s="36">
        <v>9164</v>
      </c>
      <c r="BG28" s="36">
        <v>9945</v>
      </c>
      <c r="BH28" s="28">
        <v>12088</v>
      </c>
      <c r="BI28" s="36">
        <v>11836</v>
      </c>
      <c r="BJ28" s="36">
        <v>12650</v>
      </c>
      <c r="BK28" s="28">
        <v>13487</v>
      </c>
      <c r="BL28" s="28">
        <v>13446</v>
      </c>
      <c r="BM28" s="2">
        <v>13047</v>
      </c>
      <c r="BN28" s="2">
        <v>14463</v>
      </c>
      <c r="BO28" s="2">
        <v>15777</v>
      </c>
      <c r="BP28" s="28">
        <v>17164</v>
      </c>
      <c r="BQ28" s="2">
        <v>18430</v>
      </c>
      <c r="BR28" s="28">
        <v>16742</v>
      </c>
      <c r="BS28" s="28">
        <v>15566</v>
      </c>
      <c r="BT28" s="2">
        <v>15132</v>
      </c>
      <c r="BU28" s="2">
        <v>20242</v>
      </c>
      <c r="BV28" s="2">
        <v>20190</v>
      </c>
      <c r="BW28" s="2">
        <v>21187</v>
      </c>
      <c r="BX28" s="2">
        <v>20261</v>
      </c>
      <c r="BY28" s="2">
        <v>20676</v>
      </c>
      <c r="BZ28" s="2">
        <v>23196</v>
      </c>
      <c r="CA28" s="2">
        <v>23692</v>
      </c>
      <c r="CB28" s="2">
        <v>27111</v>
      </c>
      <c r="CC28" s="2">
        <v>29825</v>
      </c>
      <c r="CD28" s="2">
        <v>34255</v>
      </c>
      <c r="CE28" s="2">
        <v>35209</v>
      </c>
      <c r="CF28" s="2">
        <v>36188</v>
      </c>
      <c r="CG28" s="2">
        <f>SUM(O28:R28)</f>
        <v>32517</v>
      </c>
      <c r="CH28" s="2">
        <f>SUM(S28:V28)</f>
        <v>35399.24</v>
      </c>
    </row>
    <row r="29" spans="2:97" s="2" customFormat="1" x14ac:dyDescent="0.25">
      <c r="B29" s="2" t="s">
        <v>25</v>
      </c>
      <c r="C29" s="5"/>
      <c r="D29" s="5"/>
      <c r="E29" s="5"/>
      <c r="F29" s="5"/>
      <c r="G29" s="5">
        <f t="shared" ref="G29:N29" si="39">+G27-G28</f>
        <v>10854</v>
      </c>
      <c r="H29" s="5">
        <f t="shared" si="39"/>
        <v>11206</v>
      </c>
      <c r="I29" s="5">
        <f t="shared" si="39"/>
        <v>10746</v>
      </c>
      <c r="J29" s="5">
        <f t="shared" si="39"/>
        <v>11009</v>
      </c>
      <c r="K29" s="5">
        <f t="shared" si="39"/>
        <v>9244</v>
      </c>
      <c r="L29" s="5">
        <f t="shared" si="39"/>
        <v>5587</v>
      </c>
      <c r="M29" s="5">
        <f t="shared" si="39"/>
        <v>6535</v>
      </c>
      <c r="N29" s="5">
        <f t="shared" si="39"/>
        <v>5500</v>
      </c>
      <c r="O29" s="5">
        <f t="shared" ref="O29:T29" si="40">+O27-O28</f>
        <v>4008</v>
      </c>
      <c r="P29" s="5">
        <f t="shared" si="40"/>
        <v>4638</v>
      </c>
      <c r="Q29" s="5">
        <f t="shared" si="40"/>
        <v>6018</v>
      </c>
      <c r="R29" s="5">
        <f t="shared" si="40"/>
        <v>7047</v>
      </c>
      <c r="S29" s="5">
        <f t="shared" si="40"/>
        <v>5217</v>
      </c>
      <c r="T29" s="5">
        <f t="shared" si="40"/>
        <v>4547</v>
      </c>
      <c r="U29" s="5">
        <f>+U27-U28</f>
        <v>1997</v>
      </c>
      <c r="V29" s="5">
        <f>+V27*0.4</f>
        <v>5546.16</v>
      </c>
      <c r="W29" s="5">
        <f>+W27*0.42</f>
        <v>5183.757599999999</v>
      </c>
      <c r="X29" s="5">
        <f>+X27*0.4</f>
        <v>4619.88</v>
      </c>
      <c r="Y29" s="5">
        <f>+Y27*0.4</f>
        <v>4782.2400000000007</v>
      </c>
      <c r="Z29" s="5">
        <f>+Z27*0.4</f>
        <v>4991.5440000000008</v>
      </c>
      <c r="AE29" s="36"/>
      <c r="AF29" s="36"/>
      <c r="AG29" s="36"/>
      <c r="AH29" s="36"/>
      <c r="AI29" s="36"/>
      <c r="AJ29" s="36"/>
      <c r="AK29" s="28"/>
      <c r="AL29" s="36"/>
      <c r="AM29" s="36"/>
      <c r="AN29" s="36"/>
      <c r="AO29" s="36"/>
      <c r="AP29" s="36"/>
      <c r="AQ29" s="28"/>
      <c r="AR29" s="36"/>
      <c r="AS29" s="36"/>
      <c r="AT29" s="36"/>
      <c r="AU29" s="28"/>
      <c r="AV29" s="28"/>
      <c r="AW29" s="36"/>
      <c r="AX29" s="36">
        <f t="shared" ref="AX29:AY29" si="41">+AX27-AX28</f>
        <v>1368.8439999999998</v>
      </c>
      <c r="AY29" s="28">
        <f t="shared" si="41"/>
        <v>1405.854</v>
      </c>
      <c r="AZ29" s="36">
        <f t="shared" ref="AZ29" si="42">+AZ27-AZ28</f>
        <v>1990.9859999999999</v>
      </c>
      <c r="BA29" s="36">
        <f t="shared" ref="BA29:BB29" si="43">+BA27-BA28</f>
        <v>2463</v>
      </c>
      <c r="BB29" s="36">
        <f t="shared" si="43"/>
        <v>3287</v>
      </c>
      <c r="BC29" s="36">
        <f>+BC27-BC28</f>
        <v>5530</v>
      </c>
      <c r="BD29" s="36">
        <f>+BD27-BD28</f>
        <v>5945</v>
      </c>
      <c r="BE29" s="36">
        <f>+BE27-BE28</f>
        <v>8391</v>
      </c>
      <c r="BF29" s="36">
        <f t="shared" ref="BF29" si="44">+BF27-BF28</f>
        <v>11683</v>
      </c>
      <c r="BG29" s="36">
        <f t="shared" ref="BG29" si="45">+BG27-BG28</f>
        <v>15125</v>
      </c>
      <c r="BH29" s="28">
        <f t="shared" ref="BH29" si="46">+BH27-BH28</f>
        <v>14185</v>
      </c>
      <c r="BI29" s="36">
        <f t="shared" ref="BI29" si="47">+BI27-BI28</f>
        <v>17553</v>
      </c>
      <c r="BJ29" s="36">
        <f t="shared" ref="BJ29:BM29" si="48">+BJ27-BJ28</f>
        <v>21076</v>
      </c>
      <c r="BK29" s="28">
        <f t="shared" si="48"/>
        <v>13052</v>
      </c>
      <c r="BL29" s="28">
        <f t="shared" si="48"/>
        <v>13318</v>
      </c>
      <c r="BM29" s="2">
        <f t="shared" si="48"/>
        <v>17094</v>
      </c>
      <c r="BN29" s="2">
        <f>+BN27-BN28</f>
        <v>19746</v>
      </c>
      <c r="BO29" s="2">
        <f>+BO27-BO28</f>
        <v>23049</v>
      </c>
      <c r="BP29" s="28">
        <f>+BP27-BP28</f>
        <v>18218</v>
      </c>
      <c r="BQ29" s="2">
        <f>+BQ27-BQ28</f>
        <v>19904</v>
      </c>
      <c r="BR29" s="28">
        <f>+BR27-BR28</f>
        <v>20844</v>
      </c>
      <c r="BS29" s="28">
        <f t="shared" ref="BS29" si="49">+BS27-BS28</f>
        <v>19561</v>
      </c>
      <c r="BT29" s="2">
        <f t="shared" ref="BT29" si="50">+BT27-BT28</f>
        <v>28491</v>
      </c>
      <c r="BU29" s="2">
        <f t="shared" ref="BU29" si="51">+BU27-BU28</f>
        <v>33757</v>
      </c>
      <c r="BV29" s="2">
        <f t="shared" ref="BV29" si="52">+BV27-BV28</f>
        <v>33151</v>
      </c>
      <c r="BW29" s="2">
        <f t="shared" ref="BW29:CF29" si="53">+BW27-BW28</f>
        <v>31521</v>
      </c>
      <c r="BX29" s="2">
        <f t="shared" si="53"/>
        <v>35609</v>
      </c>
      <c r="BY29" s="2">
        <f t="shared" si="53"/>
        <v>34679</v>
      </c>
      <c r="BZ29" s="2">
        <f t="shared" si="53"/>
        <v>36191</v>
      </c>
      <c r="CA29" s="2">
        <f t="shared" si="53"/>
        <v>39069</v>
      </c>
      <c r="CB29" s="2">
        <f t="shared" si="53"/>
        <v>43737</v>
      </c>
      <c r="CC29" s="2">
        <f t="shared" si="53"/>
        <v>42140</v>
      </c>
      <c r="CD29" s="2">
        <f t="shared" si="53"/>
        <v>43612</v>
      </c>
      <c r="CE29" s="2">
        <f t="shared" si="53"/>
        <v>43815</v>
      </c>
      <c r="CF29" s="2">
        <f t="shared" si="53"/>
        <v>26866</v>
      </c>
      <c r="CG29" s="2">
        <f>+CG27-CG28</f>
        <v>21711</v>
      </c>
      <c r="CH29" s="2">
        <f>SUM(S29:V29)</f>
        <v>17307.16</v>
      </c>
      <c r="CI29" s="2">
        <f>+CI27*0.48</f>
        <v>28165.357584000001</v>
      </c>
      <c r="CJ29" s="2">
        <f>+CJ27*0.48</f>
        <v>30142.349029800003</v>
      </c>
      <c r="CK29" s="2">
        <f>+CK27*0.49</f>
        <v>32308.830366316877</v>
      </c>
      <c r="CL29" s="2">
        <f>+CL27*0.49</f>
        <v>34564.352486229567</v>
      </c>
      <c r="CM29" s="2">
        <f>+CM27*0.5</f>
        <v>37033.23480667454</v>
      </c>
      <c r="CN29" s="2">
        <f>+CN27*0.5</f>
        <v>38884.896547008269</v>
      </c>
      <c r="CO29" s="2">
        <f>+CO27*0.51</f>
        <v>42416.941316694865</v>
      </c>
      <c r="CP29" s="2">
        <f>+CP27*0.51</f>
        <v>45347.566353121059</v>
      </c>
      <c r="CQ29" s="2">
        <f>+CQ27*0.52</f>
        <v>48548.571036870781</v>
      </c>
      <c r="CR29" s="2">
        <f>+CR27*0.52</f>
        <v>50975.999588714323</v>
      </c>
      <c r="CS29" s="2">
        <f>+CS27*0.53</f>
        <v>54554.122636768312</v>
      </c>
    </row>
    <row r="30" spans="2:97" x14ac:dyDescent="0.25">
      <c r="B30" s="2" t="s">
        <v>27</v>
      </c>
      <c r="G30" s="5">
        <v>3623</v>
      </c>
      <c r="H30" s="5">
        <v>3715</v>
      </c>
      <c r="I30" s="5">
        <v>3803</v>
      </c>
      <c r="J30" s="5">
        <v>4049</v>
      </c>
      <c r="K30" s="5">
        <v>4362</v>
      </c>
      <c r="L30" s="5">
        <v>4400</v>
      </c>
      <c r="M30" s="5">
        <v>4302</v>
      </c>
      <c r="N30" s="5">
        <v>4464</v>
      </c>
      <c r="O30" s="5">
        <v>4109</v>
      </c>
      <c r="P30" s="5">
        <v>4080</v>
      </c>
      <c r="Q30" s="5">
        <v>3870</v>
      </c>
      <c r="R30" s="5">
        <v>3987</v>
      </c>
      <c r="S30" s="5">
        <v>4382</v>
      </c>
      <c r="T30" s="5">
        <v>4239</v>
      </c>
      <c r="U30" s="5">
        <v>4049</v>
      </c>
      <c r="V30" s="5">
        <v>3750</v>
      </c>
      <c r="W30" s="5">
        <f>+S30*0.9</f>
        <v>3943.8</v>
      </c>
      <c r="X30" s="5"/>
      <c r="AX30" s="36">
        <v>318.33100000000002</v>
      </c>
      <c r="AY30" s="28">
        <v>365.10399999999998</v>
      </c>
      <c r="AZ30" s="36">
        <v>516.74699999999996</v>
      </c>
      <c r="BA30" s="36">
        <v>618</v>
      </c>
      <c r="BB30" s="36">
        <v>780</v>
      </c>
      <c r="BC30" s="36">
        <v>970</v>
      </c>
      <c r="BD30" s="36">
        <v>1111</v>
      </c>
      <c r="BE30" s="36">
        <v>1296</v>
      </c>
      <c r="BF30" s="36">
        <v>1808</v>
      </c>
      <c r="BG30" s="36">
        <v>2347</v>
      </c>
      <c r="BH30" s="28">
        <v>2509</v>
      </c>
      <c r="BI30" s="36">
        <v>3111</v>
      </c>
      <c r="BJ30" s="36">
        <v>3897</v>
      </c>
      <c r="BK30" s="28">
        <v>3796</v>
      </c>
      <c r="BL30" s="28">
        <v>4034</v>
      </c>
      <c r="BM30" s="2">
        <v>4360</v>
      </c>
      <c r="BN30" s="2">
        <v>4778</v>
      </c>
      <c r="BO30" s="2">
        <v>5145</v>
      </c>
      <c r="BP30" s="28">
        <v>5873</v>
      </c>
      <c r="BQ30" s="2">
        <v>5755</v>
      </c>
      <c r="BR30" s="28">
        <v>5722</v>
      </c>
      <c r="BS30" s="28">
        <v>5653</v>
      </c>
      <c r="BT30" s="2">
        <v>6576</v>
      </c>
      <c r="BU30" s="2">
        <v>8350</v>
      </c>
      <c r="BV30" s="2">
        <v>10148</v>
      </c>
      <c r="BW30" s="2">
        <v>10611</v>
      </c>
      <c r="BX30" s="2">
        <v>11537</v>
      </c>
      <c r="BY30" s="2">
        <v>12128</v>
      </c>
      <c r="BZ30" s="2">
        <v>12740</v>
      </c>
      <c r="CA30" s="2">
        <v>13098</v>
      </c>
      <c r="CB30" s="2">
        <v>13543</v>
      </c>
      <c r="CC30" s="2">
        <v>13362</v>
      </c>
      <c r="CD30" s="2">
        <v>13556</v>
      </c>
      <c r="CE30" s="2">
        <v>15190</v>
      </c>
      <c r="CF30" s="2">
        <v>17528</v>
      </c>
      <c r="CG30" s="2">
        <f>SUM(O30:R30)</f>
        <v>16046</v>
      </c>
      <c r="CH30" s="2">
        <f>SUM(S30:V30)</f>
        <v>16420</v>
      </c>
      <c r="CI30" s="2">
        <f t="shared" ref="CI30:CS30" si="54">+CH30*1.03</f>
        <v>16912.600000000002</v>
      </c>
      <c r="CJ30" s="2">
        <f t="shared" si="54"/>
        <v>17419.978000000003</v>
      </c>
      <c r="CK30" s="2">
        <f t="shared" si="54"/>
        <v>17942.577340000003</v>
      </c>
      <c r="CL30" s="2">
        <f t="shared" si="54"/>
        <v>18480.854660200002</v>
      </c>
      <c r="CM30" s="2">
        <f t="shared" si="54"/>
        <v>19035.280300006001</v>
      </c>
      <c r="CN30" s="2">
        <f t="shared" si="54"/>
        <v>19606.338709006181</v>
      </c>
      <c r="CO30" s="2">
        <f t="shared" si="54"/>
        <v>20194.528870276368</v>
      </c>
      <c r="CP30" s="2">
        <f t="shared" si="54"/>
        <v>20800.364736384661</v>
      </c>
      <c r="CQ30" s="2">
        <f t="shared" si="54"/>
        <v>21424.375678476201</v>
      </c>
      <c r="CR30" s="2">
        <f t="shared" si="54"/>
        <v>22067.106948830486</v>
      </c>
      <c r="CS30" s="2">
        <f t="shared" si="54"/>
        <v>22729.120157295401</v>
      </c>
    </row>
    <row r="31" spans="2:97" x14ac:dyDescent="0.25">
      <c r="B31" s="2" t="s">
        <v>28</v>
      </c>
      <c r="G31" s="5">
        <v>1328</v>
      </c>
      <c r="H31" s="5">
        <v>1599</v>
      </c>
      <c r="I31" s="5">
        <v>1674</v>
      </c>
      <c r="J31" s="5">
        <v>1942</v>
      </c>
      <c r="K31" s="5">
        <v>1752</v>
      </c>
      <c r="L31" s="5">
        <v>1800</v>
      </c>
      <c r="M31" s="5">
        <v>1744</v>
      </c>
      <c r="N31" s="5">
        <v>1706</v>
      </c>
      <c r="O31" s="5">
        <v>1303</v>
      </c>
      <c r="P31" s="5">
        <v>1374</v>
      </c>
      <c r="Q31" s="5">
        <v>1340</v>
      </c>
      <c r="R31" s="5">
        <v>1617</v>
      </c>
      <c r="S31" s="5">
        <v>1556</v>
      </c>
      <c r="T31" s="5">
        <v>1329</v>
      </c>
      <c r="U31" s="5">
        <v>1383</v>
      </c>
      <c r="V31" s="5">
        <v>1000</v>
      </c>
      <c r="W31" s="5">
        <f>+S31*0.85</f>
        <v>1322.6</v>
      </c>
      <c r="X31" s="5"/>
      <c r="AX31" s="36">
        <v>456.2</v>
      </c>
      <c r="AY31" s="28">
        <v>483.43599999999998</v>
      </c>
      <c r="AZ31" s="36">
        <v>615.904</v>
      </c>
      <c r="BA31" s="36">
        <v>765</v>
      </c>
      <c r="BB31" s="36">
        <v>1017</v>
      </c>
      <c r="BC31" s="36">
        <v>1168</v>
      </c>
      <c r="BD31" s="36">
        <v>1447</v>
      </c>
      <c r="BE31" s="36">
        <v>1843</v>
      </c>
      <c r="BF31" s="36">
        <v>2322</v>
      </c>
      <c r="BG31" s="36">
        <v>2891</v>
      </c>
      <c r="BH31" s="28">
        <v>3076</v>
      </c>
      <c r="BI31" s="36">
        <v>3872</v>
      </c>
      <c r="BJ31" s="36">
        <v>5089</v>
      </c>
      <c r="BK31" s="28">
        <v>4464</v>
      </c>
      <c r="BL31" s="28">
        <v>4334</v>
      </c>
      <c r="BM31" s="2">
        <v>4278</v>
      </c>
      <c r="BN31" s="2">
        <v>4659</v>
      </c>
      <c r="BO31" s="2">
        <v>5688</v>
      </c>
      <c r="BP31" s="28">
        <v>6096</v>
      </c>
      <c r="BQ31" s="2">
        <v>5401</v>
      </c>
      <c r="BR31" s="28">
        <v>5458</v>
      </c>
      <c r="BS31" s="28">
        <v>7931</v>
      </c>
      <c r="BT31" s="2">
        <v>6309</v>
      </c>
      <c r="BU31" s="2">
        <v>7670</v>
      </c>
      <c r="BV31" s="2">
        <v>8057</v>
      </c>
      <c r="BW31" s="2">
        <v>8088</v>
      </c>
      <c r="BX31" s="2">
        <v>8136</v>
      </c>
      <c r="BY31" s="2">
        <v>7930</v>
      </c>
      <c r="BZ31" s="2">
        <v>8397</v>
      </c>
      <c r="CA31" s="2">
        <v>7474</v>
      </c>
      <c r="CB31" s="2">
        <v>6950</v>
      </c>
      <c r="CC31" s="2">
        <v>6350</v>
      </c>
      <c r="CD31" s="2">
        <v>6180</v>
      </c>
      <c r="CE31" s="2">
        <v>6543</v>
      </c>
      <c r="CF31" s="2">
        <v>7002</v>
      </c>
      <c r="CG31" s="2">
        <f>SUM(O31:R31)</f>
        <v>5634</v>
      </c>
      <c r="CH31" s="2">
        <f>SUM(S31:V31)</f>
        <v>5268</v>
      </c>
      <c r="CI31" s="2">
        <f t="shared" ref="CI31:CS31" si="55">+CH31*1.03</f>
        <v>5426.04</v>
      </c>
      <c r="CJ31" s="2">
        <f t="shared" si="55"/>
        <v>5588.8212000000003</v>
      </c>
      <c r="CK31" s="2">
        <f t="shared" si="55"/>
        <v>5756.4858360000007</v>
      </c>
      <c r="CL31" s="2">
        <f t="shared" si="55"/>
        <v>5929.1804110800012</v>
      </c>
      <c r="CM31" s="2">
        <f t="shared" si="55"/>
        <v>6107.0558234124019</v>
      </c>
      <c r="CN31" s="2">
        <f t="shared" si="55"/>
        <v>6290.2674981147738</v>
      </c>
      <c r="CO31" s="2">
        <f t="shared" si="55"/>
        <v>6478.9755230582168</v>
      </c>
      <c r="CP31" s="2">
        <f t="shared" si="55"/>
        <v>6673.3447887499633</v>
      </c>
      <c r="CQ31" s="2">
        <f t="shared" si="55"/>
        <v>6873.5451324124624</v>
      </c>
      <c r="CR31" s="2">
        <f t="shared" si="55"/>
        <v>7079.7514863848364</v>
      </c>
      <c r="CS31" s="2">
        <f t="shared" si="55"/>
        <v>7292.1440309763821</v>
      </c>
    </row>
    <row r="32" spans="2:97" x14ac:dyDescent="0.25">
      <c r="B32" s="2" t="s">
        <v>29</v>
      </c>
      <c r="G32" s="5">
        <f t="shared" ref="G32:N32" si="56">+G30+G31</f>
        <v>4951</v>
      </c>
      <c r="H32" s="5">
        <f t="shared" si="56"/>
        <v>5314</v>
      </c>
      <c r="I32" s="5">
        <f t="shared" si="56"/>
        <v>5477</v>
      </c>
      <c r="J32" s="5">
        <f t="shared" si="56"/>
        <v>5991</v>
      </c>
      <c r="K32" s="5">
        <f t="shared" si="56"/>
        <v>6114</v>
      </c>
      <c r="L32" s="5">
        <f t="shared" si="56"/>
        <v>6200</v>
      </c>
      <c r="M32" s="5">
        <f t="shared" si="56"/>
        <v>6046</v>
      </c>
      <c r="N32" s="5">
        <f t="shared" si="56"/>
        <v>6170</v>
      </c>
      <c r="O32" s="5">
        <f t="shared" ref="O32" si="57">+O30+O31</f>
        <v>5412</v>
      </c>
      <c r="P32" s="5">
        <f t="shared" ref="P32" si="58">+P30+P31</f>
        <v>5454</v>
      </c>
      <c r="Q32" s="5">
        <f t="shared" ref="Q32" si="59">+Q30+Q31</f>
        <v>5210</v>
      </c>
      <c r="R32" s="5">
        <f t="shared" ref="R32:T32" si="60">+R30+R31</f>
        <v>5604</v>
      </c>
      <c r="S32" s="5">
        <f t="shared" ref="S32" si="61">+S30+S31</f>
        <v>5938</v>
      </c>
      <c r="T32" s="5">
        <f t="shared" si="60"/>
        <v>5568</v>
      </c>
      <c r="U32" s="5">
        <f t="shared" ref="U32:W32" si="62">+U30+U31</f>
        <v>5432</v>
      </c>
      <c r="V32" s="5">
        <f t="shared" si="62"/>
        <v>4750</v>
      </c>
      <c r="W32" s="5">
        <f t="shared" si="62"/>
        <v>5266.4</v>
      </c>
      <c r="X32" s="5">
        <f t="shared" ref="X32:Z32" si="63">+X30+X31</f>
        <v>0</v>
      </c>
      <c r="Y32" s="5">
        <f t="shared" si="63"/>
        <v>0</v>
      </c>
      <c r="Z32" s="5">
        <f t="shared" si="63"/>
        <v>0</v>
      </c>
      <c r="AX32" s="36">
        <f t="shared" ref="AX32:AY32" si="64">+AX30+AX31</f>
        <v>774.53099999999995</v>
      </c>
      <c r="AY32" s="28">
        <f t="shared" si="64"/>
        <v>848.54</v>
      </c>
      <c r="AZ32" s="36">
        <f t="shared" ref="AZ32" si="65">+AZ30+AZ31</f>
        <v>1132.6509999999998</v>
      </c>
      <c r="BA32" s="36">
        <f t="shared" ref="BA32" si="66">+BA30+BA31</f>
        <v>1383</v>
      </c>
      <c r="BB32" s="36">
        <f t="shared" ref="BB32" si="67">+BB30+BB31</f>
        <v>1797</v>
      </c>
      <c r="BC32" s="36">
        <f t="shared" ref="BC32:BD32" si="68">+BC30+BC31</f>
        <v>2138</v>
      </c>
      <c r="BD32" s="36">
        <f t="shared" si="68"/>
        <v>2558</v>
      </c>
      <c r="BE32" s="36">
        <f t="shared" ref="BE32" si="69">+BE30+BE31</f>
        <v>3139</v>
      </c>
      <c r="BF32" s="36">
        <f t="shared" ref="BF32" si="70">+BF30+BF31</f>
        <v>4130</v>
      </c>
      <c r="BG32" s="36">
        <f t="shared" ref="BG32" si="71">+BG30+BG31</f>
        <v>5238</v>
      </c>
      <c r="BH32" s="28">
        <f t="shared" ref="BH32" si="72">+BH30+BH31</f>
        <v>5585</v>
      </c>
      <c r="BI32" s="36">
        <f t="shared" ref="BI32" si="73">+BI30+BI31</f>
        <v>6983</v>
      </c>
      <c r="BJ32" s="36">
        <f t="shared" ref="BJ32:BM32" si="74">+BJ30+BJ31</f>
        <v>8986</v>
      </c>
      <c r="BK32" s="28">
        <f t="shared" si="74"/>
        <v>8260</v>
      </c>
      <c r="BL32" s="28">
        <f t="shared" si="74"/>
        <v>8368</v>
      </c>
      <c r="BM32" s="2">
        <f t="shared" si="74"/>
        <v>8638</v>
      </c>
      <c r="BN32" s="2">
        <f>+BN30+BN31</f>
        <v>9437</v>
      </c>
      <c r="BO32" s="2">
        <f>+BO30+BO31</f>
        <v>10833</v>
      </c>
      <c r="BP32" s="28">
        <f>+BP30+BP31</f>
        <v>11969</v>
      </c>
      <c r="BQ32" s="2">
        <f>+BQ30+BQ31</f>
        <v>11156</v>
      </c>
      <c r="BR32" s="28">
        <f>+BR30+BR31</f>
        <v>11180</v>
      </c>
      <c r="BS32" s="28">
        <f t="shared" ref="BS32" si="75">+BS30+BS31</f>
        <v>13584</v>
      </c>
      <c r="BT32" s="2">
        <f t="shared" ref="BT32" si="76">+BT30+BT31</f>
        <v>12885</v>
      </c>
      <c r="BU32" s="2">
        <f t="shared" ref="BU32" si="77">+BU30+BU31</f>
        <v>16020</v>
      </c>
      <c r="BV32" s="2">
        <f t="shared" ref="BV32" si="78">+BV30+BV31</f>
        <v>18205</v>
      </c>
      <c r="BW32" s="2">
        <f>+BW30+BW31</f>
        <v>18699</v>
      </c>
      <c r="BX32" s="2">
        <f t="shared" ref="BX32:BZ32" si="79">+BX30+BX31</f>
        <v>19673</v>
      </c>
      <c r="BY32" s="2">
        <f t="shared" si="79"/>
        <v>20058</v>
      </c>
      <c r="BZ32" s="2">
        <f t="shared" si="79"/>
        <v>21137</v>
      </c>
      <c r="CA32" s="2">
        <f>+CA30+CA31</f>
        <v>20572</v>
      </c>
      <c r="CB32" s="2">
        <f>+CB30+CB31</f>
        <v>20493</v>
      </c>
      <c r="CC32" s="2">
        <f>+CC30+CC31</f>
        <v>19712</v>
      </c>
      <c r="CD32" s="2">
        <f>+CD30+CD31</f>
        <v>19736</v>
      </c>
      <c r="CE32" s="2">
        <f t="shared" ref="CE32:CF32" si="80">+CE30+CE31</f>
        <v>21733</v>
      </c>
      <c r="CF32" s="2">
        <f t="shared" si="80"/>
        <v>24530</v>
      </c>
      <c r="CG32" s="2">
        <f>+CG30+CG31</f>
        <v>21680</v>
      </c>
      <c r="CH32" s="2">
        <f t="shared" ref="CH32:CS32" si="81">+CH30+CH31</f>
        <v>21688</v>
      </c>
      <c r="CI32" s="2">
        <f t="shared" si="81"/>
        <v>22338.640000000003</v>
      </c>
      <c r="CJ32" s="2">
        <f t="shared" si="81"/>
        <v>23008.799200000001</v>
      </c>
      <c r="CK32" s="2">
        <f t="shared" si="81"/>
        <v>23699.063176000003</v>
      </c>
      <c r="CL32" s="2">
        <f t="shared" si="81"/>
        <v>24410.035071280003</v>
      </c>
      <c r="CM32" s="2">
        <f t="shared" si="81"/>
        <v>25142.336123418405</v>
      </c>
      <c r="CN32" s="2">
        <f t="shared" si="81"/>
        <v>25896.606207120953</v>
      </c>
      <c r="CO32" s="2">
        <f t="shared" si="81"/>
        <v>26673.504393334584</v>
      </c>
      <c r="CP32" s="2">
        <f t="shared" si="81"/>
        <v>27473.709525134625</v>
      </c>
      <c r="CQ32" s="2">
        <f t="shared" si="81"/>
        <v>28297.920810888663</v>
      </c>
      <c r="CR32" s="2">
        <f t="shared" si="81"/>
        <v>29146.858435215323</v>
      </c>
      <c r="CS32" s="2">
        <f t="shared" si="81"/>
        <v>30021.264188271783</v>
      </c>
    </row>
    <row r="33" spans="2:175" x14ac:dyDescent="0.25">
      <c r="B33" s="2" t="s">
        <v>30</v>
      </c>
      <c r="G33" s="5">
        <f t="shared" ref="G33:N33" si="82">+G29-G32</f>
        <v>5903</v>
      </c>
      <c r="H33" s="5">
        <f t="shared" si="82"/>
        <v>5892</v>
      </c>
      <c r="I33" s="5">
        <f t="shared" si="82"/>
        <v>5269</v>
      </c>
      <c r="J33" s="5">
        <f t="shared" si="82"/>
        <v>5018</v>
      </c>
      <c r="K33" s="5">
        <f t="shared" si="82"/>
        <v>3130</v>
      </c>
      <c r="L33" s="5">
        <f t="shared" si="82"/>
        <v>-613</v>
      </c>
      <c r="M33" s="5">
        <f t="shared" si="82"/>
        <v>489</v>
      </c>
      <c r="N33" s="5">
        <f t="shared" si="82"/>
        <v>-670</v>
      </c>
      <c r="O33" s="5">
        <f t="shared" ref="O33" si="83">+O29-O32</f>
        <v>-1404</v>
      </c>
      <c r="P33" s="5">
        <f t="shared" ref="P33" si="84">+P29-P32</f>
        <v>-816</v>
      </c>
      <c r="Q33" s="5">
        <f t="shared" ref="Q33" si="85">+Q29-Q32</f>
        <v>808</v>
      </c>
      <c r="R33" s="5">
        <f t="shared" ref="R33:T33" si="86">+R29-R32</f>
        <v>1443</v>
      </c>
      <c r="S33" s="5">
        <f t="shared" ref="S33" si="87">+S29-S32</f>
        <v>-721</v>
      </c>
      <c r="T33" s="5">
        <f t="shared" si="86"/>
        <v>-1021</v>
      </c>
      <c r="U33" s="5">
        <f t="shared" ref="U33:W33" si="88">+U29-U32</f>
        <v>-3435</v>
      </c>
      <c r="V33" s="5">
        <f t="shared" si="88"/>
        <v>796.15999999999985</v>
      </c>
      <c r="W33" s="5">
        <f t="shared" si="88"/>
        <v>-82.642400000000634</v>
      </c>
      <c r="X33" s="5">
        <f t="shared" ref="X33:Z33" si="89">+X29-X32</f>
        <v>4619.88</v>
      </c>
      <c r="Y33" s="5">
        <f t="shared" si="89"/>
        <v>4782.2400000000007</v>
      </c>
      <c r="Z33" s="5">
        <f t="shared" si="89"/>
        <v>4991.5440000000008</v>
      </c>
      <c r="AX33" s="36">
        <f t="shared" ref="AX33:AY33" si="90">+AX29-AX32</f>
        <v>594.31299999999987</v>
      </c>
      <c r="AY33" s="28">
        <f t="shared" si="90"/>
        <v>557.31400000000008</v>
      </c>
      <c r="AZ33" s="36">
        <f t="shared" ref="AZ33" si="91">+AZ29-AZ32</f>
        <v>858.33500000000004</v>
      </c>
      <c r="BA33" s="36">
        <f t="shared" ref="BA33" si="92">+BA29-BA32</f>
        <v>1080</v>
      </c>
      <c r="BB33" s="36">
        <f t="shared" ref="BB33" si="93">+BB29-BB32</f>
        <v>1490</v>
      </c>
      <c r="BC33" s="36">
        <f t="shared" ref="BC33:BD33" si="94">+BC29-BC32</f>
        <v>3392</v>
      </c>
      <c r="BD33" s="36">
        <f t="shared" si="94"/>
        <v>3387</v>
      </c>
      <c r="BE33" s="36">
        <f t="shared" ref="BE33" si="95">+BE29-BE32</f>
        <v>5252</v>
      </c>
      <c r="BF33" s="36">
        <f t="shared" ref="BF33" si="96">+BF29-BF32</f>
        <v>7553</v>
      </c>
      <c r="BG33" s="36">
        <f t="shared" ref="BG33" si="97">+BG29-BG32</f>
        <v>9887</v>
      </c>
      <c r="BH33" s="28">
        <f t="shared" ref="BH33" si="98">+BH29-BH32</f>
        <v>8600</v>
      </c>
      <c r="BI33" s="36">
        <f t="shared" ref="BI33" si="99">+BI29-BI32</f>
        <v>10570</v>
      </c>
      <c r="BJ33" s="36">
        <f t="shared" ref="BJ33:BM33" si="100">+BJ29-BJ32</f>
        <v>12090</v>
      </c>
      <c r="BK33" s="28">
        <f t="shared" si="100"/>
        <v>4792</v>
      </c>
      <c r="BL33" s="28">
        <f t="shared" si="100"/>
        <v>4950</v>
      </c>
      <c r="BM33" s="2">
        <f t="shared" si="100"/>
        <v>8456</v>
      </c>
      <c r="BN33" s="2">
        <f>+BN29-BN32</f>
        <v>10309</v>
      </c>
      <c r="BO33" s="2">
        <f>+BO29-BO32</f>
        <v>12216</v>
      </c>
      <c r="BP33" s="28">
        <f>+BP29-BP32</f>
        <v>6249</v>
      </c>
      <c r="BQ33" s="2">
        <f>+BQ29-BQ32</f>
        <v>8748</v>
      </c>
      <c r="BR33" s="28">
        <f>+BR29-BR32</f>
        <v>9664</v>
      </c>
      <c r="BS33" s="28">
        <f t="shared" ref="BS33" si="101">+BS29-BS32</f>
        <v>5977</v>
      </c>
      <c r="BT33" s="2">
        <f t="shared" ref="BT33" si="102">+BT29-BT32</f>
        <v>15606</v>
      </c>
      <c r="BU33" s="2">
        <f t="shared" ref="BU33" si="103">+BU29-BU32</f>
        <v>17737</v>
      </c>
      <c r="BV33" s="2">
        <f t="shared" ref="BV33" si="104">+BV29-BV32</f>
        <v>14946</v>
      </c>
      <c r="BW33" s="2">
        <f>+BW29-BW32</f>
        <v>12822</v>
      </c>
      <c r="BX33" s="2">
        <f t="shared" ref="BX33:BZ33" si="105">+BX29-BX32</f>
        <v>15936</v>
      </c>
      <c r="BY33" s="2">
        <f t="shared" si="105"/>
        <v>14621</v>
      </c>
      <c r="BZ33" s="2">
        <f t="shared" si="105"/>
        <v>15054</v>
      </c>
      <c r="CA33" s="2">
        <f t="shared" ref="CA33:CG33" si="106">+CA29-CA32</f>
        <v>18497</v>
      </c>
      <c r="CB33" s="2">
        <f t="shared" si="106"/>
        <v>23244</v>
      </c>
      <c r="CC33" s="2">
        <f t="shared" si="106"/>
        <v>22428</v>
      </c>
      <c r="CD33" s="2">
        <f t="shared" si="106"/>
        <v>23876</v>
      </c>
      <c r="CE33" s="2">
        <f t="shared" si="106"/>
        <v>22082</v>
      </c>
      <c r="CF33" s="2">
        <f t="shared" si="106"/>
        <v>2336</v>
      </c>
      <c r="CG33" s="2">
        <f t="shared" si="106"/>
        <v>31</v>
      </c>
      <c r="CH33" s="2">
        <f t="shared" ref="CH33:CS33" si="107">+CH29-CH32</f>
        <v>-4380.84</v>
      </c>
      <c r="CI33" s="2">
        <f t="shared" si="107"/>
        <v>5826.7175839999982</v>
      </c>
      <c r="CJ33" s="2">
        <f t="shared" si="107"/>
        <v>7133.549829800002</v>
      </c>
      <c r="CK33" s="2">
        <f t="shared" si="107"/>
        <v>8609.7671903168739</v>
      </c>
      <c r="CL33" s="2">
        <f t="shared" si="107"/>
        <v>10154.317414949564</v>
      </c>
      <c r="CM33" s="2">
        <f t="shared" si="107"/>
        <v>11890.898683256135</v>
      </c>
      <c r="CN33" s="2">
        <f t="shared" si="107"/>
        <v>12988.290339887317</v>
      </c>
      <c r="CO33" s="2">
        <f t="shared" si="107"/>
        <v>15743.436923360281</v>
      </c>
      <c r="CP33" s="2">
        <f t="shared" si="107"/>
        <v>17873.856827986434</v>
      </c>
      <c r="CQ33" s="2">
        <f t="shared" si="107"/>
        <v>20250.650225982117</v>
      </c>
      <c r="CR33" s="2">
        <f t="shared" si="107"/>
        <v>21829.141153499</v>
      </c>
      <c r="CS33" s="2">
        <f t="shared" si="107"/>
        <v>24532.858448496529</v>
      </c>
    </row>
    <row r="34" spans="2:175" x14ac:dyDescent="0.25">
      <c r="B34" s="2" t="s">
        <v>31</v>
      </c>
      <c r="G34" s="5">
        <v>-156</v>
      </c>
      <c r="H34" s="5">
        <v>-96</v>
      </c>
      <c r="I34" s="5">
        <v>-76</v>
      </c>
      <c r="J34" s="5">
        <v>-154</v>
      </c>
      <c r="K34" s="5">
        <v>997</v>
      </c>
      <c r="L34" s="5">
        <v>-119</v>
      </c>
      <c r="M34" s="5">
        <v>138</v>
      </c>
      <c r="N34" s="5">
        <v>150</v>
      </c>
      <c r="O34" s="3">
        <v>141</v>
      </c>
      <c r="P34" s="3">
        <v>224</v>
      </c>
      <c r="Q34" s="3">
        <v>147</v>
      </c>
      <c r="R34" s="3">
        <v>117</v>
      </c>
      <c r="S34" s="3">
        <v>145</v>
      </c>
      <c r="T34" s="3">
        <v>80</v>
      </c>
      <c r="U34" s="3">
        <v>130</v>
      </c>
      <c r="W34" s="3">
        <v>150</v>
      </c>
      <c r="AX34" s="36">
        <v>110.955</v>
      </c>
      <c r="AY34" s="28">
        <v>121.834</v>
      </c>
      <c r="AZ34" s="36">
        <v>227.28899999999999</v>
      </c>
      <c r="BA34" s="36">
        <v>197</v>
      </c>
      <c r="BB34" s="36">
        <v>133</v>
      </c>
      <c r="BC34" s="36">
        <v>188</v>
      </c>
      <c r="BD34" s="36">
        <v>273</v>
      </c>
      <c r="BE34" s="36">
        <v>415</v>
      </c>
      <c r="BF34" s="36">
        <v>406</v>
      </c>
      <c r="BG34" s="36">
        <v>799</v>
      </c>
      <c r="BH34" s="28">
        <v>792</v>
      </c>
      <c r="BI34" s="36">
        <v>1497</v>
      </c>
      <c r="BJ34" s="36">
        <v>987</v>
      </c>
      <c r="BK34" s="28">
        <v>393</v>
      </c>
      <c r="BL34" s="28">
        <v>194</v>
      </c>
      <c r="BM34" s="2">
        <v>192</v>
      </c>
      <c r="BN34" s="2">
        <f>289-2</f>
        <v>287</v>
      </c>
      <c r="BO34" s="2">
        <v>-565</v>
      </c>
      <c r="BP34" s="28">
        <v>-1202</v>
      </c>
      <c r="BQ34" s="2">
        <v>-793</v>
      </c>
      <c r="BR34" s="28">
        <v>-488</v>
      </c>
      <c r="BS34" s="28">
        <v>-163</v>
      </c>
      <c r="BT34" s="2">
        <v>-109</v>
      </c>
      <c r="BU34" s="2">
        <v>-192</v>
      </c>
      <c r="BV34" s="2">
        <v>-94</v>
      </c>
      <c r="BW34" s="2">
        <v>-151</v>
      </c>
      <c r="BX34" s="2">
        <v>43</v>
      </c>
      <c r="BY34" s="2">
        <v>-105</v>
      </c>
      <c r="BZ34" s="2">
        <v>-444</v>
      </c>
      <c r="CA34" s="2">
        <v>-235</v>
      </c>
      <c r="CB34" s="2">
        <v>126</v>
      </c>
      <c r="CC34" s="2">
        <v>484</v>
      </c>
      <c r="CD34" s="2">
        <v>-504</v>
      </c>
      <c r="CE34" s="2">
        <v>-482</v>
      </c>
      <c r="CF34" s="2">
        <v>1166</v>
      </c>
      <c r="CG34" s="2">
        <f>SUM(O34:R34)</f>
        <v>629</v>
      </c>
      <c r="CH34" s="2">
        <f>SUM(S34:V34)</f>
        <v>355</v>
      </c>
      <c r="CL34" s="2">
        <f>+CK47*$CW$41</f>
        <v>176.87428375375836</v>
      </c>
      <c r="CM34" s="2">
        <f t="shared" ref="CM34:CS34" si="108">+CL47*$CW$41</f>
        <v>261.59005568312563</v>
      </c>
      <c r="CN34" s="2">
        <f t="shared" si="108"/>
        <v>361.24046334242752</v>
      </c>
      <c r="CO34" s="2">
        <f t="shared" si="108"/>
        <v>470.70661592891145</v>
      </c>
      <c r="CP34" s="2">
        <f t="shared" si="108"/>
        <v>603.66259295108273</v>
      </c>
      <c r="CQ34" s="2">
        <f t="shared" si="108"/>
        <v>755.17825220277041</v>
      </c>
      <c r="CR34" s="2">
        <f t="shared" si="108"/>
        <v>927.42604572388655</v>
      </c>
      <c r="CS34" s="2">
        <f t="shared" si="108"/>
        <v>1114.0298967575143</v>
      </c>
    </row>
    <row r="35" spans="2:175" x14ac:dyDescent="0.25">
      <c r="B35" s="2" t="s">
        <v>32</v>
      </c>
      <c r="G35" s="5">
        <f t="shared" ref="G35:N35" si="109">+G33+G34</f>
        <v>5747</v>
      </c>
      <c r="H35" s="5">
        <f t="shared" si="109"/>
        <v>5796</v>
      </c>
      <c r="I35" s="5">
        <f t="shared" si="109"/>
        <v>5193</v>
      </c>
      <c r="J35" s="5">
        <f t="shared" si="109"/>
        <v>4864</v>
      </c>
      <c r="K35" s="5">
        <f t="shared" si="109"/>
        <v>4127</v>
      </c>
      <c r="L35" s="5">
        <f t="shared" si="109"/>
        <v>-732</v>
      </c>
      <c r="M35" s="5">
        <f t="shared" si="109"/>
        <v>627</v>
      </c>
      <c r="N35" s="5">
        <f t="shared" si="109"/>
        <v>-520</v>
      </c>
      <c r="O35" s="5">
        <f t="shared" ref="O35:T35" si="110">+O33+O34</f>
        <v>-1263</v>
      </c>
      <c r="P35" s="5">
        <f t="shared" si="110"/>
        <v>-592</v>
      </c>
      <c r="Q35" s="5">
        <f t="shared" si="110"/>
        <v>955</v>
      </c>
      <c r="R35" s="5">
        <f t="shared" si="110"/>
        <v>1560</v>
      </c>
      <c r="S35" s="5">
        <f t="shared" si="110"/>
        <v>-576</v>
      </c>
      <c r="T35" s="5">
        <f t="shared" si="110"/>
        <v>-941</v>
      </c>
      <c r="U35" s="5">
        <f t="shared" ref="U35:Z35" si="111">+U33+U34</f>
        <v>-3305</v>
      </c>
      <c r="V35" s="5">
        <f t="shared" si="111"/>
        <v>796.15999999999985</v>
      </c>
      <c r="W35" s="5">
        <f t="shared" si="111"/>
        <v>67.357599999999366</v>
      </c>
      <c r="X35" s="5">
        <f t="shared" si="111"/>
        <v>4619.88</v>
      </c>
      <c r="Y35" s="5">
        <f t="shared" si="111"/>
        <v>4782.2400000000007</v>
      </c>
      <c r="Z35" s="5">
        <f t="shared" si="111"/>
        <v>4991.5440000000008</v>
      </c>
      <c r="AX35" s="36">
        <f t="shared" ref="AX35:AY35" si="112">+AX33+AX34</f>
        <v>705.26799999999992</v>
      </c>
      <c r="AY35" s="28">
        <f t="shared" si="112"/>
        <v>679.14800000000014</v>
      </c>
      <c r="AZ35" s="36">
        <f t="shared" ref="AZ35" si="113">+AZ33+AZ34</f>
        <v>1085.624</v>
      </c>
      <c r="BA35" s="36">
        <f t="shared" ref="BA35" si="114">+BA33+BA34</f>
        <v>1277</v>
      </c>
      <c r="BB35" s="36">
        <f t="shared" ref="BB35" si="115">+BB33+BB34</f>
        <v>1623</v>
      </c>
      <c r="BC35" s="36">
        <f t="shared" ref="BC35:BD35" si="116">+BC33+BC34</f>
        <v>3580</v>
      </c>
      <c r="BD35" s="36">
        <f t="shared" si="116"/>
        <v>3660</v>
      </c>
      <c r="BE35" s="36">
        <f t="shared" ref="BE35" si="117">+BE33+BE34</f>
        <v>5667</v>
      </c>
      <c r="BF35" s="36">
        <f t="shared" ref="BF35" si="118">+BF33+BF34</f>
        <v>7959</v>
      </c>
      <c r="BG35" s="36">
        <f t="shared" ref="BG35" si="119">+BG33+BG34</f>
        <v>10686</v>
      </c>
      <c r="BH35" s="28">
        <f t="shared" ref="BH35" si="120">+BH33+BH34</f>
        <v>9392</v>
      </c>
      <c r="BI35" s="36">
        <f t="shared" ref="BI35" si="121">+BI33+BI34</f>
        <v>12067</v>
      </c>
      <c r="BJ35" s="36">
        <f t="shared" ref="BJ35:BM35" si="122">+BJ33+BJ34</f>
        <v>13077</v>
      </c>
      <c r="BK35" s="28">
        <f t="shared" si="122"/>
        <v>5185</v>
      </c>
      <c r="BL35" s="28">
        <f t="shared" si="122"/>
        <v>5144</v>
      </c>
      <c r="BM35" s="2">
        <f t="shared" si="122"/>
        <v>8648</v>
      </c>
      <c r="BN35" s="2">
        <f>+BN33+BN34</f>
        <v>10596</v>
      </c>
      <c r="BO35" s="2">
        <f>+BO33+BO34</f>
        <v>11651</v>
      </c>
      <c r="BP35" s="28">
        <f>+BP33+BP34</f>
        <v>5047</v>
      </c>
      <c r="BQ35" s="2">
        <f>+BQ33+BQ34</f>
        <v>7955</v>
      </c>
      <c r="BR35" s="28">
        <f>+BR33+BR34</f>
        <v>9176</v>
      </c>
      <c r="BS35" s="28">
        <f t="shared" ref="BS35" si="123">+BS33+BS34</f>
        <v>5814</v>
      </c>
      <c r="BT35" s="2">
        <f t="shared" ref="BT35" si="124">+BT33+BT34</f>
        <v>15497</v>
      </c>
      <c r="BU35" s="2">
        <f t="shared" ref="BU35" si="125">+BU33+BU34</f>
        <v>17545</v>
      </c>
      <c r="BV35" s="2">
        <f t="shared" ref="BV35" si="126">+BV33+BV34</f>
        <v>14852</v>
      </c>
      <c r="BW35" s="2">
        <f>+BW33+BW34</f>
        <v>12671</v>
      </c>
      <c r="BX35" s="2">
        <f>+BX33+BX34</f>
        <v>15979</v>
      </c>
      <c r="BY35" s="2">
        <f>+BY33+BY34</f>
        <v>14516</v>
      </c>
      <c r="BZ35" s="2">
        <f t="shared" ref="BZ35" si="127">+BZ33+BZ34</f>
        <v>14610</v>
      </c>
      <c r="CA35" s="2">
        <f t="shared" ref="CA35:CF35" si="128">+CA33+CA34</f>
        <v>18262</v>
      </c>
      <c r="CB35" s="2">
        <f t="shared" si="128"/>
        <v>23370</v>
      </c>
      <c r="CC35" s="2">
        <f t="shared" si="128"/>
        <v>22912</v>
      </c>
      <c r="CD35" s="2">
        <f t="shared" si="128"/>
        <v>23372</v>
      </c>
      <c r="CE35" s="2">
        <f t="shared" si="128"/>
        <v>21600</v>
      </c>
      <c r="CF35" s="2">
        <f t="shared" si="128"/>
        <v>3502</v>
      </c>
      <c r="CG35" s="2">
        <f t="shared" ref="CG35:CS35" si="129">+CG33+CG34</f>
        <v>660</v>
      </c>
      <c r="CH35" s="2">
        <f t="shared" si="129"/>
        <v>-4025.84</v>
      </c>
      <c r="CI35" s="2">
        <f t="shared" si="129"/>
        <v>5826.7175839999982</v>
      </c>
      <c r="CJ35" s="2">
        <f t="shared" si="129"/>
        <v>7133.549829800002</v>
      </c>
      <c r="CK35" s="2">
        <f t="shared" si="129"/>
        <v>8609.7671903168739</v>
      </c>
      <c r="CL35" s="2">
        <f t="shared" si="129"/>
        <v>10331.191698703322</v>
      </c>
      <c r="CM35" s="2">
        <f t="shared" si="129"/>
        <v>12152.488738939261</v>
      </c>
      <c r="CN35" s="2">
        <f t="shared" si="129"/>
        <v>13349.530803229743</v>
      </c>
      <c r="CO35" s="2">
        <f t="shared" si="129"/>
        <v>16214.143539289193</v>
      </c>
      <c r="CP35" s="2">
        <f t="shared" si="129"/>
        <v>18477.519420937515</v>
      </c>
      <c r="CQ35" s="2">
        <f t="shared" si="129"/>
        <v>21005.828478184889</v>
      </c>
      <c r="CR35" s="2">
        <f t="shared" si="129"/>
        <v>22756.567199222885</v>
      </c>
      <c r="CS35" s="2">
        <f t="shared" si="129"/>
        <v>25646.888345254043</v>
      </c>
      <c r="CT35" s="2"/>
    </row>
    <row r="36" spans="2:175" x14ac:dyDescent="0.25">
      <c r="B36" s="2" t="s">
        <v>33</v>
      </c>
      <c r="G36" s="5">
        <v>545</v>
      </c>
      <c r="H36" s="5">
        <v>684</v>
      </c>
      <c r="I36" s="5">
        <v>35</v>
      </c>
      <c r="J36" s="5">
        <v>571</v>
      </c>
      <c r="K36" s="5">
        <v>1548</v>
      </c>
      <c r="L36" s="5">
        <v>0</v>
      </c>
      <c r="M36" s="5">
        <v>0</v>
      </c>
      <c r="N36" s="5">
        <v>0</v>
      </c>
      <c r="O36" s="3">
        <v>0</v>
      </c>
      <c r="P36" s="3">
        <v>0</v>
      </c>
      <c r="Q36" s="3">
        <v>0</v>
      </c>
      <c r="R36" s="3">
        <v>128</v>
      </c>
      <c r="S36" s="3">
        <v>0</v>
      </c>
      <c r="T36" s="3">
        <v>0</v>
      </c>
      <c r="U36" s="3">
        <v>0</v>
      </c>
      <c r="W36" s="3">
        <v>0</v>
      </c>
      <c r="AX36" s="36">
        <v>176.14</v>
      </c>
      <c r="AY36" s="28">
        <v>192</v>
      </c>
      <c r="AZ36" s="36">
        <v>336</v>
      </c>
      <c r="BA36" s="36">
        <v>376</v>
      </c>
      <c r="BB36" s="36">
        <v>502</v>
      </c>
      <c r="BC36" s="36">
        <v>1235</v>
      </c>
      <c r="BD36" s="36">
        <v>1315</v>
      </c>
      <c r="BE36" s="36">
        <v>2072</v>
      </c>
      <c r="BF36" s="36">
        <v>2777</v>
      </c>
      <c r="BG36" s="36">
        <v>3714</v>
      </c>
      <c r="BH36" s="28">
        <v>3069</v>
      </c>
      <c r="BI36" s="36">
        <v>3914</v>
      </c>
      <c r="BJ36" s="36">
        <v>4606</v>
      </c>
      <c r="BK36" s="28">
        <v>892</v>
      </c>
      <c r="BL36" s="28">
        <v>1087</v>
      </c>
      <c r="BM36" s="2">
        <v>1801</v>
      </c>
      <c r="BN36" s="2">
        <v>2901</v>
      </c>
      <c r="BO36" s="2">
        <v>3946</v>
      </c>
      <c r="BP36" s="28">
        <v>2024</v>
      </c>
      <c r="BQ36" s="2">
        <v>2190</v>
      </c>
      <c r="BR36" s="28">
        <v>2394</v>
      </c>
      <c r="BS36" s="28">
        <v>1335</v>
      </c>
      <c r="BT36" s="2">
        <v>4581</v>
      </c>
      <c r="BU36" s="2">
        <v>4839</v>
      </c>
      <c r="BV36" s="2">
        <v>3868</v>
      </c>
      <c r="BW36" s="2">
        <v>2991</v>
      </c>
      <c r="BX36" s="2">
        <v>4097</v>
      </c>
      <c r="BY36" s="2">
        <v>2792</v>
      </c>
      <c r="BZ36" s="2">
        <v>2620</v>
      </c>
      <c r="CA36" s="2">
        <v>0</v>
      </c>
      <c r="CB36" s="2">
        <v>2264</v>
      </c>
      <c r="CC36" s="2">
        <v>3010</v>
      </c>
      <c r="CD36" s="2">
        <v>4179</v>
      </c>
      <c r="CE36" s="2">
        <v>1835</v>
      </c>
      <c r="CF36" s="2">
        <v>-249</v>
      </c>
      <c r="CG36" s="2">
        <f>SUM(O36:R36)</f>
        <v>128</v>
      </c>
      <c r="CH36" s="2">
        <f>SUM(S36:V36)</f>
        <v>0</v>
      </c>
      <c r="CI36" s="2">
        <f t="shared" ref="CI36:CS36" si="130">+CI35*0.18</f>
        <v>1048.8091651199995</v>
      </c>
      <c r="CJ36" s="2">
        <f t="shared" si="130"/>
        <v>1284.0389693640004</v>
      </c>
      <c r="CK36" s="2">
        <f t="shared" si="130"/>
        <v>1549.7580942570373</v>
      </c>
      <c r="CL36" s="2">
        <f t="shared" si="130"/>
        <v>1859.6145057665979</v>
      </c>
      <c r="CM36" s="2">
        <f t="shared" si="130"/>
        <v>2187.447973009067</v>
      </c>
      <c r="CN36" s="2">
        <f t="shared" si="130"/>
        <v>2402.9155445813535</v>
      </c>
      <c r="CO36" s="2">
        <f t="shared" si="130"/>
        <v>2918.5458370720544</v>
      </c>
      <c r="CP36" s="2">
        <f t="shared" si="130"/>
        <v>3325.9534957687524</v>
      </c>
      <c r="CQ36" s="2">
        <f t="shared" si="130"/>
        <v>3781.0491260732797</v>
      </c>
      <c r="CR36" s="2">
        <f t="shared" si="130"/>
        <v>4096.1820958601193</v>
      </c>
      <c r="CS36" s="2">
        <f t="shared" si="130"/>
        <v>4616.4399021457275</v>
      </c>
    </row>
    <row r="37" spans="2:175" x14ac:dyDescent="0.25">
      <c r="B37" s="2" t="s">
        <v>34</v>
      </c>
      <c r="G37" s="5">
        <f t="shared" ref="G37:N37" si="131">+G35-G36</f>
        <v>5202</v>
      </c>
      <c r="H37" s="5">
        <f t="shared" si="131"/>
        <v>5112</v>
      </c>
      <c r="I37" s="5">
        <f t="shared" si="131"/>
        <v>5158</v>
      </c>
      <c r="J37" s="5">
        <f t="shared" si="131"/>
        <v>4293</v>
      </c>
      <c r="K37" s="5">
        <f t="shared" si="131"/>
        <v>2579</v>
      </c>
      <c r="L37" s="5">
        <f t="shared" si="131"/>
        <v>-732</v>
      </c>
      <c r="M37" s="5">
        <f t="shared" si="131"/>
        <v>627</v>
      </c>
      <c r="N37" s="5">
        <f t="shared" si="131"/>
        <v>-520</v>
      </c>
      <c r="O37" s="5">
        <f t="shared" ref="O37:T37" si="132">+O35-O36</f>
        <v>-1263</v>
      </c>
      <c r="P37" s="5">
        <f t="shared" si="132"/>
        <v>-592</v>
      </c>
      <c r="Q37" s="5">
        <f t="shared" si="132"/>
        <v>955</v>
      </c>
      <c r="R37" s="5">
        <f t="shared" si="132"/>
        <v>1432</v>
      </c>
      <c r="S37" s="5">
        <f t="shared" si="132"/>
        <v>-576</v>
      </c>
      <c r="T37" s="5">
        <f t="shared" si="132"/>
        <v>-941</v>
      </c>
      <c r="U37" s="5">
        <f t="shared" ref="U37:Z37" si="133">+U35-U36</f>
        <v>-3305</v>
      </c>
      <c r="V37" s="5">
        <f t="shared" si="133"/>
        <v>796.15999999999985</v>
      </c>
      <c r="W37" s="5">
        <f t="shared" si="133"/>
        <v>67.357599999999366</v>
      </c>
      <c r="X37" s="5">
        <f t="shared" si="133"/>
        <v>4619.88</v>
      </c>
      <c r="Y37" s="5">
        <f t="shared" si="133"/>
        <v>4782.2400000000007</v>
      </c>
      <c r="Z37" s="5">
        <f t="shared" si="133"/>
        <v>4991.5440000000008</v>
      </c>
      <c r="AX37" s="36">
        <f t="shared" ref="AX37:AY37" si="134">+AX35-AX36</f>
        <v>529.12799999999993</v>
      </c>
      <c r="AY37" s="28">
        <f t="shared" si="134"/>
        <v>487.14800000000014</v>
      </c>
      <c r="AZ37" s="36">
        <f t="shared" ref="AZ37" si="135">+AZ35-AZ36</f>
        <v>749.62400000000002</v>
      </c>
      <c r="BA37" s="36">
        <f t="shared" ref="BA37" si="136">+BA35-BA36</f>
        <v>901</v>
      </c>
      <c r="BB37" s="36">
        <f t="shared" ref="BB37" si="137">+BB35-BB36</f>
        <v>1121</v>
      </c>
      <c r="BC37" s="36">
        <f t="shared" ref="BC37:BD37" si="138">+BC35-BC36</f>
        <v>2345</v>
      </c>
      <c r="BD37" s="36">
        <f t="shared" si="138"/>
        <v>2345</v>
      </c>
      <c r="BE37" s="36">
        <f t="shared" ref="BE37" si="139">+BE35-BE36</f>
        <v>3595</v>
      </c>
      <c r="BF37" s="36">
        <f t="shared" ref="BF37" si="140">+BF35-BF36</f>
        <v>5182</v>
      </c>
      <c r="BG37" s="36">
        <f t="shared" ref="BG37" si="141">+BG35-BG36</f>
        <v>6972</v>
      </c>
      <c r="BH37" s="28">
        <f t="shared" ref="BH37" si="142">+BH35-BH36</f>
        <v>6323</v>
      </c>
      <c r="BI37" s="36">
        <f t="shared" ref="BI37" si="143">+BI35-BI36</f>
        <v>8153</v>
      </c>
      <c r="BJ37" s="36">
        <f t="shared" ref="BJ37:BM37" si="144">+BJ35-BJ36</f>
        <v>8471</v>
      </c>
      <c r="BK37" s="28">
        <f t="shared" si="144"/>
        <v>4293</v>
      </c>
      <c r="BL37" s="28">
        <f t="shared" si="144"/>
        <v>4057</v>
      </c>
      <c r="BM37" s="2">
        <f t="shared" si="144"/>
        <v>6847</v>
      </c>
      <c r="BN37" s="2">
        <f>+BN35-BN36</f>
        <v>7695</v>
      </c>
      <c r="BO37" s="2">
        <f>+BO35-BO36</f>
        <v>7705</v>
      </c>
      <c r="BP37" s="28">
        <f>+BP35-BP36</f>
        <v>3023</v>
      </c>
      <c r="BQ37" s="2">
        <f>+BQ35-BQ36</f>
        <v>5765</v>
      </c>
      <c r="BR37" s="28">
        <f>+BR35-BR36</f>
        <v>6782</v>
      </c>
      <c r="BS37" s="28">
        <f t="shared" ref="BS37" si="145">+BS35-BS36</f>
        <v>4479</v>
      </c>
      <c r="BT37" s="2">
        <f t="shared" ref="BT37" si="146">+BT35-BT36</f>
        <v>10916</v>
      </c>
      <c r="BU37" s="2">
        <f t="shared" ref="BU37" si="147">+BU35-BU36</f>
        <v>12706</v>
      </c>
      <c r="BV37" s="2">
        <f t="shared" ref="BV37" si="148">+BV35-BV36</f>
        <v>10984</v>
      </c>
      <c r="BW37" s="2">
        <f>+BW35-BW36</f>
        <v>9680</v>
      </c>
      <c r="BX37" s="2">
        <f>+BX35-BX36</f>
        <v>11882</v>
      </c>
      <c r="BY37" s="2">
        <f>+BY35-BY36</f>
        <v>11724</v>
      </c>
      <c r="BZ37" s="2">
        <f t="shared" ref="BZ37" si="149">+BZ35-BZ36</f>
        <v>11990</v>
      </c>
      <c r="CA37" s="2">
        <f>+CA35-CA36</f>
        <v>18262</v>
      </c>
      <c r="CB37" s="2">
        <f>+CB35-CB36</f>
        <v>21106</v>
      </c>
      <c r="CC37" s="2">
        <f>+CC35-CC36</f>
        <v>19902</v>
      </c>
      <c r="CD37" s="2">
        <f>+CD35-CD36</f>
        <v>19193</v>
      </c>
      <c r="CE37" s="2">
        <f t="shared" ref="CE37:CF37" si="150">+CE35-CE36</f>
        <v>19765</v>
      </c>
      <c r="CF37" s="2">
        <f t="shared" si="150"/>
        <v>3751</v>
      </c>
      <c r="CG37" s="2">
        <f t="shared" ref="CG37" si="151">+CG35-CG36</f>
        <v>532</v>
      </c>
      <c r="CH37" s="2">
        <f t="shared" ref="CH37" si="152">+CH35-CH36</f>
        <v>-4025.84</v>
      </c>
      <c r="CI37" s="2">
        <f t="shared" ref="CI37" si="153">+CI35-CI36</f>
        <v>4777.9084188799989</v>
      </c>
      <c r="CJ37" s="2">
        <f t="shared" ref="CJ37" si="154">+CJ35-CJ36</f>
        <v>5849.5108604360012</v>
      </c>
      <c r="CK37" s="2">
        <f t="shared" ref="CK37" si="155">+CK35-CK36</f>
        <v>7060.0090960598363</v>
      </c>
      <c r="CL37" s="2">
        <f t="shared" ref="CL37" si="156">+CL35-CL36</f>
        <v>8471.5771929367238</v>
      </c>
      <c r="CM37" s="2">
        <f t="shared" ref="CM37" si="157">+CM35-CM36</f>
        <v>9965.0407659301927</v>
      </c>
      <c r="CN37" s="2">
        <f t="shared" ref="CN37" si="158">+CN35-CN36</f>
        <v>10946.615258648389</v>
      </c>
      <c r="CO37" s="2">
        <f t="shared" ref="CO37" si="159">+CO35-CO36</f>
        <v>13295.597702217139</v>
      </c>
      <c r="CP37" s="2">
        <f t="shared" ref="CP37" si="160">+CP35-CP36</f>
        <v>15151.565925168763</v>
      </c>
      <c r="CQ37" s="2">
        <f t="shared" ref="CQ37" si="161">+CQ35-CQ36</f>
        <v>17224.779352111611</v>
      </c>
      <c r="CR37" s="2">
        <f t="shared" ref="CR37" si="162">+CR35-CR36</f>
        <v>18660.385103362765</v>
      </c>
      <c r="CS37" s="2">
        <f t="shared" ref="CS37" si="163">+CS35-CS36</f>
        <v>21030.448443108315</v>
      </c>
      <c r="CT37" s="2">
        <f t="shared" ref="CT37:DY37" si="164">+CS37*(1+$CW$42)</f>
        <v>21240.752927539397</v>
      </c>
      <c r="CU37" s="2">
        <f t="shared" si="164"/>
        <v>21453.160456814792</v>
      </c>
      <c r="CV37" s="2">
        <f t="shared" si="164"/>
        <v>21667.692061382939</v>
      </c>
      <c r="CW37" s="2">
        <f t="shared" si="164"/>
        <v>21884.368981996769</v>
      </c>
      <c r="CX37" s="2">
        <f t="shared" si="164"/>
        <v>22103.212671816738</v>
      </c>
      <c r="CY37" s="2">
        <f t="shared" si="164"/>
        <v>22324.244798534906</v>
      </c>
      <c r="CZ37" s="2">
        <f t="shared" si="164"/>
        <v>22547.487246520257</v>
      </c>
      <c r="DA37" s="2">
        <f t="shared" si="164"/>
        <v>22772.962118985459</v>
      </c>
      <c r="DB37" s="2">
        <f t="shared" si="164"/>
        <v>23000.691740175313</v>
      </c>
      <c r="DC37" s="2">
        <f t="shared" si="164"/>
        <v>23230.698657577064</v>
      </c>
      <c r="DD37" s="2">
        <f t="shared" si="164"/>
        <v>23463.005644152836</v>
      </c>
      <c r="DE37" s="2">
        <f t="shared" si="164"/>
        <v>23697.635700594365</v>
      </c>
      <c r="DF37" s="2">
        <f t="shared" si="164"/>
        <v>23934.612057600309</v>
      </c>
      <c r="DG37" s="2">
        <f t="shared" si="164"/>
        <v>24173.958178176312</v>
      </c>
      <c r="DH37" s="2">
        <f t="shared" si="164"/>
        <v>24415.697759958075</v>
      </c>
      <c r="DI37" s="2">
        <f t="shared" si="164"/>
        <v>24659.854737557656</v>
      </c>
      <c r="DJ37" s="2">
        <f t="shared" si="164"/>
        <v>24906.453284933232</v>
      </c>
      <c r="DK37" s="2">
        <f t="shared" si="164"/>
        <v>25155.517817782566</v>
      </c>
      <c r="DL37" s="2">
        <f t="shared" si="164"/>
        <v>25407.072995960392</v>
      </c>
      <c r="DM37" s="2">
        <f t="shared" si="164"/>
        <v>25661.143725919996</v>
      </c>
      <c r="DN37" s="2">
        <f t="shared" si="164"/>
        <v>25917.755163179198</v>
      </c>
      <c r="DO37" s="2">
        <f t="shared" si="164"/>
        <v>26176.932714810991</v>
      </c>
      <c r="DP37" s="2">
        <f t="shared" si="164"/>
        <v>26438.702041959103</v>
      </c>
      <c r="DQ37" s="2">
        <f t="shared" si="164"/>
        <v>26703.089062378695</v>
      </c>
      <c r="DR37" s="2">
        <f t="shared" si="164"/>
        <v>26970.119953002482</v>
      </c>
      <c r="DS37" s="2">
        <f t="shared" si="164"/>
        <v>27239.821152532506</v>
      </c>
      <c r="DT37" s="2">
        <f t="shared" si="164"/>
        <v>27512.21936405783</v>
      </c>
      <c r="DU37" s="2">
        <f t="shared" si="164"/>
        <v>27787.341557698408</v>
      </c>
      <c r="DV37" s="2">
        <f t="shared" si="164"/>
        <v>28065.214973275393</v>
      </c>
      <c r="DW37" s="2">
        <f t="shared" si="164"/>
        <v>28345.867123008149</v>
      </c>
      <c r="DX37" s="2">
        <f t="shared" si="164"/>
        <v>28629.32579423823</v>
      </c>
      <c r="DY37" s="2">
        <f t="shared" si="164"/>
        <v>28915.619052180613</v>
      </c>
      <c r="DZ37" s="2">
        <f t="shared" ref="DZ37:FE37" si="165">+DY37*(1+$CW$42)</f>
        <v>29204.775242702421</v>
      </c>
      <c r="EA37" s="2">
        <f t="shared" si="165"/>
        <v>29496.822995129445</v>
      </c>
      <c r="EB37" s="2">
        <f t="shared" si="165"/>
        <v>29791.791225080739</v>
      </c>
      <c r="EC37" s="2">
        <f t="shared" si="165"/>
        <v>30089.709137331545</v>
      </c>
      <c r="ED37" s="2">
        <f t="shared" si="165"/>
        <v>30390.606228704863</v>
      </c>
      <c r="EE37" s="2">
        <f t="shared" si="165"/>
        <v>30694.512290991912</v>
      </c>
      <c r="EF37" s="2">
        <f t="shared" si="165"/>
        <v>31001.45741390183</v>
      </c>
      <c r="EG37" s="2">
        <f t="shared" si="165"/>
        <v>31311.471988040848</v>
      </c>
      <c r="EH37" s="2">
        <f t="shared" si="165"/>
        <v>31624.586707921258</v>
      </c>
      <c r="EI37" s="2">
        <f t="shared" si="165"/>
        <v>31940.83257500047</v>
      </c>
      <c r="EJ37" s="2">
        <f t="shared" si="165"/>
        <v>32260.240900750476</v>
      </c>
      <c r="EK37" s="2">
        <f t="shared" si="165"/>
        <v>32582.84330975798</v>
      </c>
      <c r="EL37" s="2">
        <f t="shared" si="165"/>
        <v>32908.671742855557</v>
      </c>
      <c r="EM37" s="2">
        <f t="shared" si="165"/>
        <v>33237.758460284109</v>
      </c>
      <c r="EN37" s="2">
        <f t="shared" si="165"/>
        <v>33570.136044886953</v>
      </c>
      <c r="EO37" s="2">
        <f t="shared" si="165"/>
        <v>33905.83740533582</v>
      </c>
      <c r="EP37" s="2">
        <f t="shared" si="165"/>
        <v>34244.895779389182</v>
      </c>
      <c r="EQ37" s="2">
        <f t="shared" si="165"/>
        <v>34587.344737183077</v>
      </c>
      <c r="ER37" s="2">
        <f t="shared" si="165"/>
        <v>34933.218184554906</v>
      </c>
      <c r="ES37" s="2">
        <f t="shared" si="165"/>
        <v>35282.550366400457</v>
      </c>
      <c r="ET37" s="2">
        <f t="shared" si="165"/>
        <v>35635.375870064461</v>
      </c>
      <c r="EU37" s="2">
        <f t="shared" si="165"/>
        <v>35991.729628765104</v>
      </c>
      <c r="EV37" s="2">
        <f t="shared" si="165"/>
        <v>36351.646925052759</v>
      </c>
      <c r="EW37" s="2">
        <f t="shared" si="165"/>
        <v>36715.163394303287</v>
      </c>
      <c r="EX37" s="2">
        <f t="shared" si="165"/>
        <v>37082.315028246318</v>
      </c>
      <c r="EY37" s="2">
        <f t="shared" si="165"/>
        <v>37453.138178528781</v>
      </c>
      <c r="EZ37" s="2">
        <f t="shared" si="165"/>
        <v>37827.669560314069</v>
      </c>
      <c r="FA37" s="2">
        <f t="shared" si="165"/>
        <v>38205.94625591721</v>
      </c>
      <c r="FB37" s="2">
        <f t="shared" si="165"/>
        <v>38588.005718476379</v>
      </c>
      <c r="FC37" s="2">
        <f t="shared" si="165"/>
        <v>38973.88577566114</v>
      </c>
      <c r="FD37" s="2">
        <f t="shared" si="165"/>
        <v>39363.624633417749</v>
      </c>
      <c r="FE37" s="2">
        <f t="shared" si="165"/>
        <v>39757.260879751928</v>
      </c>
      <c r="FF37" s="2">
        <f t="shared" ref="FF37:FS37" si="166">+FE37*(1+$CW$42)</f>
        <v>40154.833488549448</v>
      </c>
      <c r="FG37" s="2">
        <f t="shared" si="166"/>
        <v>40556.381823434946</v>
      </c>
      <c r="FH37" s="2">
        <f t="shared" si="166"/>
        <v>40961.945641669292</v>
      </c>
      <c r="FI37" s="2">
        <f t="shared" si="166"/>
        <v>41371.565098085986</v>
      </c>
      <c r="FJ37" s="2">
        <f t="shared" si="166"/>
        <v>41785.280749066849</v>
      </c>
      <c r="FK37" s="2">
        <f t="shared" si="166"/>
        <v>42203.133556557521</v>
      </c>
      <c r="FL37" s="2">
        <f t="shared" si="166"/>
        <v>42625.164892123095</v>
      </c>
      <c r="FM37" s="2">
        <f t="shared" si="166"/>
        <v>43051.416541044324</v>
      </c>
      <c r="FN37" s="2">
        <f t="shared" si="166"/>
        <v>43481.930706454768</v>
      </c>
      <c r="FO37" s="2">
        <f t="shared" si="166"/>
        <v>43916.750013519319</v>
      </c>
      <c r="FP37" s="2">
        <f t="shared" si="166"/>
        <v>44355.917513654509</v>
      </c>
      <c r="FQ37" s="2">
        <f t="shared" si="166"/>
        <v>44799.476688791052</v>
      </c>
      <c r="FR37" s="2">
        <f t="shared" si="166"/>
        <v>45247.471455678962</v>
      </c>
      <c r="FS37" s="2">
        <f t="shared" si="166"/>
        <v>45699.946170235751</v>
      </c>
    </row>
    <row r="38" spans="2:175" x14ac:dyDescent="0.25">
      <c r="B38" s="2" t="s">
        <v>35</v>
      </c>
      <c r="G38" s="16">
        <f t="shared" ref="G38:N38" si="167">+G37/G39</f>
        <v>1.27001953125</v>
      </c>
      <c r="H38" s="16">
        <f t="shared" si="167"/>
        <v>1.2517140058765917</v>
      </c>
      <c r="I38" s="16">
        <f t="shared" si="167"/>
        <v>1.2623592755751345</v>
      </c>
      <c r="J38" s="16">
        <f t="shared" si="167"/>
        <v>1.0483516483516484</v>
      </c>
      <c r="K38" s="16">
        <f t="shared" si="167"/>
        <v>0.62795227660092523</v>
      </c>
      <c r="L38" s="16">
        <f t="shared" si="167"/>
        <v>-0.17853658536585365</v>
      </c>
      <c r="M38" s="16">
        <f t="shared" si="167"/>
        <v>0.152</v>
      </c>
      <c r="N38" s="16">
        <f t="shared" si="167"/>
        <v>-0.12581659811275103</v>
      </c>
      <c r="O38" s="16">
        <f t="shared" ref="O38:Z38" si="168">+O37/O39</f>
        <v>-0.3040442946557535</v>
      </c>
      <c r="P38" s="16">
        <f t="shared" si="168"/>
        <v>-0.14108674928503337</v>
      </c>
      <c r="Q38" s="16">
        <f t="shared" si="168"/>
        <v>0.22582170725939937</v>
      </c>
      <c r="R38" s="16">
        <f t="shared" si="168"/>
        <v>0.33615023474178402</v>
      </c>
      <c r="S38" s="16">
        <f t="shared" si="168"/>
        <v>-0.13578500707213578</v>
      </c>
      <c r="T38" s="16">
        <f t="shared" si="168"/>
        <v>-0.22052964612139678</v>
      </c>
      <c r="U38" s="16">
        <f t="shared" si="168"/>
        <v>-0.77003727865796834</v>
      </c>
      <c r="V38" s="16">
        <f t="shared" si="168"/>
        <v>0.18549860205032614</v>
      </c>
      <c r="W38" s="16">
        <f t="shared" si="168"/>
        <v>1.569375582479016E-2</v>
      </c>
      <c r="X38" s="16">
        <f t="shared" si="168"/>
        <v>1.0763932898415658</v>
      </c>
      <c r="Y38" s="16">
        <f t="shared" si="168"/>
        <v>1.1142218080149116</v>
      </c>
      <c r="Z38" s="16">
        <f t="shared" si="168"/>
        <v>1.1629878844361605</v>
      </c>
      <c r="AX38" s="38">
        <f t="shared" ref="AX38:AZ38" si="169">+AX37/AX39</f>
        <v>9.164001839977387E-2</v>
      </c>
      <c r="AY38" s="30">
        <f t="shared" si="169"/>
        <v>8.0641679644873898E-2</v>
      </c>
      <c r="AZ38" s="38">
        <f t="shared" si="169"/>
        <v>0.11544839855897414</v>
      </c>
      <c r="BA38" s="38">
        <f>+BA37/BA39</f>
        <v>0.1347188995215311</v>
      </c>
      <c r="BB38" s="38">
        <f t="shared" ref="BB38:BE38" si="170">+BB37/BB39</f>
        <v>0.16331585081585082</v>
      </c>
      <c r="BC38" s="38">
        <f t="shared" si="170"/>
        <v>0.33234126984126983</v>
      </c>
      <c r="BD38" s="38">
        <f t="shared" si="170"/>
        <v>0.33538329519450799</v>
      </c>
      <c r="BE38" s="38">
        <f t="shared" si="170"/>
        <v>0.50834276018099545</v>
      </c>
      <c r="BF38" s="38">
        <f t="shared" ref="BF38" si="171">+BF37/BF39</f>
        <v>0.72944819819819817</v>
      </c>
      <c r="BG38" s="38">
        <f t="shared" ref="BG38" si="172">+BG37/BG39</f>
        <v>0.97103064066852363</v>
      </c>
      <c r="BH38" s="30">
        <f t="shared" ref="BH38" si="173">+BH37/BH39</f>
        <v>0.89891953369348876</v>
      </c>
      <c r="BI38" s="38">
        <f t="shared" ref="BI38" si="174">+BI37/BI39</f>
        <v>1.1747838616714696</v>
      </c>
      <c r="BJ38" s="38">
        <f t="shared" ref="BJ38:BM38" si="175">+BJ37/BJ39</f>
        <v>1.2125679931291153</v>
      </c>
      <c r="BK38" s="30">
        <f t="shared" si="175"/>
        <v>0.62407326646314876</v>
      </c>
      <c r="BL38" s="30">
        <f t="shared" si="175"/>
        <v>0.60023672140849238</v>
      </c>
      <c r="BM38" s="1">
        <f t="shared" si="175"/>
        <v>1.0341338166440115</v>
      </c>
      <c r="BN38" s="1">
        <f>+BN37/BN39</f>
        <v>1.184939944564213</v>
      </c>
      <c r="BO38" s="1">
        <f>+BO37/BO39</f>
        <v>1.2471673680802848</v>
      </c>
      <c r="BP38" s="30">
        <f>+BP37/BP39</f>
        <v>0.51411564625850337</v>
      </c>
      <c r="BQ38" s="1">
        <f>+BQ37/BQ39</f>
        <v>0.97119272237196763</v>
      </c>
      <c r="BR38" s="30">
        <f>+BR37/BR39</f>
        <v>1.1798886569241476</v>
      </c>
      <c r="BS38" s="30">
        <f t="shared" ref="BS38" si="176">+BS37/BS39</f>
        <v>0.79344552701505755</v>
      </c>
      <c r="BT38" s="1">
        <f t="shared" ref="BT38" si="177">+BT37/BT39</f>
        <v>1.916432584269663</v>
      </c>
      <c r="BU38" s="1">
        <f t="shared" ref="BU38" si="178">+BU37/BU39</f>
        <v>2.3481796340787287</v>
      </c>
      <c r="BV38" s="1">
        <f t="shared" ref="BV38" si="179">+BV37/BV39</f>
        <v>2.1286821705426355</v>
      </c>
      <c r="BW38" s="1">
        <f>+BW37/BW39</f>
        <v>1.8991563664900921</v>
      </c>
      <c r="BX38" s="1">
        <f t="shared" ref="BX38:BZ38" si="180">+BX37/BX39</f>
        <v>2.3500791139240507</v>
      </c>
      <c r="BY38" s="1">
        <f t="shared" si="180"/>
        <v>2.3955864323661626</v>
      </c>
      <c r="BZ38" s="1">
        <f t="shared" si="180"/>
        <v>2.4594871794871795</v>
      </c>
      <c r="CA38" s="1">
        <f>+CA37/CA39</f>
        <v>3.7770423991726991</v>
      </c>
      <c r="CB38" s="1">
        <f>+CB37/CB39</f>
        <v>4.4896830461603914</v>
      </c>
      <c r="CC38" s="1">
        <f>+CC37/CC39</f>
        <v>4.4493628437290411</v>
      </c>
      <c r="CD38" s="1">
        <f>+CD37/CD39</f>
        <v>4.5352079395085063</v>
      </c>
      <c r="CE38" s="1">
        <f t="shared" ref="CE38:CG38" si="181">+CE37/CE39</f>
        <v>4.8325183374083132</v>
      </c>
      <c r="CF38" s="1">
        <f t="shared" si="181"/>
        <v>0.90977443609022557</v>
      </c>
      <c r="CG38" s="1">
        <f t="shared" si="181"/>
        <v>0.12637330007720174</v>
      </c>
      <c r="CH38" s="1">
        <f t="shared" ref="CH38" si="182">+CH37/CH39</f>
        <v>-0.94210261510559878</v>
      </c>
      <c r="CI38" s="1">
        <f t="shared" ref="CI38" si="183">+CI37/CI39</f>
        <v>1.1180970967951791</v>
      </c>
      <c r="CJ38" s="1">
        <f t="shared" ref="CJ38" si="184">+CJ37/CJ39</f>
        <v>1.3688669889278655</v>
      </c>
      <c r="CK38" s="1">
        <f t="shared" ref="CK38" si="185">+CK37/CK39</f>
        <v>1.6521404308336363</v>
      </c>
      <c r="CL38" s="1">
        <f t="shared" ref="CL38" si="186">+CL37/CL39</f>
        <v>1.9824670199348795</v>
      </c>
      <c r="CM38" s="1">
        <f t="shared" ref="CM38" si="187">+CM37/CM39</f>
        <v>2.3319582907459644</v>
      </c>
      <c r="CN38" s="1">
        <f t="shared" ref="CN38" si="188">+CN37/CN39</f>
        <v>2.5616603893168874</v>
      </c>
      <c r="CO38" s="1">
        <f t="shared" ref="CO38" si="189">+CO37/CO39</f>
        <v>3.1113549879405928</v>
      </c>
      <c r="CP38" s="1">
        <f t="shared" ref="CP38" si="190">+CP37/CP39</f>
        <v>3.5456773942944513</v>
      </c>
      <c r="CQ38" s="1">
        <f t="shared" ref="CQ38" si="191">+CQ37/CQ39</f>
        <v>4.0308382032672112</v>
      </c>
      <c r="CR38" s="1">
        <f t="shared" ref="CR38" si="192">+CR37/CR39</f>
        <v>4.3667899381882096</v>
      </c>
      <c r="CS38" s="1">
        <f t="shared" ref="CS38" si="193">+CS37/CS39</f>
        <v>4.9214177600440685</v>
      </c>
    </row>
    <row r="39" spans="2:175" x14ac:dyDescent="0.25">
      <c r="B39" s="2" t="s">
        <v>1</v>
      </c>
      <c r="G39" s="5">
        <v>4096</v>
      </c>
      <c r="H39" s="5">
        <v>4084</v>
      </c>
      <c r="I39" s="5">
        <v>4086</v>
      </c>
      <c r="J39" s="5">
        <v>4095</v>
      </c>
      <c r="K39" s="5">
        <v>4107</v>
      </c>
      <c r="L39" s="5">
        <v>4100</v>
      </c>
      <c r="M39" s="5">
        <v>4125</v>
      </c>
      <c r="N39" s="5">
        <v>4133</v>
      </c>
      <c r="O39" s="5">
        <v>4154</v>
      </c>
      <c r="P39" s="5">
        <v>4196</v>
      </c>
      <c r="Q39" s="5">
        <v>4229</v>
      </c>
      <c r="R39" s="5">
        <v>4260</v>
      </c>
      <c r="S39" s="5">
        <v>4242</v>
      </c>
      <c r="T39" s="5">
        <v>4267</v>
      </c>
      <c r="U39" s="5">
        <v>4292</v>
      </c>
      <c r="V39" s="5">
        <f>+U39</f>
        <v>4292</v>
      </c>
      <c r="W39" s="5">
        <f>+V39</f>
        <v>4292</v>
      </c>
      <c r="X39" s="5">
        <f>+W39</f>
        <v>4292</v>
      </c>
      <c r="Y39" s="5">
        <f>+X39</f>
        <v>4292</v>
      </c>
      <c r="Z39" s="5">
        <f>+Y39</f>
        <v>4292</v>
      </c>
      <c r="AX39" s="36">
        <f>180.437*32</f>
        <v>5773.9840000000004</v>
      </c>
      <c r="AY39" s="28">
        <f>188.778*32</f>
        <v>6040.8959999999997</v>
      </c>
      <c r="AZ39" s="36">
        <f>202.911*32</f>
        <v>6493.152</v>
      </c>
      <c r="BA39" s="36">
        <f>418*16</f>
        <v>6688</v>
      </c>
      <c r="BB39" s="36">
        <f>429*16</f>
        <v>6864</v>
      </c>
      <c r="BC39" s="36">
        <f>441*16</f>
        <v>7056</v>
      </c>
      <c r="BD39" s="36">
        <f>874*8</f>
        <v>6992</v>
      </c>
      <c r="BE39" s="36">
        <f>884*8</f>
        <v>7072</v>
      </c>
      <c r="BF39" s="36">
        <f>888*8</f>
        <v>7104</v>
      </c>
      <c r="BG39" s="36">
        <f>3590*2</f>
        <v>7180</v>
      </c>
      <c r="BH39" s="28">
        <f>3517*2</f>
        <v>7034</v>
      </c>
      <c r="BI39" s="36">
        <f>3470*2</f>
        <v>6940</v>
      </c>
      <c r="BJ39" s="36">
        <v>6986</v>
      </c>
      <c r="BK39" s="28">
        <v>6879</v>
      </c>
      <c r="BL39" s="28">
        <v>6759</v>
      </c>
      <c r="BM39" s="2">
        <v>6621</v>
      </c>
      <c r="BN39" s="2">
        <v>6494</v>
      </c>
      <c r="BO39" s="2">
        <v>6178</v>
      </c>
      <c r="BP39" s="28">
        <v>5880</v>
      </c>
      <c r="BQ39" s="2">
        <v>5936</v>
      </c>
      <c r="BR39" s="28">
        <v>5748</v>
      </c>
      <c r="BS39" s="28">
        <v>5645</v>
      </c>
      <c r="BT39" s="2">
        <v>5696</v>
      </c>
      <c r="BU39" s="2">
        <v>5411</v>
      </c>
      <c r="BV39" s="2">
        <v>5160</v>
      </c>
      <c r="BW39" s="2">
        <v>5097</v>
      </c>
      <c r="BX39" s="2">
        <v>5056</v>
      </c>
      <c r="BY39" s="2">
        <v>4894</v>
      </c>
      <c r="BZ39" s="2">
        <v>4875</v>
      </c>
      <c r="CA39" s="2">
        <v>4835</v>
      </c>
      <c r="CB39" s="2">
        <v>4701</v>
      </c>
      <c r="CC39" s="2">
        <v>4473</v>
      </c>
      <c r="CD39" s="2">
        <v>4232</v>
      </c>
      <c r="CE39" s="2">
        <v>4090</v>
      </c>
      <c r="CF39" s="2">
        <v>4123</v>
      </c>
      <c r="CG39" s="2">
        <f>AVERAGE(O39:R39)</f>
        <v>4209.75</v>
      </c>
      <c r="CH39" s="2">
        <f>AVERAGE(S39:V39)</f>
        <v>4273.25</v>
      </c>
      <c r="CI39" s="2">
        <f t="shared" ref="CI39:CS39" si="194">+CH39</f>
        <v>4273.25</v>
      </c>
      <c r="CJ39" s="2">
        <f t="shared" si="194"/>
        <v>4273.25</v>
      </c>
      <c r="CK39" s="2">
        <f t="shared" si="194"/>
        <v>4273.25</v>
      </c>
      <c r="CL39" s="2">
        <f t="shared" si="194"/>
        <v>4273.25</v>
      </c>
      <c r="CM39" s="2">
        <f t="shared" si="194"/>
        <v>4273.25</v>
      </c>
      <c r="CN39" s="2">
        <f t="shared" si="194"/>
        <v>4273.25</v>
      </c>
      <c r="CO39" s="2">
        <f t="shared" si="194"/>
        <v>4273.25</v>
      </c>
      <c r="CP39" s="2">
        <f t="shared" si="194"/>
        <v>4273.25</v>
      </c>
      <c r="CQ39" s="2">
        <f t="shared" si="194"/>
        <v>4273.25</v>
      </c>
      <c r="CR39" s="2">
        <f t="shared" si="194"/>
        <v>4273.25</v>
      </c>
      <c r="CS39" s="2">
        <f t="shared" si="194"/>
        <v>4273.25</v>
      </c>
    </row>
    <row r="40" spans="2:175" x14ac:dyDescent="0.25">
      <c r="CJ40" s="4"/>
      <c r="CV40" t="s">
        <v>73</v>
      </c>
      <c r="CW40" s="4">
        <v>0.08</v>
      </c>
    </row>
    <row r="41" spans="2:175" s="12" customFormat="1" ht="13" x14ac:dyDescent="0.3">
      <c r="B41" s="12" t="s">
        <v>24</v>
      </c>
      <c r="C41" s="14"/>
      <c r="D41" s="14"/>
      <c r="E41" s="14"/>
      <c r="F41" s="14"/>
      <c r="G41" s="14"/>
      <c r="H41" s="14"/>
      <c r="I41" s="14"/>
      <c r="J41" s="14"/>
      <c r="K41" s="17">
        <f t="shared" ref="K41:M41" si="195">+K27/G27-1</f>
        <v>-6.7097036547552502E-2</v>
      </c>
      <c r="L41" s="17">
        <f t="shared" si="195"/>
        <v>-0.2195507106107687</v>
      </c>
      <c r="M41" s="17">
        <f t="shared" si="195"/>
        <v>-0.20081283868278454</v>
      </c>
      <c r="N41" s="17">
        <f>+N27/J27-1</f>
        <v>-0.31595869056897896</v>
      </c>
      <c r="O41" s="17">
        <f t="shared" ref="O41" si="196">+O27/K27-1</f>
        <v>-0.36168473818994173</v>
      </c>
      <c r="P41" s="17">
        <f t="shared" ref="P41" si="197">+P27/L27-1</f>
        <v>-0.15482018145029697</v>
      </c>
      <c r="Q41" s="17">
        <f t="shared" ref="Q41" si="198">+Q27/M27-1</f>
        <v>-7.6933107315164895E-2</v>
      </c>
      <c r="R41" s="17">
        <f t="shared" ref="R41:Z41" si="199">+R27/N27-1</f>
        <v>9.7137159948725182E-2</v>
      </c>
      <c r="S41" s="17">
        <f t="shared" si="199"/>
        <v>8.6128894579598825E-2</v>
      </c>
      <c r="T41" s="17">
        <f t="shared" si="199"/>
        <v>-8.9582207120241231E-3</v>
      </c>
      <c r="U41" s="17">
        <f t="shared" si="199"/>
        <v>-6.1731883034326862E-2</v>
      </c>
      <c r="V41" s="17">
        <f t="shared" si="199"/>
        <v>-9.9999999999999978E-2</v>
      </c>
      <c r="W41" s="17">
        <f t="shared" si="199"/>
        <v>-3.0000000000000138E-2</v>
      </c>
      <c r="X41" s="17">
        <f t="shared" si="199"/>
        <v>-9.9999999999999978E-2</v>
      </c>
      <c r="Y41" s="17">
        <f t="shared" si="199"/>
        <v>-9.9999999999999978E-2</v>
      </c>
      <c r="Z41" s="17">
        <f t="shared" si="199"/>
        <v>-9.9999999999999978E-2</v>
      </c>
      <c r="AE41" s="40"/>
      <c r="AF41" s="39">
        <f t="shared" ref="AF41:AK41" si="200">+AF27/AE27-1</f>
        <v>6.0000000000000009</v>
      </c>
      <c r="AG41" s="39">
        <f t="shared" si="200"/>
        <v>1.2380952380952381</v>
      </c>
      <c r="AH41" s="39">
        <f t="shared" si="200"/>
        <v>1.4893617021276593</v>
      </c>
      <c r="AI41" s="39">
        <f t="shared" si="200"/>
        <v>1.8290598290598292</v>
      </c>
      <c r="AJ41" s="39">
        <f t="shared" si="200"/>
        <v>1.0317220543806647</v>
      </c>
      <c r="AK41" s="31">
        <f t="shared" ref="AK41:AO41" si="201">+AK27/AJ27-1</f>
        <v>1.7100371747212018E-2</v>
      </c>
      <c r="AL41" s="39">
        <f t="shared" si="201"/>
        <v>0.65204678362573087</v>
      </c>
      <c r="AM41" s="39">
        <f t="shared" si="201"/>
        <v>0.25</v>
      </c>
      <c r="AN41" s="39">
        <f t="shared" si="201"/>
        <v>0.41238938053097351</v>
      </c>
      <c r="AO41" s="39">
        <f t="shared" ref="AO41:AX41" si="202">+AO27/AN27-1</f>
        <v>0.65664160401002514</v>
      </c>
      <c r="AP41" s="39">
        <f t="shared" si="202"/>
        <v>0.29349470499243568</v>
      </c>
      <c r="AQ41" s="31">
        <f t="shared" si="202"/>
        <v>-7.7192982456140369E-2</v>
      </c>
      <c r="AR41" s="39">
        <f t="shared" si="202"/>
        <v>0.14068441064638781</v>
      </c>
      <c r="AS41" s="39">
        <f t="shared" si="202"/>
        <v>0.24666666666666659</v>
      </c>
      <c r="AT41" s="39">
        <f t="shared" si="202"/>
        <v>0.45187165775401072</v>
      </c>
      <c r="AU41" s="31">
        <f t="shared" si="202"/>
        <v>-0.16206261510128916</v>
      </c>
      <c r="AV41" s="31">
        <f t="shared" si="202"/>
        <v>-7.3260073260073222E-2</v>
      </c>
      <c r="AW41" s="39">
        <f t="shared" si="202"/>
        <v>0.50750988142292486</v>
      </c>
      <c r="AX41" s="39">
        <f t="shared" ref="AX41:BD41" si="203">+AX27/AW27-1</f>
        <v>0.50748243314105923</v>
      </c>
      <c r="AY41" s="31">
        <f t="shared" si="203"/>
        <v>8.7681479798898732E-2</v>
      </c>
      <c r="AZ41" s="39">
        <f t="shared" si="203"/>
        <v>0.25407209147402487</v>
      </c>
      <c r="BA41" s="39">
        <f t="shared" si="203"/>
        <v>0.21873656367802918</v>
      </c>
      <c r="BB41" s="39">
        <f t="shared" si="203"/>
        <v>0.22284996861268058</v>
      </c>
      <c r="BC41" s="39">
        <f t="shared" si="203"/>
        <v>0.50273785078713207</v>
      </c>
      <c r="BD41" s="39">
        <f t="shared" si="203"/>
        <v>0.31188795263038038</v>
      </c>
      <c r="BE41" s="39">
        <f t="shared" ref="BE41:BQ41" si="204">+BE27/BD27-1</f>
        <v>0.40630153632497179</v>
      </c>
      <c r="BF41" s="39">
        <f t="shared" si="204"/>
        <v>0.28669300086409089</v>
      </c>
      <c r="BG41" s="39">
        <f t="shared" si="204"/>
        <v>0.20257111334964262</v>
      </c>
      <c r="BH41" s="31">
        <f t="shared" si="204"/>
        <v>4.7985640207419245E-2</v>
      </c>
      <c r="BI41" s="39">
        <f t="shared" si="204"/>
        <v>0.11860084497392753</v>
      </c>
      <c r="BJ41" s="39">
        <f t="shared" si="204"/>
        <v>0.14757222089897581</v>
      </c>
      <c r="BK41" s="31">
        <f t="shared" si="204"/>
        <v>-0.21309968570242543</v>
      </c>
      <c r="BL41" s="31">
        <f t="shared" si="204"/>
        <v>8.4780888503710461E-3</v>
      </c>
      <c r="BM41" s="15">
        <f t="shared" si="204"/>
        <v>0.12617695411747132</v>
      </c>
      <c r="BN41" s="15">
        <f t="shared" si="204"/>
        <v>0.13496566139146005</v>
      </c>
      <c r="BO41" s="15">
        <f t="shared" si="204"/>
        <v>0.13496448303078146</v>
      </c>
      <c r="BP41" s="31">
        <f t="shared" si="204"/>
        <v>-8.8703446144336229E-2</v>
      </c>
      <c r="BQ41" s="15">
        <f>+BQ27/BP27-1</f>
        <v>8.3432253688316083E-2</v>
      </c>
      <c r="BR41" s="31">
        <f>+BR27/BQ27-1</f>
        <v>-1.9512704126884772E-2</v>
      </c>
      <c r="BS41" s="31">
        <f>+BS27/BR27-1</f>
        <v>-6.5423295908050849E-2</v>
      </c>
      <c r="BT41" s="15">
        <f>+BT27/BS27-1</f>
        <v>0.2418652318729182</v>
      </c>
      <c r="BU41" s="15">
        <f t="shared" ref="BU41:BW41" si="205">+BU27/BT27-1</f>
        <v>0.2378561767874745</v>
      </c>
      <c r="BV41" s="15">
        <f t="shared" si="205"/>
        <v>-1.2185410840941491E-2</v>
      </c>
      <c r="BW41" s="15">
        <f t="shared" si="205"/>
        <v>-1.1867044112408798E-2</v>
      </c>
      <c r="BX41" s="15">
        <f t="shared" ref="BX41:CF41" si="206">+BX27/BW27-1</f>
        <v>5.9990893223040187E-2</v>
      </c>
      <c r="BY41" s="15">
        <f t="shared" si="206"/>
        <v>-9.2178270986218447E-3</v>
      </c>
      <c r="BZ41" s="15">
        <f t="shared" si="206"/>
        <v>7.283894860446205E-2</v>
      </c>
      <c r="CA41" s="15">
        <f t="shared" si="206"/>
        <v>5.6813780793776525E-2</v>
      </c>
      <c r="CB41" s="15">
        <f t="shared" si="206"/>
        <v>0.12885390608817571</v>
      </c>
      <c r="CC41" s="15">
        <f t="shared" si="206"/>
        <v>1.576614724480585E-2</v>
      </c>
      <c r="CD41" s="15">
        <f t="shared" si="206"/>
        <v>8.2012089210032668E-2</v>
      </c>
      <c r="CE41" s="15">
        <f t="shared" si="206"/>
        <v>1.4858669269395275E-2</v>
      </c>
      <c r="CF41" s="15">
        <f t="shared" si="206"/>
        <v>-0.20209050415063778</v>
      </c>
      <c r="CG41" s="15">
        <f t="shared" ref="CG41:CS41" si="207">+CG27/CF27-1</f>
        <v>-0.13997525930155108</v>
      </c>
      <c r="CH41" s="15">
        <f t="shared" si="207"/>
        <v>-2.8059305156007963E-2</v>
      </c>
      <c r="CI41" s="15">
        <f t="shared" si="207"/>
        <v>0.11329607599836078</v>
      </c>
      <c r="CJ41" s="15">
        <f t="shared" si="207"/>
        <v>7.0192307692307665E-2</v>
      </c>
      <c r="CK41" s="15">
        <f t="shared" si="207"/>
        <v>4.9999999999999822E-2</v>
      </c>
      <c r="CL41" s="15">
        <f t="shared" si="207"/>
        <v>6.9811320754717077E-2</v>
      </c>
      <c r="CM41" s="15">
        <f t="shared" si="207"/>
        <v>5.0000000000000044E-2</v>
      </c>
      <c r="CN41" s="15">
        <f t="shared" si="207"/>
        <v>5.0000000000000044E-2</v>
      </c>
      <c r="CO41" s="15">
        <f t="shared" si="207"/>
        <v>6.9444444444444642E-2</v>
      </c>
      <c r="CP41" s="15">
        <f t="shared" si="207"/>
        <v>6.9090909090909092E-2</v>
      </c>
      <c r="CQ41" s="15">
        <f t="shared" si="207"/>
        <v>4.9999999999999822E-2</v>
      </c>
      <c r="CR41" s="15">
        <f t="shared" si="207"/>
        <v>5.0000000000000044E-2</v>
      </c>
      <c r="CS41" s="15">
        <f t="shared" si="207"/>
        <v>5.0000000000000044E-2</v>
      </c>
      <c r="CV41" t="s">
        <v>74</v>
      </c>
      <c r="CW41" s="4">
        <v>0.01</v>
      </c>
    </row>
    <row r="42" spans="2:175" s="12" customFormat="1" ht="13" x14ac:dyDescent="0.3">
      <c r="B42" s="12" t="s">
        <v>103</v>
      </c>
      <c r="C42" s="14"/>
      <c r="D42" s="14"/>
      <c r="E42" s="14"/>
      <c r="F42" s="14"/>
      <c r="G42" s="14"/>
      <c r="H42" s="14"/>
      <c r="I42" s="14"/>
      <c r="J42" s="14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E42" s="40"/>
      <c r="AF42" s="40"/>
      <c r="AG42" s="40"/>
      <c r="AH42" s="40"/>
      <c r="AI42" s="40"/>
      <c r="AJ42" s="40"/>
      <c r="AK42" s="33"/>
      <c r="AL42" s="40"/>
      <c r="AM42" s="40"/>
      <c r="AN42" s="40"/>
      <c r="AO42" s="40"/>
      <c r="AP42" s="40"/>
      <c r="AQ42" s="33"/>
      <c r="AR42" s="40"/>
      <c r="AS42" s="40"/>
      <c r="AT42" s="40"/>
      <c r="AU42" s="33"/>
      <c r="AV42" s="33"/>
      <c r="AW42" s="40"/>
      <c r="AX42" s="40"/>
      <c r="AY42" s="33"/>
      <c r="AZ42" s="40"/>
      <c r="BA42" s="40"/>
      <c r="BB42" s="40"/>
      <c r="BC42" s="40"/>
      <c r="BD42" s="40"/>
      <c r="BE42" s="40"/>
      <c r="BF42" s="40"/>
      <c r="BG42" s="40"/>
      <c r="BH42" s="33"/>
      <c r="BI42" s="40"/>
      <c r="BJ42" s="40"/>
      <c r="BK42" s="33"/>
      <c r="BL42" s="33"/>
      <c r="BP42" s="31"/>
      <c r="BQ42" s="15">
        <f t="shared" ref="BQ42:BV42" si="208">+BQ16/BP16-1</f>
        <v>0.13900501672240795</v>
      </c>
      <c r="BR42" s="31">
        <f t="shared" si="208"/>
        <v>6.7351807671132358E-2</v>
      </c>
      <c r="BS42" s="31">
        <f t="shared" si="208"/>
        <v>6.0316368638239304E-2</v>
      </c>
      <c r="BT42" s="15">
        <f t="shared" si="208"/>
        <v>0.13802944801193484</v>
      </c>
      <c r="BU42" s="15">
        <f t="shared" si="208"/>
        <v>4.1208321459105246E-2</v>
      </c>
      <c r="BV42" s="15">
        <f t="shared" si="208"/>
        <v>-3.9139478870155453E-2</v>
      </c>
      <c r="BW42" s="15">
        <f t="shared" ref="BW42:CF42" si="209">+BW16/BV16-1</f>
        <v>-9.8729561898251106E-2</v>
      </c>
      <c r="BX42" s="15">
        <f t="shared" si="209"/>
        <v>-8.5967130214916754E-3</v>
      </c>
      <c r="BY42" s="15">
        <f t="shared" si="209"/>
        <v>-8.2887018617699537E-2</v>
      </c>
      <c r="BZ42" s="15">
        <f t="shared" si="209"/>
        <v>-6.2500000000000111E-2</v>
      </c>
      <c r="CA42" s="15">
        <f t="shared" si="209"/>
        <v>-2.6325546903967267E-2</v>
      </c>
      <c r="CB42" s="15">
        <f t="shared" si="209"/>
        <v>-1.1043412033511224E-2</v>
      </c>
      <c r="CC42" s="15">
        <f t="shared" si="209"/>
        <v>1.0974201001155315E-2</v>
      </c>
      <c r="CD42" s="15">
        <f t="shared" si="209"/>
        <v>0.17722338602171006</v>
      </c>
      <c r="CE42" s="15">
        <f t="shared" si="209"/>
        <v>0.10563608127345692</v>
      </c>
      <c r="CF42" s="15">
        <f t="shared" si="209"/>
        <v>-0.16878822462177745</v>
      </c>
      <c r="CG42" s="15">
        <f>+CG16/CF16-1</f>
        <v>-0.14842457313853208</v>
      </c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V42" t="s">
        <v>75</v>
      </c>
      <c r="CW42" s="4">
        <v>0.01</v>
      </c>
    </row>
    <row r="43" spans="2:175" x14ac:dyDescent="0.25">
      <c r="B43" s="2" t="s">
        <v>63</v>
      </c>
      <c r="BZ43" s="4">
        <v>1.67E-2</v>
      </c>
      <c r="CA43" s="4">
        <v>2.2599999999999999E-2</v>
      </c>
      <c r="CB43" s="4">
        <v>2.92E-2</v>
      </c>
      <c r="CC43" s="4">
        <v>2.29E-2</v>
      </c>
      <c r="CD43" s="4">
        <v>-3.4000000000000002E-2</v>
      </c>
      <c r="CE43" s="4">
        <v>5.67E-2</v>
      </c>
      <c r="CF43" s="4">
        <v>0.01</v>
      </c>
      <c r="CV43" t="s">
        <v>77</v>
      </c>
      <c r="CW43" s="2">
        <f>NPV(CW40,CG37:FS37)+Main!L5-Main!L6</f>
        <v>156248.16159786101</v>
      </c>
    </row>
    <row r="44" spans="2:175" x14ac:dyDescent="0.25">
      <c r="B44" t="s">
        <v>25</v>
      </c>
      <c r="G44" s="19">
        <f t="shared" ref="G44:K44" si="210">+G29/G27</f>
        <v>0.55172063233873836</v>
      </c>
      <c r="H44" s="19">
        <f t="shared" si="210"/>
        <v>0.57083184758799854</v>
      </c>
      <c r="I44" s="19">
        <f t="shared" si="210"/>
        <v>0.55992080033347225</v>
      </c>
      <c r="J44" s="19">
        <f t="shared" si="210"/>
        <v>0.53629189399844113</v>
      </c>
      <c r="K44" s="19">
        <f t="shared" si="210"/>
        <v>0.50367787282733067</v>
      </c>
      <c r="L44" s="19">
        <f t="shared" ref="L44:Q44" si="211">+L29/L27</f>
        <v>0.36466288101298872</v>
      </c>
      <c r="M44" s="19">
        <f t="shared" si="211"/>
        <v>0.42606597991915501</v>
      </c>
      <c r="N44" s="19">
        <f t="shared" si="211"/>
        <v>0.39168209656744052</v>
      </c>
      <c r="O44" s="19">
        <f t="shared" si="211"/>
        <v>0.34212548015364919</v>
      </c>
      <c r="P44" s="19">
        <f t="shared" si="211"/>
        <v>0.35817437639972199</v>
      </c>
      <c r="Q44" s="19">
        <f t="shared" si="211"/>
        <v>0.42506003672835146</v>
      </c>
      <c r="R44" s="19">
        <f>+R29/R27</f>
        <v>0.45741918732961184</v>
      </c>
      <c r="S44" s="19">
        <f>+S29/S27</f>
        <v>0.41001257466205598</v>
      </c>
      <c r="T44" s="19">
        <f>+T29/T27</f>
        <v>0.35432089145172602</v>
      </c>
      <c r="U44" s="19">
        <f>+U29/U27</f>
        <v>0.15033122553447756</v>
      </c>
      <c r="V44" s="19">
        <f>+V29/V27</f>
        <v>0.4</v>
      </c>
      <c r="W44" s="19">
        <f t="shared" ref="W44:Z44" si="212">+W29/W27</f>
        <v>0.42</v>
      </c>
      <c r="X44" s="19">
        <f t="shared" si="212"/>
        <v>0.39999999999999997</v>
      </c>
      <c r="Y44" s="19">
        <f t="shared" si="212"/>
        <v>0.4</v>
      </c>
      <c r="Z44" s="19">
        <f t="shared" si="212"/>
        <v>0.4</v>
      </c>
      <c r="BO44" s="4">
        <f t="shared" ref="BO44:BV44" si="213">+BO29/BO27</f>
        <v>0.59364858599907278</v>
      </c>
      <c r="BP44" s="32">
        <f t="shared" si="213"/>
        <v>0.51489457916454695</v>
      </c>
      <c r="BQ44" s="4">
        <f t="shared" si="213"/>
        <v>0.51922575259560699</v>
      </c>
      <c r="BR44" s="32">
        <f t="shared" si="213"/>
        <v>0.55456819028361626</v>
      </c>
      <c r="BS44" s="32">
        <f t="shared" si="213"/>
        <v>0.55686508953226865</v>
      </c>
      <c r="BT44" s="4">
        <f t="shared" si="213"/>
        <v>0.65311876762258436</v>
      </c>
      <c r="BU44" s="4">
        <f t="shared" si="213"/>
        <v>0.62514120631863557</v>
      </c>
      <c r="BV44" s="4">
        <f t="shared" si="213"/>
        <v>0.62149191053786024</v>
      </c>
      <c r="BW44" s="4">
        <f t="shared" ref="BW44" si="214">+BW29/BW27</f>
        <v>0.5980306594824315</v>
      </c>
      <c r="BX44" s="4">
        <f t="shared" ref="BX44" si="215">+BX29/BX27</f>
        <v>0.6373545731161625</v>
      </c>
      <c r="BY44" s="4">
        <f t="shared" ref="BY44:CA44" si="216">+BY29/BY27</f>
        <v>0.62648360581699936</v>
      </c>
      <c r="BZ44" s="4">
        <f t="shared" si="216"/>
        <v>0.60940946671830531</v>
      </c>
      <c r="CA44" s="4">
        <f t="shared" si="216"/>
        <v>0.6225044215356671</v>
      </c>
      <c r="CB44" s="4">
        <f t="shared" ref="CB44:CC44" si="217">+CB29/CB27</f>
        <v>0.61733570460704612</v>
      </c>
      <c r="CC44" s="4">
        <f t="shared" si="217"/>
        <v>0.5855624261793928</v>
      </c>
      <c r="CD44" s="4">
        <f>+CD29/CD27</f>
        <v>0.5600832188218372</v>
      </c>
      <c r="CE44" s="4">
        <f>+CE29/CE27</f>
        <v>0.5544518121077141</v>
      </c>
      <c r="CF44" s="4">
        <f>+CF29/CF27</f>
        <v>0.42607923367272499</v>
      </c>
      <c r="CG44" s="21">
        <f t="shared" ref="CG44:CS44" si="218">+CG29/CG27</f>
        <v>0.40036512502766097</v>
      </c>
      <c r="CH44" s="4">
        <f t="shared" si="218"/>
        <v>0.32836923030220239</v>
      </c>
      <c r="CI44" s="4">
        <f t="shared" si="218"/>
        <v>0.47999999999999993</v>
      </c>
      <c r="CJ44" s="4">
        <f t="shared" si="218"/>
        <v>0.48</v>
      </c>
      <c r="CK44" s="4">
        <f t="shared" si="218"/>
        <v>0.49</v>
      </c>
      <c r="CL44" s="4">
        <f t="shared" si="218"/>
        <v>0.48999999999999994</v>
      </c>
      <c r="CM44" s="4">
        <f t="shared" si="218"/>
        <v>0.5</v>
      </c>
      <c r="CN44" s="4">
        <f t="shared" si="218"/>
        <v>0.5</v>
      </c>
      <c r="CO44" s="4">
        <f t="shared" si="218"/>
        <v>0.51</v>
      </c>
      <c r="CP44" s="4">
        <f t="shared" si="218"/>
        <v>0.51</v>
      </c>
      <c r="CQ44" s="4">
        <f t="shared" si="218"/>
        <v>0.52</v>
      </c>
      <c r="CR44" s="4">
        <f t="shared" si="218"/>
        <v>0.52</v>
      </c>
      <c r="CS44" s="4">
        <f t="shared" si="218"/>
        <v>0.53</v>
      </c>
      <c r="CV44" t="s">
        <v>78</v>
      </c>
      <c r="CW44" s="1">
        <f>+CW43/Main!L3</f>
        <v>36.617802108708929</v>
      </c>
    </row>
    <row r="45" spans="2:175" x14ac:dyDescent="0.25">
      <c r="B45" t="s">
        <v>105</v>
      </c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BO45" s="4"/>
      <c r="BP45" s="32"/>
      <c r="BQ45" s="4"/>
      <c r="BR45" s="32"/>
      <c r="BS45" s="32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21">
        <v>0.436</v>
      </c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W45" s="4">
        <f>+CW44/Main!L2-1</f>
        <v>0.83916635402857498</v>
      </c>
    </row>
    <row r="47" spans="2:175" x14ac:dyDescent="0.25">
      <c r="B47" t="s">
        <v>76</v>
      </c>
      <c r="O47" s="5">
        <f>+O48-O57</f>
        <v>-16710</v>
      </c>
      <c r="P47" s="5">
        <f>+P48-P57</f>
        <v>-18896</v>
      </c>
      <c r="Q47" s="5">
        <f>+Q48-Q57</f>
        <v>-18149</v>
      </c>
      <c r="R47" s="5"/>
      <c r="S47" s="5">
        <f>+S48-S57</f>
        <v>-25000</v>
      </c>
      <c r="T47" s="5">
        <f>+T48-T57</f>
        <v>-17932</v>
      </c>
      <c r="U47" s="5">
        <f>+U48-U57</f>
        <v>-20654</v>
      </c>
      <c r="CF47" s="2"/>
      <c r="CG47" s="2"/>
      <c r="CH47" s="2"/>
      <c r="CI47" s="2">
        <f t="shared" ref="CI47:CS47" si="219">+CH47+CI37</f>
        <v>4777.9084188799989</v>
      </c>
      <c r="CJ47" s="2">
        <f t="shared" si="219"/>
        <v>10627.419279316</v>
      </c>
      <c r="CK47" s="2">
        <f t="shared" si="219"/>
        <v>17687.428375375835</v>
      </c>
      <c r="CL47" s="2">
        <f t="shared" si="219"/>
        <v>26159.005568312561</v>
      </c>
      <c r="CM47" s="2">
        <f t="shared" si="219"/>
        <v>36124.046334242754</v>
      </c>
      <c r="CN47" s="2">
        <f t="shared" si="219"/>
        <v>47070.661592891141</v>
      </c>
      <c r="CO47" s="2">
        <f t="shared" si="219"/>
        <v>60366.259295108277</v>
      </c>
      <c r="CP47" s="2">
        <f t="shared" si="219"/>
        <v>75517.825220277038</v>
      </c>
      <c r="CQ47" s="2">
        <f t="shared" si="219"/>
        <v>92742.604572388649</v>
      </c>
      <c r="CR47" s="2">
        <f t="shared" si="219"/>
        <v>111402.98967575142</v>
      </c>
      <c r="CS47" s="2">
        <f t="shared" si="219"/>
        <v>132433.43811885975</v>
      </c>
    </row>
    <row r="48" spans="2:175" x14ac:dyDescent="0.25">
      <c r="B48" t="s">
        <v>3</v>
      </c>
      <c r="O48" s="5">
        <f>8232+19302+6029</f>
        <v>33563</v>
      </c>
      <c r="P48" s="5">
        <f>8349+15908+5893</f>
        <v>30150</v>
      </c>
      <c r="Q48" s="5">
        <f>7621+17409+5700</f>
        <v>30730</v>
      </c>
      <c r="R48" s="5"/>
      <c r="S48" s="5">
        <f>6923+14388+6139</f>
        <v>27450</v>
      </c>
      <c r="T48" s="5">
        <f>11287+17986+5824</f>
        <v>35097</v>
      </c>
      <c r="U48" s="5">
        <f>8785+15301+5496</f>
        <v>29582</v>
      </c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W48" s="4"/>
    </row>
    <row r="49" spans="2:101" x14ac:dyDescent="0.25">
      <c r="B49" t="s">
        <v>85</v>
      </c>
      <c r="O49" s="5">
        <v>3847</v>
      </c>
      <c r="P49" s="5">
        <v>2996</v>
      </c>
      <c r="Q49" s="5">
        <v>2843</v>
      </c>
      <c r="R49" s="5"/>
      <c r="S49" s="5">
        <v>3323</v>
      </c>
      <c r="T49" s="5">
        <v>3131</v>
      </c>
      <c r="U49" s="5">
        <v>3121</v>
      </c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W49" s="4"/>
    </row>
    <row r="50" spans="2:101" x14ac:dyDescent="0.25">
      <c r="B50" t="s">
        <v>86</v>
      </c>
      <c r="O50" s="5">
        <v>12993</v>
      </c>
      <c r="P50" s="5">
        <v>11984</v>
      </c>
      <c r="Q50" s="5">
        <v>11466</v>
      </c>
      <c r="R50" s="5"/>
      <c r="S50" s="5">
        <v>11494</v>
      </c>
      <c r="T50" s="5">
        <v>11244</v>
      </c>
      <c r="U50" s="5">
        <v>12062</v>
      </c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W50" s="4"/>
    </row>
    <row r="51" spans="2:101" x14ac:dyDescent="0.25">
      <c r="B51" t="s">
        <v>87</v>
      </c>
      <c r="O51" s="5">
        <v>3940</v>
      </c>
      <c r="P51" s="5">
        <v>4119</v>
      </c>
      <c r="Q51" s="5">
        <v>4472</v>
      </c>
      <c r="R51" s="5"/>
      <c r="S51" s="5">
        <v>6480</v>
      </c>
      <c r="T51" s="5">
        <v>7181</v>
      </c>
      <c r="U51" s="5">
        <v>6868</v>
      </c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W51" s="4"/>
    </row>
    <row r="52" spans="2:101" x14ac:dyDescent="0.25">
      <c r="B52" t="s">
        <v>88</v>
      </c>
      <c r="O52" s="5">
        <v>85734</v>
      </c>
      <c r="P52" s="5">
        <v>90945</v>
      </c>
      <c r="Q52" s="5">
        <v>93352</v>
      </c>
      <c r="R52" s="5"/>
      <c r="S52" s="5">
        <v>99924</v>
      </c>
      <c r="T52" s="5">
        <v>103398</v>
      </c>
      <c r="U52" s="5">
        <v>104248</v>
      </c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W52" s="4"/>
    </row>
    <row r="53" spans="2:101" x14ac:dyDescent="0.25">
      <c r="B53" t="s">
        <v>89</v>
      </c>
      <c r="O53" s="5">
        <f>27591+5567</f>
        <v>33158</v>
      </c>
      <c r="P53" s="5">
        <f>27591+5173</f>
        <v>32764</v>
      </c>
      <c r="Q53" s="5">
        <f>27591+4970</f>
        <v>32561</v>
      </c>
      <c r="R53" s="5"/>
      <c r="S53" s="5">
        <f>27440+4675</f>
        <v>32115</v>
      </c>
      <c r="T53" s="5">
        <f>27442+4383</f>
        <v>31825</v>
      </c>
      <c r="U53" s="5">
        <f>24680+3975</f>
        <v>28655</v>
      </c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W53" s="4"/>
    </row>
    <row r="54" spans="2:101" x14ac:dyDescent="0.25">
      <c r="B54" t="s">
        <v>90</v>
      </c>
      <c r="O54" s="5">
        <v>12068</v>
      </c>
      <c r="P54" s="5">
        <v>12671</v>
      </c>
      <c r="Q54" s="5">
        <v>13413</v>
      </c>
      <c r="R54" s="5"/>
      <c r="S54" s="5">
        <v>11947</v>
      </c>
      <c r="T54" s="5">
        <v>14329</v>
      </c>
      <c r="U54" s="5">
        <v>9006</v>
      </c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W54" s="4"/>
    </row>
    <row r="55" spans="2:101" x14ac:dyDescent="0.25">
      <c r="B55" t="s">
        <v>91</v>
      </c>
      <c r="O55" s="5">
        <f>SUM(O48:O54)</f>
        <v>185303</v>
      </c>
      <c r="P55" s="5">
        <f>SUM(P48:P54)</f>
        <v>185629</v>
      </c>
      <c r="Q55" s="5">
        <f>SUM(Q48:Q54)</f>
        <v>188837</v>
      </c>
      <c r="R55" s="5"/>
      <c r="S55" s="5">
        <f>SUM(S48:S54)</f>
        <v>192733</v>
      </c>
      <c r="T55" s="5">
        <f>SUM(T48:T54)</f>
        <v>206205</v>
      </c>
      <c r="U55" s="5">
        <f>SUM(U48:U54)</f>
        <v>193542</v>
      </c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W55" s="4"/>
    </row>
    <row r="56" spans="2:101" x14ac:dyDescent="0.25"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W56" s="4"/>
    </row>
    <row r="57" spans="2:101" x14ac:dyDescent="0.25">
      <c r="B57" t="s">
        <v>4</v>
      </c>
      <c r="O57" s="5">
        <f>1437+48836</f>
        <v>50273</v>
      </c>
      <c r="P57" s="5">
        <f>46335+2711</f>
        <v>49046</v>
      </c>
      <c r="Q57" s="5">
        <f>2288+46591</f>
        <v>48879</v>
      </c>
      <c r="R57" s="5"/>
      <c r="S57" s="5">
        <f>4581+47869</f>
        <v>52450</v>
      </c>
      <c r="T57" s="5">
        <f>4695+48334</f>
        <v>53029</v>
      </c>
      <c r="U57" s="5">
        <f>3765+46471</f>
        <v>50236</v>
      </c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W57" s="4"/>
    </row>
    <row r="58" spans="2:101" x14ac:dyDescent="0.25">
      <c r="B58" t="s">
        <v>94</v>
      </c>
      <c r="O58" s="5">
        <v>8083</v>
      </c>
      <c r="P58" s="5">
        <v>8757</v>
      </c>
      <c r="Q58" s="5">
        <v>8669</v>
      </c>
      <c r="R58" s="5"/>
      <c r="S58" s="5">
        <v>8559</v>
      </c>
      <c r="T58" s="5">
        <v>9618</v>
      </c>
      <c r="U58" s="5">
        <v>11074</v>
      </c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W58" s="4"/>
    </row>
    <row r="59" spans="2:101" x14ac:dyDescent="0.25">
      <c r="B59" t="s">
        <v>95</v>
      </c>
      <c r="O59" s="5">
        <v>2497</v>
      </c>
      <c r="P59" s="5">
        <v>2887</v>
      </c>
      <c r="Q59" s="5">
        <v>3115</v>
      </c>
      <c r="R59" s="5"/>
      <c r="S59" s="5">
        <v>2506</v>
      </c>
      <c r="T59" s="5">
        <v>2651</v>
      </c>
      <c r="U59" s="5">
        <v>5015</v>
      </c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W59" s="4"/>
    </row>
    <row r="60" spans="2:101" x14ac:dyDescent="0.25">
      <c r="B60" t="s">
        <v>33</v>
      </c>
      <c r="O60" s="5">
        <f>4046+3831</f>
        <v>7877</v>
      </c>
      <c r="P60" s="5">
        <v>2169</v>
      </c>
      <c r="Q60" s="5">
        <v>2112</v>
      </c>
      <c r="R60" s="5"/>
      <c r="S60" s="5">
        <v>346</v>
      </c>
      <c r="T60" s="5">
        <v>1856</v>
      </c>
      <c r="U60" s="5">
        <v>2440</v>
      </c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W60" s="4"/>
    </row>
    <row r="61" spans="2:101" x14ac:dyDescent="0.25">
      <c r="B61" t="s">
        <v>96</v>
      </c>
      <c r="O61" s="5">
        <v>11330</v>
      </c>
      <c r="P61" s="5">
        <v>10656</v>
      </c>
      <c r="Q61" s="5">
        <v>12430</v>
      </c>
      <c r="R61" s="5"/>
      <c r="S61" s="5">
        <v>11221</v>
      </c>
      <c r="T61" s="5">
        <v>13207</v>
      </c>
      <c r="U61" s="5">
        <v>12865</v>
      </c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W61" s="4"/>
    </row>
    <row r="62" spans="2:101" x14ac:dyDescent="0.25">
      <c r="B62" t="s">
        <v>97</v>
      </c>
      <c r="O62" s="5">
        <v>4840</v>
      </c>
      <c r="P62" s="5">
        <v>7643</v>
      </c>
      <c r="Q62" s="5">
        <v>7946</v>
      </c>
      <c r="R62" s="5"/>
      <c r="S62" s="5">
        <v>6895</v>
      </c>
      <c r="T62" s="5">
        <v>5410</v>
      </c>
      <c r="U62" s="5">
        <v>7048</v>
      </c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W62" s="4"/>
    </row>
    <row r="63" spans="2:101" x14ac:dyDescent="0.25">
      <c r="B63" t="s">
        <v>93</v>
      </c>
      <c r="O63" s="5">
        <v>100403</v>
      </c>
      <c r="P63" s="5">
        <v>104471</v>
      </c>
      <c r="Q63" s="5">
        <v>105686</v>
      </c>
      <c r="R63" s="5"/>
      <c r="S63" s="5">
        <v>110756</v>
      </c>
      <c r="T63" s="5">
        <v>120434</v>
      </c>
      <c r="U63" s="5">
        <v>104864</v>
      </c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W63" s="4"/>
    </row>
    <row r="64" spans="2:101" x14ac:dyDescent="0.25">
      <c r="B64" t="s">
        <v>92</v>
      </c>
      <c r="O64" s="5">
        <f>SUM(O57:O63)</f>
        <v>185303</v>
      </c>
      <c r="P64" s="5">
        <f>SUM(P57:P63)</f>
        <v>185629</v>
      </c>
      <c r="Q64" s="5">
        <f>SUM(Q57:Q63)</f>
        <v>188837</v>
      </c>
      <c r="R64" s="5"/>
      <c r="S64" s="5">
        <f>SUM(S57:S63)</f>
        <v>192733</v>
      </c>
      <c r="T64" s="5">
        <f>SUM(T57:T63)</f>
        <v>206205</v>
      </c>
      <c r="U64" s="5">
        <f>SUM(U57:U63)</f>
        <v>193542</v>
      </c>
    </row>
    <row r="66" spans="2:86" x14ac:dyDescent="0.25">
      <c r="B66" s="2" t="s">
        <v>37</v>
      </c>
      <c r="O66" s="5">
        <f t="shared" ref="O66:R66" si="220">+O37</f>
        <v>-1263</v>
      </c>
      <c r="P66" s="5">
        <f t="shared" si="220"/>
        <v>-592</v>
      </c>
      <c r="Q66" s="5">
        <f t="shared" si="220"/>
        <v>955</v>
      </c>
      <c r="R66" s="5">
        <f t="shared" si="220"/>
        <v>1432</v>
      </c>
      <c r="S66" s="5">
        <f>+S37</f>
        <v>-576</v>
      </c>
      <c r="T66" s="5">
        <f>+T37</f>
        <v>-941</v>
      </c>
      <c r="U66" s="5">
        <f>+U37</f>
        <v>-3305</v>
      </c>
      <c r="BO66" s="2">
        <f t="shared" ref="BO66:BV66" si="221">+BO37</f>
        <v>7705</v>
      </c>
      <c r="BP66" s="28">
        <f t="shared" si="221"/>
        <v>3023</v>
      </c>
      <c r="BQ66" s="2">
        <f t="shared" si="221"/>
        <v>5765</v>
      </c>
      <c r="BR66" s="28">
        <f t="shared" si="221"/>
        <v>6782</v>
      </c>
      <c r="BS66" s="28">
        <f t="shared" si="221"/>
        <v>4479</v>
      </c>
      <c r="BT66" s="2">
        <f t="shared" si="221"/>
        <v>10916</v>
      </c>
      <c r="BU66" s="2">
        <f t="shared" si="221"/>
        <v>12706</v>
      </c>
      <c r="BV66" s="2">
        <f t="shared" si="221"/>
        <v>10984</v>
      </c>
      <c r="BW66" s="2">
        <f t="shared" ref="BW66:CD66" si="222">+BW37</f>
        <v>9680</v>
      </c>
      <c r="BX66" s="2">
        <f t="shared" si="222"/>
        <v>11882</v>
      </c>
      <c r="BY66" s="2">
        <f t="shared" si="222"/>
        <v>11724</v>
      </c>
      <c r="BZ66" s="2">
        <f t="shared" si="222"/>
        <v>11990</v>
      </c>
      <c r="CA66" s="2">
        <f t="shared" si="222"/>
        <v>18262</v>
      </c>
      <c r="CB66" s="2">
        <f t="shared" si="222"/>
        <v>21106</v>
      </c>
      <c r="CC66" s="2">
        <f t="shared" si="222"/>
        <v>19902</v>
      </c>
      <c r="CD66" s="2">
        <f t="shared" si="222"/>
        <v>19193</v>
      </c>
      <c r="CE66" s="2">
        <f t="shared" ref="CE66:CF66" si="223">+CE37</f>
        <v>19765</v>
      </c>
      <c r="CF66" s="2">
        <f t="shared" si="223"/>
        <v>3751</v>
      </c>
    </row>
    <row r="67" spans="2:86" x14ac:dyDescent="0.25">
      <c r="B67" s="2" t="s">
        <v>38</v>
      </c>
      <c r="O67" s="5">
        <v>-2768</v>
      </c>
      <c r="P67" s="5">
        <f>-1295-O67</f>
        <v>1473</v>
      </c>
      <c r="Q67" s="5">
        <f>-985-P67-O67</f>
        <v>310</v>
      </c>
      <c r="S67" s="5">
        <v>-437</v>
      </c>
      <c r="T67" s="5">
        <f>-2091-S67</f>
        <v>-1654</v>
      </c>
      <c r="U67" s="5">
        <f>-19080-T67-S67</f>
        <v>-16989</v>
      </c>
      <c r="BO67" s="2">
        <v>8664</v>
      </c>
      <c r="BP67" s="28">
        <v>5044</v>
      </c>
      <c r="BQ67" s="2">
        <v>6976</v>
      </c>
      <c r="BR67" s="28">
        <v>5292</v>
      </c>
      <c r="BS67" s="28">
        <v>4369</v>
      </c>
      <c r="BT67" s="2">
        <v>11464</v>
      </c>
      <c r="BU67" s="2">
        <v>12942</v>
      </c>
      <c r="BV67" s="2">
        <v>11005</v>
      </c>
      <c r="BW67" s="2">
        <v>9620</v>
      </c>
      <c r="BX67" s="2">
        <v>11704</v>
      </c>
      <c r="BY67" s="2">
        <v>11420</v>
      </c>
      <c r="BZ67" s="2">
        <v>10316</v>
      </c>
      <c r="CA67" s="2">
        <v>9601</v>
      </c>
      <c r="CB67" s="2">
        <v>21053</v>
      </c>
      <c r="CC67" s="2">
        <v>21048</v>
      </c>
      <c r="CD67" s="2">
        <v>20899</v>
      </c>
      <c r="CE67" s="2">
        <v>19868</v>
      </c>
      <c r="CF67" s="2">
        <v>8017</v>
      </c>
    </row>
    <row r="68" spans="2:86" x14ac:dyDescent="0.25">
      <c r="B68" s="2" t="s">
        <v>40</v>
      </c>
      <c r="O68" s="5">
        <v>1901</v>
      </c>
      <c r="P68" s="5">
        <f>3733-O68</f>
        <v>1832</v>
      </c>
      <c r="Q68" s="5">
        <f>5753-P68-O68</f>
        <v>2020</v>
      </c>
      <c r="S68" s="5">
        <v>2200</v>
      </c>
      <c r="T68" s="5">
        <f>4403-S68</f>
        <v>2203</v>
      </c>
      <c r="U68" s="5">
        <f>7651-T68-S68</f>
        <v>3248</v>
      </c>
      <c r="BO68" s="2"/>
      <c r="BP68" s="28"/>
      <c r="BQ68" s="2"/>
      <c r="CD68" s="2">
        <v>10482</v>
      </c>
      <c r="CE68" s="2">
        <v>9953</v>
      </c>
      <c r="CF68" s="2">
        <v>11128</v>
      </c>
    </row>
    <row r="69" spans="2:86" x14ac:dyDescent="0.25">
      <c r="B69" s="2" t="s">
        <v>41</v>
      </c>
      <c r="O69" s="5">
        <v>739</v>
      </c>
      <c r="P69" s="5">
        <f>1661-O69</f>
        <v>922</v>
      </c>
      <c r="Q69" s="5">
        <f>2433-P69-O69</f>
        <v>772</v>
      </c>
      <c r="S69" s="5">
        <v>1179</v>
      </c>
      <c r="T69" s="5">
        <f>1959-S69</f>
        <v>780</v>
      </c>
      <c r="U69" s="5">
        <f>2759-T69-S69</f>
        <v>800</v>
      </c>
      <c r="BO69" s="2"/>
      <c r="BP69" s="28"/>
      <c r="BQ69" s="2"/>
      <c r="CD69" s="2">
        <v>1854</v>
      </c>
      <c r="CE69" s="2">
        <v>2036</v>
      </c>
      <c r="CF69" s="2">
        <v>3128</v>
      </c>
    </row>
    <row r="70" spans="2:86" x14ac:dyDescent="0.25">
      <c r="B70" s="2" t="s">
        <v>42</v>
      </c>
      <c r="O70" s="5">
        <v>55</v>
      </c>
      <c r="P70" s="5">
        <f>255-O70</f>
        <v>200</v>
      </c>
      <c r="Q70" s="5">
        <f>718-P70-O70</f>
        <v>463</v>
      </c>
      <c r="S70" s="5">
        <v>348</v>
      </c>
      <c r="T70" s="5">
        <f>1291-S70</f>
        <v>943</v>
      </c>
      <c r="U70" s="5">
        <f>3626-T70-S70</f>
        <v>2335</v>
      </c>
      <c r="BO70" s="2"/>
      <c r="BP70" s="28"/>
      <c r="BQ70" s="2"/>
      <c r="CD70" s="2">
        <v>198</v>
      </c>
      <c r="CE70" s="2">
        <v>2626</v>
      </c>
      <c r="CF70" s="2">
        <v>1074</v>
      </c>
    </row>
    <row r="71" spans="2:86" x14ac:dyDescent="0.25">
      <c r="B71" s="2" t="s">
        <v>43</v>
      </c>
      <c r="O71" s="5">
        <v>465</v>
      </c>
      <c r="P71" s="5">
        <f>909-O71</f>
        <v>444</v>
      </c>
      <c r="Q71" s="5">
        <f>1336-P71-O71</f>
        <v>427</v>
      </c>
      <c r="S71" s="5">
        <v>351</v>
      </c>
      <c r="T71" s="5">
        <f>717-S71</f>
        <v>366</v>
      </c>
      <c r="U71" s="5">
        <f>1081-T71-S71</f>
        <v>364</v>
      </c>
      <c r="BO71" s="2"/>
      <c r="BP71" s="28"/>
      <c r="BQ71" s="2"/>
      <c r="CD71" s="2">
        <v>1757</v>
      </c>
      <c r="CE71" s="2">
        <v>1839</v>
      </c>
      <c r="CF71" s="2">
        <v>1907</v>
      </c>
    </row>
    <row r="72" spans="2:86" x14ac:dyDescent="0.25">
      <c r="B72" s="2" t="s">
        <v>44</v>
      </c>
      <c r="O72" s="5">
        <v>-167</v>
      </c>
      <c r="P72" s="5">
        <f>-146-O72</f>
        <v>21</v>
      </c>
      <c r="Q72" s="5">
        <f>47-P72-O72</f>
        <v>193</v>
      </c>
      <c r="S72" s="5">
        <v>-208</v>
      </c>
      <c r="T72" s="5">
        <f>-84-S72</f>
        <v>124</v>
      </c>
      <c r="U72" s="5">
        <f>75-T72-S72</f>
        <v>159</v>
      </c>
      <c r="BO72" s="2"/>
      <c r="BP72" s="28"/>
      <c r="BQ72" s="2"/>
      <c r="CD72" s="2">
        <v>-1757</v>
      </c>
      <c r="CE72" s="2">
        <v>-1458</v>
      </c>
      <c r="CF72" s="2">
        <v>-4254</v>
      </c>
    </row>
    <row r="73" spans="2:86" x14ac:dyDescent="0.25">
      <c r="B73" s="2" t="s">
        <v>151</v>
      </c>
      <c r="O73" s="5">
        <v>0</v>
      </c>
      <c r="P73" s="3">
        <v>0</v>
      </c>
      <c r="Q73" s="3">
        <v>0</v>
      </c>
      <c r="S73" s="5">
        <v>0</v>
      </c>
      <c r="T73" s="5">
        <v>0</v>
      </c>
      <c r="U73" s="5">
        <f>6368-T73-S73</f>
        <v>6368</v>
      </c>
      <c r="BO73" s="2"/>
      <c r="BP73" s="28"/>
      <c r="BQ73" s="2"/>
      <c r="CD73" s="2"/>
      <c r="CE73" s="2"/>
      <c r="CF73" s="2"/>
    </row>
    <row r="74" spans="2:86" x14ac:dyDescent="0.25">
      <c r="B74" s="2" t="s">
        <v>152</v>
      </c>
      <c r="O74" s="5">
        <v>0</v>
      </c>
      <c r="P74" s="3">
        <v>0</v>
      </c>
      <c r="Q74" s="3">
        <v>0</v>
      </c>
      <c r="S74" s="5">
        <v>0</v>
      </c>
      <c r="T74" s="5">
        <v>0</v>
      </c>
      <c r="U74" s="5">
        <f>2290-T74-S74</f>
        <v>2290</v>
      </c>
      <c r="BO74" s="2"/>
      <c r="BP74" s="28"/>
      <c r="BQ74" s="2"/>
      <c r="CD74" s="2"/>
      <c r="CE74" s="2"/>
      <c r="CF74" s="2"/>
    </row>
    <row r="75" spans="2:86" x14ac:dyDescent="0.25">
      <c r="B75" s="2" t="s">
        <v>45</v>
      </c>
      <c r="O75" s="5">
        <v>0</v>
      </c>
      <c r="P75" s="3">
        <v>0</v>
      </c>
      <c r="Q75" s="3">
        <v>0</v>
      </c>
      <c r="S75" s="5">
        <v>0</v>
      </c>
      <c r="T75" s="3">
        <v>0</v>
      </c>
      <c r="U75" s="3">
        <v>0</v>
      </c>
      <c r="BO75" s="2"/>
      <c r="BP75" s="28"/>
      <c r="BQ75" s="2"/>
      <c r="CD75" s="2">
        <v>-30</v>
      </c>
      <c r="CE75" s="2">
        <v>0</v>
      </c>
      <c r="CF75" s="2">
        <v>-1059</v>
      </c>
    </row>
    <row r="76" spans="2:86" x14ac:dyDescent="0.25">
      <c r="B76" s="2" t="s">
        <v>46</v>
      </c>
      <c r="O76" s="5">
        <f>286+231-771-1560+1344-1540</f>
        <v>-2010</v>
      </c>
      <c r="P76" s="5">
        <f>1137+1240-1102-1340-2186-1843-O76</f>
        <v>-2084</v>
      </c>
      <c r="Q76" s="5">
        <f>1290+1758-1082-1171-2676-574-P76-O76</f>
        <v>1639</v>
      </c>
      <c r="S76" s="5">
        <f>80-366-386-1289-591-2104</f>
        <v>-4656</v>
      </c>
      <c r="T76" s="5">
        <f>272-116+184-1309-2174-1983-S76</f>
        <v>-470</v>
      </c>
      <c r="U76" s="5">
        <f>282-969+566+1384-930+20-T76-S76</f>
        <v>5479</v>
      </c>
      <c r="BO76" s="2"/>
      <c r="BP76" s="28"/>
      <c r="BQ76" s="2"/>
      <c r="CD76" s="2">
        <f>883-687+405+348-181+1620+73</f>
        <v>2461</v>
      </c>
      <c r="CE76" s="2">
        <f>-2674-2339+1190+515-1583-441-76</f>
        <v>-5408</v>
      </c>
      <c r="CF76" s="2">
        <f>5327-2436-29-1533-24-4535-1278</f>
        <v>-4508</v>
      </c>
    </row>
    <row r="77" spans="2:86" x14ac:dyDescent="0.25">
      <c r="B77" s="2" t="s">
        <v>39</v>
      </c>
      <c r="O77" s="5">
        <f>SUM(O67:O76)</f>
        <v>-1785</v>
      </c>
      <c r="P77" s="5">
        <f>SUM(P67:P76)</f>
        <v>2808</v>
      </c>
      <c r="Q77" s="5">
        <f>SUM(Q67:Q76)</f>
        <v>5824</v>
      </c>
      <c r="S77" s="5">
        <f>SUM(S67:S76)</f>
        <v>-1223</v>
      </c>
      <c r="T77" s="5">
        <f>SUM(T67:T76)</f>
        <v>2292</v>
      </c>
      <c r="U77" s="5">
        <f>SUM(U67:U76)</f>
        <v>4054</v>
      </c>
      <c r="V77" s="5">
        <f>+U77</f>
        <v>4054</v>
      </c>
      <c r="W77" s="5"/>
      <c r="X77" s="5"/>
      <c r="BO77" s="2">
        <v>14851</v>
      </c>
      <c r="BP77" s="28">
        <v>10632</v>
      </c>
      <c r="BQ77" s="2">
        <v>12625</v>
      </c>
      <c r="BR77" s="28">
        <v>10926</v>
      </c>
      <c r="BS77" s="28">
        <v>11170</v>
      </c>
      <c r="BT77" s="2">
        <v>16692</v>
      </c>
      <c r="BU77" s="2">
        <v>20963</v>
      </c>
      <c r="BV77" s="2">
        <v>18884</v>
      </c>
      <c r="BW77" s="2">
        <v>20776</v>
      </c>
      <c r="BX77" s="2">
        <v>20418</v>
      </c>
      <c r="BY77" s="2">
        <v>19017</v>
      </c>
      <c r="BZ77" s="2">
        <v>21808</v>
      </c>
      <c r="CA77" s="2">
        <v>22110</v>
      </c>
      <c r="CB77" s="2">
        <v>29432</v>
      </c>
      <c r="CC77" s="2">
        <v>33145</v>
      </c>
      <c r="CD77" s="2">
        <f>SUM(CD67:CD76)</f>
        <v>35864</v>
      </c>
      <c r="CE77" s="2">
        <f>SUM(CE67:CE76)</f>
        <v>29456</v>
      </c>
      <c r="CF77" s="2">
        <f>SUM(CF67:CF76)</f>
        <v>15433</v>
      </c>
      <c r="CG77" s="2">
        <v>11471</v>
      </c>
      <c r="CH77" s="2">
        <f>SUM(S77:V77)</f>
        <v>9177</v>
      </c>
    </row>
    <row r="78" spans="2:86" x14ac:dyDescent="0.25">
      <c r="BO78" s="2"/>
      <c r="BP78" s="28"/>
      <c r="BQ78" s="2"/>
      <c r="BW78" s="2"/>
      <c r="BX78" s="2"/>
      <c r="BY78" s="2"/>
    </row>
    <row r="79" spans="2:86" s="2" customFormat="1" x14ac:dyDescent="0.25">
      <c r="B79" s="2" t="s">
        <v>47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>
        <v>-7413</v>
      </c>
      <c r="P79" s="5">
        <f>-13301-O79</f>
        <v>-5888</v>
      </c>
      <c r="Q79" s="5">
        <f>-19054-P79-O79</f>
        <v>-5753</v>
      </c>
      <c r="R79" s="5"/>
      <c r="S79" s="5">
        <v>-5970</v>
      </c>
      <c r="T79" s="5">
        <f>-11652-S79</f>
        <v>-5682</v>
      </c>
      <c r="U79" s="5">
        <f>-18110-T79-S79</f>
        <v>-6458</v>
      </c>
      <c r="V79" s="5">
        <f>+U79</f>
        <v>-6458</v>
      </c>
      <c r="W79" s="5"/>
      <c r="X79" s="5"/>
      <c r="Y79" s="5"/>
      <c r="Z79" s="5"/>
      <c r="AE79" s="36"/>
      <c r="AF79" s="36"/>
      <c r="AG79" s="36"/>
      <c r="AH79" s="36"/>
      <c r="AI79" s="36"/>
      <c r="AJ79" s="36"/>
      <c r="AK79" s="28"/>
      <c r="AL79" s="36"/>
      <c r="AM79" s="36"/>
      <c r="AN79" s="36"/>
      <c r="AO79" s="36"/>
      <c r="AP79" s="36"/>
      <c r="AQ79" s="28"/>
      <c r="AR79" s="36"/>
      <c r="AS79" s="36"/>
      <c r="AT79" s="36"/>
      <c r="AU79" s="28"/>
      <c r="AV79" s="28"/>
      <c r="AW79" s="36"/>
      <c r="AX79" s="36"/>
      <c r="AY79" s="28"/>
      <c r="AZ79" s="36"/>
      <c r="BA79" s="36"/>
      <c r="BB79" s="36"/>
      <c r="BC79" s="36"/>
      <c r="BD79" s="36"/>
      <c r="BE79" s="36"/>
      <c r="BF79" s="36"/>
      <c r="BG79" s="36"/>
      <c r="BH79" s="28"/>
      <c r="BI79" s="36"/>
      <c r="BJ79" s="36"/>
      <c r="BK79" s="28"/>
      <c r="BL79" s="28"/>
      <c r="BO79" s="2">
        <v>5871</v>
      </c>
      <c r="BP79" s="28">
        <v>5860</v>
      </c>
      <c r="BQ79" s="2">
        <v>5000</v>
      </c>
      <c r="BR79" s="28">
        <v>5197</v>
      </c>
      <c r="BS79" s="28">
        <v>4515</v>
      </c>
      <c r="BT79" s="2">
        <v>5207</v>
      </c>
      <c r="BU79" s="2">
        <v>5207</v>
      </c>
      <c r="BV79" s="2">
        <v>11027</v>
      </c>
      <c r="BW79" s="2">
        <v>10711</v>
      </c>
      <c r="BX79" s="2">
        <v>10105</v>
      </c>
      <c r="BY79" s="2">
        <v>7326</v>
      </c>
      <c r="BZ79" s="2">
        <v>9625</v>
      </c>
      <c r="CA79" s="2">
        <v>11778</v>
      </c>
      <c r="CB79" s="2">
        <v>-15181</v>
      </c>
      <c r="CC79" s="2">
        <v>-16213</v>
      </c>
      <c r="CD79" s="2">
        <v>-14259</v>
      </c>
      <c r="CE79" s="2">
        <v>-18733</v>
      </c>
      <c r="CF79" s="2">
        <v>-24844</v>
      </c>
      <c r="CG79" s="2">
        <v>-25750</v>
      </c>
      <c r="CH79" s="2">
        <f>SUM(S79:V79)</f>
        <v>-24568</v>
      </c>
    </row>
    <row r="80" spans="2:86" s="2" customFormat="1" x14ac:dyDescent="0.25">
      <c r="B80" s="2" t="s">
        <v>154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>
        <f>-16132+14173+116</f>
        <v>-1843</v>
      </c>
      <c r="P80" s="5">
        <f>-25696+26957+253-O80</f>
        <v>3357</v>
      </c>
      <c r="Q80" s="5">
        <f>-37287+36725+375-P80-O80</f>
        <v>-1701</v>
      </c>
      <c r="R80" s="5"/>
      <c r="S80" s="5"/>
      <c r="T80" s="5"/>
      <c r="U80" s="5"/>
      <c r="V80" s="5"/>
      <c r="W80" s="5"/>
      <c r="X80" s="5"/>
      <c r="Y80" s="5"/>
      <c r="Z80" s="5"/>
      <c r="AE80" s="36"/>
      <c r="AF80" s="36"/>
      <c r="AG80" s="36"/>
      <c r="AH80" s="36"/>
      <c r="AI80" s="36"/>
      <c r="AJ80" s="36"/>
      <c r="AK80" s="28"/>
      <c r="AL80" s="36"/>
      <c r="AM80" s="36"/>
      <c r="AN80" s="36"/>
      <c r="AO80" s="36"/>
      <c r="AP80" s="36"/>
      <c r="AQ80" s="28"/>
      <c r="AR80" s="36"/>
      <c r="AS80" s="36"/>
      <c r="AT80" s="36"/>
      <c r="AU80" s="28"/>
      <c r="AV80" s="28"/>
      <c r="AW80" s="36"/>
      <c r="AX80" s="36"/>
      <c r="AY80" s="28"/>
      <c r="AZ80" s="36"/>
      <c r="BA80" s="36"/>
      <c r="BB80" s="36"/>
      <c r="BC80" s="36"/>
      <c r="BD80" s="36"/>
      <c r="BE80" s="36"/>
      <c r="BF80" s="36"/>
      <c r="BG80" s="36"/>
      <c r="BH80" s="28"/>
      <c r="BI80" s="36"/>
      <c r="BJ80" s="36"/>
      <c r="BK80" s="28"/>
      <c r="BL80" s="28"/>
      <c r="BP80" s="28"/>
      <c r="BR80" s="28"/>
      <c r="BS80" s="28"/>
    </row>
    <row r="81" spans="2:86" s="2" customFormat="1" x14ac:dyDescent="0.25">
      <c r="B81" s="2" t="s">
        <v>45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>
        <v>735</v>
      </c>
      <c r="P81" s="5">
        <f>458-O81</f>
        <v>-277</v>
      </c>
      <c r="Q81" s="5">
        <f>518-P81-O81</f>
        <v>60</v>
      </c>
      <c r="R81" s="5"/>
      <c r="S81" s="5"/>
      <c r="T81" s="5"/>
      <c r="U81" s="5"/>
      <c r="V81" s="5"/>
      <c r="W81" s="5"/>
      <c r="X81" s="5"/>
      <c r="Y81" s="5"/>
      <c r="Z81" s="5"/>
      <c r="AE81" s="36"/>
      <c r="AF81" s="36"/>
      <c r="AG81" s="36"/>
      <c r="AH81" s="36"/>
      <c r="AI81" s="36"/>
      <c r="AJ81" s="36"/>
      <c r="AK81" s="28"/>
      <c r="AL81" s="36"/>
      <c r="AM81" s="36"/>
      <c r="AN81" s="36"/>
      <c r="AO81" s="36"/>
      <c r="AP81" s="36"/>
      <c r="AQ81" s="28"/>
      <c r="AR81" s="36"/>
      <c r="AS81" s="36"/>
      <c r="AT81" s="36"/>
      <c r="AU81" s="28"/>
      <c r="AV81" s="28"/>
      <c r="AW81" s="36"/>
      <c r="AX81" s="36"/>
      <c r="AY81" s="28"/>
      <c r="AZ81" s="36"/>
      <c r="BA81" s="36"/>
      <c r="BB81" s="36"/>
      <c r="BC81" s="36"/>
      <c r="BD81" s="36"/>
      <c r="BE81" s="36"/>
      <c r="BF81" s="36"/>
      <c r="BG81" s="36"/>
      <c r="BH81" s="28"/>
      <c r="BI81" s="36"/>
      <c r="BJ81" s="36"/>
      <c r="BK81" s="28"/>
      <c r="BL81" s="28"/>
      <c r="BP81" s="28"/>
      <c r="BR81" s="28"/>
      <c r="BS81" s="28"/>
    </row>
    <row r="82" spans="2:86" s="2" customFormat="1" x14ac:dyDescent="0.25">
      <c r="B82" s="2" t="s">
        <v>153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>
        <f>SUM(O79:O81)</f>
        <v>-8521</v>
      </c>
      <c r="P82" s="5">
        <f>SUM(P79:P81)</f>
        <v>-2808</v>
      </c>
      <c r="Q82" s="5">
        <f>SUM(Q79:Q81)</f>
        <v>-7394</v>
      </c>
      <c r="R82" s="5"/>
      <c r="S82" s="5"/>
      <c r="T82" s="5"/>
      <c r="U82" s="5"/>
      <c r="V82" s="5"/>
      <c r="W82" s="5"/>
      <c r="X82" s="5"/>
      <c r="Y82" s="5"/>
      <c r="Z82" s="5"/>
      <c r="AE82" s="36"/>
      <c r="AF82" s="36"/>
      <c r="AG82" s="36"/>
      <c r="AH82" s="36"/>
      <c r="AI82" s="36"/>
      <c r="AJ82" s="36"/>
      <c r="AK82" s="28"/>
      <c r="AL82" s="36"/>
      <c r="AM82" s="36"/>
      <c r="AN82" s="36"/>
      <c r="AO82" s="36"/>
      <c r="AP82" s="36"/>
      <c r="AQ82" s="28"/>
      <c r="AR82" s="36"/>
      <c r="AS82" s="36"/>
      <c r="AT82" s="36"/>
      <c r="AU82" s="28"/>
      <c r="AV82" s="28"/>
      <c r="AW82" s="36"/>
      <c r="AX82" s="36"/>
      <c r="AY82" s="28"/>
      <c r="AZ82" s="36"/>
      <c r="BA82" s="36"/>
      <c r="BB82" s="36"/>
      <c r="BC82" s="36"/>
      <c r="BD82" s="36"/>
      <c r="BE82" s="36"/>
      <c r="BF82" s="36"/>
      <c r="BG82" s="36"/>
      <c r="BH82" s="28"/>
      <c r="BI82" s="36"/>
      <c r="BJ82" s="36"/>
      <c r="BK82" s="28"/>
      <c r="BL82" s="28"/>
      <c r="BP82" s="28"/>
      <c r="BR82" s="28"/>
      <c r="BS82" s="28"/>
    </row>
    <row r="83" spans="2:86" x14ac:dyDescent="0.25">
      <c r="B83" s="2"/>
      <c r="S83" s="5"/>
      <c r="T83" s="5"/>
      <c r="U83" s="5"/>
      <c r="V83" s="5"/>
      <c r="W83" s="5"/>
      <c r="X83" s="5"/>
      <c r="BO83" s="2"/>
      <c r="BP83" s="28"/>
      <c r="BQ83" s="2"/>
      <c r="BR83" s="28"/>
      <c r="BS83" s="28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</row>
    <row r="84" spans="2:86" s="2" customFormat="1" x14ac:dyDescent="0.25">
      <c r="B84" s="2" t="s">
        <v>4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>
        <f>-2930-15+10968</f>
        <v>8023</v>
      </c>
      <c r="P84" s="5">
        <f>-3944-96+10968-O84</f>
        <v>-1095</v>
      </c>
      <c r="Q84" s="5">
        <f>-3944-96+11391-423-P84-O84</f>
        <v>0</v>
      </c>
      <c r="R84" s="5"/>
      <c r="S84" s="5"/>
      <c r="T84" s="5"/>
      <c r="U84" s="5"/>
      <c r="V84" s="5"/>
      <c r="W84" s="5"/>
      <c r="X84" s="5"/>
      <c r="Y84" s="5"/>
      <c r="Z84" s="5"/>
      <c r="AE84" s="36"/>
      <c r="AF84" s="36"/>
      <c r="AG84" s="36"/>
      <c r="AH84" s="36"/>
      <c r="AI84" s="36"/>
      <c r="AJ84" s="36"/>
      <c r="AK84" s="28"/>
      <c r="AL84" s="36"/>
      <c r="AM84" s="36"/>
      <c r="AN84" s="36"/>
      <c r="AO84" s="36"/>
      <c r="AP84" s="36"/>
      <c r="AQ84" s="28"/>
      <c r="AR84" s="36"/>
      <c r="AS84" s="36"/>
      <c r="AT84" s="36"/>
      <c r="AU84" s="28"/>
      <c r="AV84" s="28"/>
      <c r="AW84" s="36"/>
      <c r="AX84" s="36"/>
      <c r="AY84" s="28"/>
      <c r="AZ84" s="36"/>
      <c r="BA84" s="36"/>
      <c r="BB84" s="36"/>
      <c r="BC84" s="36"/>
      <c r="BD84" s="36"/>
      <c r="BE84" s="36"/>
      <c r="BF84" s="36"/>
      <c r="BG84" s="36"/>
      <c r="BH84" s="28"/>
      <c r="BI84" s="36"/>
      <c r="BJ84" s="36"/>
      <c r="BK84" s="28"/>
      <c r="BL84" s="28"/>
      <c r="BP84" s="28"/>
      <c r="BR84" s="28"/>
      <c r="BS84" s="28"/>
    </row>
    <row r="85" spans="2:86" s="2" customFormat="1" x14ac:dyDescent="0.25">
      <c r="B85" s="2" t="s">
        <v>156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>
        <v>449</v>
      </c>
      <c r="P85" s="5">
        <f>834-O85</f>
        <v>385</v>
      </c>
      <c r="Q85" s="5">
        <f>1106-P85-O85</f>
        <v>272</v>
      </c>
      <c r="R85" s="5"/>
      <c r="S85" s="5"/>
      <c r="T85" s="5"/>
      <c r="U85" s="5"/>
      <c r="V85" s="5"/>
      <c r="W85" s="5"/>
      <c r="X85" s="5"/>
      <c r="Y85" s="5"/>
      <c r="Z85" s="5"/>
      <c r="AE85" s="36"/>
      <c r="AF85" s="36"/>
      <c r="AG85" s="36"/>
      <c r="AH85" s="36"/>
      <c r="AI85" s="36"/>
      <c r="AJ85" s="36"/>
      <c r="AK85" s="28"/>
      <c r="AL85" s="36"/>
      <c r="AM85" s="36"/>
      <c r="AN85" s="36"/>
      <c r="AO85" s="36"/>
      <c r="AP85" s="36"/>
      <c r="AQ85" s="28"/>
      <c r="AR85" s="36"/>
      <c r="AS85" s="36"/>
      <c r="AT85" s="36"/>
      <c r="AU85" s="28"/>
      <c r="AV85" s="28"/>
      <c r="AW85" s="36"/>
      <c r="AX85" s="36"/>
      <c r="AY85" s="28"/>
      <c r="AZ85" s="36"/>
      <c r="BA85" s="36"/>
      <c r="BB85" s="36"/>
      <c r="BC85" s="36"/>
      <c r="BD85" s="36"/>
      <c r="BE85" s="36"/>
      <c r="BF85" s="36"/>
      <c r="BG85" s="36"/>
      <c r="BH85" s="28"/>
      <c r="BI85" s="36"/>
      <c r="BJ85" s="36"/>
      <c r="BK85" s="28"/>
      <c r="BL85" s="28"/>
      <c r="BP85" s="28"/>
      <c r="BR85" s="28"/>
      <c r="BS85" s="28"/>
    </row>
    <row r="86" spans="2:86" s="2" customFormat="1" x14ac:dyDescent="0.25">
      <c r="B86" s="2" t="s">
        <v>58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>
        <v>0</v>
      </c>
      <c r="P86" s="5">
        <f>1573-O86</f>
        <v>1573</v>
      </c>
      <c r="Q86" s="5">
        <f>2423-P86-O86</f>
        <v>850</v>
      </c>
      <c r="R86" s="5"/>
      <c r="S86" s="5"/>
      <c r="T86" s="5"/>
      <c r="U86" s="5"/>
      <c r="V86" s="5"/>
      <c r="W86" s="5"/>
      <c r="X86" s="5"/>
      <c r="Y86" s="5"/>
      <c r="Z86" s="5"/>
      <c r="AE86" s="36"/>
      <c r="AF86" s="36"/>
      <c r="AG86" s="36"/>
      <c r="AH86" s="36"/>
      <c r="AI86" s="36"/>
      <c r="AJ86" s="36"/>
      <c r="AK86" s="28"/>
      <c r="AL86" s="36"/>
      <c r="AM86" s="36"/>
      <c r="AN86" s="36"/>
      <c r="AO86" s="36"/>
      <c r="AP86" s="36"/>
      <c r="AQ86" s="28"/>
      <c r="AR86" s="36"/>
      <c r="AS86" s="36"/>
      <c r="AT86" s="36"/>
      <c r="AU86" s="28"/>
      <c r="AV86" s="28"/>
      <c r="AW86" s="36"/>
      <c r="AX86" s="36"/>
      <c r="AY86" s="28"/>
      <c r="AZ86" s="36"/>
      <c r="BA86" s="36"/>
      <c r="BB86" s="36"/>
      <c r="BC86" s="36"/>
      <c r="BD86" s="36"/>
      <c r="BE86" s="36"/>
      <c r="BF86" s="36"/>
      <c r="BG86" s="36"/>
      <c r="BH86" s="28"/>
      <c r="BI86" s="36"/>
      <c r="BJ86" s="36"/>
      <c r="BK86" s="28"/>
      <c r="BL86" s="28"/>
      <c r="BP86" s="28"/>
      <c r="BR86" s="28"/>
      <c r="BS86" s="28"/>
    </row>
    <row r="87" spans="2:86" s="2" customFormat="1" x14ac:dyDescent="0.25">
      <c r="B87" s="2" t="s">
        <v>157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>
        <v>659</v>
      </c>
      <c r="P87" s="5">
        <f>0-O87</f>
        <v>-659</v>
      </c>
      <c r="Q87" s="5">
        <v>0</v>
      </c>
      <c r="R87" s="5"/>
      <c r="S87" s="5"/>
      <c r="T87" s="5"/>
      <c r="U87" s="5"/>
      <c r="V87" s="5"/>
      <c r="W87" s="5"/>
      <c r="X87" s="5"/>
      <c r="Y87" s="5"/>
      <c r="Z87" s="5"/>
      <c r="AE87" s="36"/>
      <c r="AF87" s="36"/>
      <c r="AG87" s="36"/>
      <c r="AH87" s="36"/>
      <c r="AI87" s="36"/>
      <c r="AJ87" s="36"/>
      <c r="AK87" s="28"/>
      <c r="AL87" s="36"/>
      <c r="AM87" s="36"/>
      <c r="AN87" s="36"/>
      <c r="AO87" s="36"/>
      <c r="AP87" s="36"/>
      <c r="AQ87" s="28"/>
      <c r="AR87" s="36"/>
      <c r="AS87" s="36"/>
      <c r="AT87" s="36"/>
      <c r="AU87" s="28"/>
      <c r="AV87" s="28"/>
      <c r="AW87" s="36"/>
      <c r="AX87" s="36"/>
      <c r="AY87" s="28"/>
      <c r="AZ87" s="36"/>
      <c r="BA87" s="36"/>
      <c r="BB87" s="36"/>
      <c r="BC87" s="36"/>
      <c r="BD87" s="36"/>
      <c r="BE87" s="36"/>
      <c r="BF87" s="36"/>
      <c r="BG87" s="36"/>
      <c r="BH87" s="28"/>
      <c r="BI87" s="36"/>
      <c r="BJ87" s="36"/>
      <c r="BK87" s="28"/>
      <c r="BL87" s="28"/>
      <c r="BP87" s="28"/>
      <c r="BR87" s="28"/>
      <c r="BS87" s="28"/>
    </row>
    <row r="88" spans="2:86" s="2" customFormat="1" x14ac:dyDescent="0.25">
      <c r="B88" s="2" t="s">
        <v>158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-1512</v>
      </c>
      <c r="P88" s="5">
        <f>-2036-O88</f>
        <v>-524</v>
      </c>
      <c r="Q88" s="5">
        <f>-2561-P88-O88</f>
        <v>-525</v>
      </c>
      <c r="R88" s="5"/>
      <c r="S88" s="5"/>
      <c r="T88" s="5"/>
      <c r="U88" s="5"/>
      <c r="V88" s="5"/>
      <c r="W88" s="5"/>
      <c r="X88" s="5"/>
      <c r="Y88" s="5"/>
      <c r="Z88" s="5"/>
      <c r="AE88" s="36"/>
      <c r="AF88" s="36"/>
      <c r="AG88" s="36"/>
      <c r="AH88" s="36"/>
      <c r="AI88" s="36"/>
      <c r="AJ88" s="36"/>
      <c r="AK88" s="28"/>
      <c r="AL88" s="36"/>
      <c r="AM88" s="36"/>
      <c r="AN88" s="36"/>
      <c r="AO88" s="36"/>
      <c r="AP88" s="36"/>
      <c r="AQ88" s="28"/>
      <c r="AR88" s="36"/>
      <c r="AS88" s="36"/>
      <c r="AT88" s="36"/>
      <c r="AU88" s="28"/>
      <c r="AV88" s="28"/>
      <c r="AW88" s="36"/>
      <c r="AX88" s="36"/>
      <c r="AY88" s="28"/>
      <c r="AZ88" s="36"/>
      <c r="BA88" s="36"/>
      <c r="BB88" s="36"/>
      <c r="BC88" s="36"/>
      <c r="BD88" s="36"/>
      <c r="BE88" s="36"/>
      <c r="BF88" s="36"/>
      <c r="BG88" s="36"/>
      <c r="BH88" s="28"/>
      <c r="BI88" s="36"/>
      <c r="BJ88" s="36"/>
      <c r="BK88" s="28"/>
      <c r="BL88" s="28"/>
      <c r="BP88" s="28"/>
      <c r="BR88" s="28"/>
      <c r="BS88" s="28"/>
    </row>
    <row r="89" spans="2:86" s="2" customFormat="1" x14ac:dyDescent="0.25">
      <c r="B89" s="2" t="s">
        <v>159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>
        <v>-225</v>
      </c>
      <c r="P89" s="5">
        <f>212-O89</f>
        <v>437</v>
      </c>
      <c r="Q89" s="5">
        <f>457-P89-O89</f>
        <v>245</v>
      </c>
      <c r="R89" s="5"/>
      <c r="S89" s="5"/>
      <c r="T89" s="5"/>
      <c r="U89" s="5"/>
      <c r="V89" s="5"/>
      <c r="W89" s="5"/>
      <c r="X89" s="5"/>
      <c r="Y89" s="5"/>
      <c r="Z89" s="5"/>
      <c r="AE89" s="36"/>
      <c r="AF89" s="36"/>
      <c r="AG89" s="36"/>
      <c r="AH89" s="36"/>
      <c r="AI89" s="36"/>
      <c r="AJ89" s="36"/>
      <c r="AK89" s="28"/>
      <c r="AL89" s="36"/>
      <c r="AM89" s="36"/>
      <c r="AN89" s="36"/>
      <c r="AO89" s="36"/>
      <c r="AP89" s="36"/>
      <c r="AQ89" s="28"/>
      <c r="AR89" s="36"/>
      <c r="AS89" s="36"/>
      <c r="AT89" s="36"/>
      <c r="AU89" s="28"/>
      <c r="AV89" s="28"/>
      <c r="AW89" s="36"/>
      <c r="AX89" s="36"/>
      <c r="AY89" s="28"/>
      <c r="AZ89" s="36"/>
      <c r="BA89" s="36"/>
      <c r="BB89" s="36"/>
      <c r="BC89" s="36"/>
      <c r="BD89" s="36"/>
      <c r="BE89" s="36"/>
      <c r="BF89" s="36"/>
      <c r="BG89" s="36"/>
      <c r="BH89" s="28"/>
      <c r="BI89" s="36"/>
      <c r="BJ89" s="36"/>
      <c r="BK89" s="28"/>
      <c r="BL89" s="28"/>
      <c r="BP89" s="28"/>
      <c r="BR89" s="28"/>
      <c r="BS89" s="28"/>
    </row>
    <row r="90" spans="2:86" s="2" customFormat="1" x14ac:dyDescent="0.25">
      <c r="B90" s="2" t="s">
        <v>155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>
        <f>SUM(O84:O89)</f>
        <v>7394</v>
      </c>
      <c r="P90" s="5">
        <f>SUM(P84:P89)</f>
        <v>117</v>
      </c>
      <c r="Q90" s="5">
        <f>SUM(Q84:Q89)</f>
        <v>842</v>
      </c>
      <c r="R90" s="5"/>
      <c r="S90" s="5"/>
      <c r="T90" s="5"/>
      <c r="U90" s="5"/>
      <c r="V90" s="5"/>
      <c r="W90" s="5"/>
      <c r="X90" s="5"/>
      <c r="Y90" s="5"/>
      <c r="Z90" s="5"/>
      <c r="AE90" s="36"/>
      <c r="AF90" s="36"/>
      <c r="AG90" s="36"/>
      <c r="AH90" s="36"/>
      <c r="AI90" s="36"/>
      <c r="AJ90" s="36"/>
      <c r="AK90" s="28"/>
      <c r="AL90" s="36"/>
      <c r="AM90" s="36"/>
      <c r="AN90" s="36"/>
      <c r="AO90" s="36"/>
      <c r="AP90" s="36"/>
      <c r="AQ90" s="28"/>
      <c r="AR90" s="36"/>
      <c r="AS90" s="36"/>
      <c r="AT90" s="36"/>
      <c r="AU90" s="28"/>
      <c r="AV90" s="28"/>
      <c r="AW90" s="36"/>
      <c r="AX90" s="36"/>
      <c r="AY90" s="28"/>
      <c r="AZ90" s="36"/>
      <c r="BA90" s="36"/>
      <c r="BB90" s="36"/>
      <c r="BC90" s="36"/>
      <c r="BD90" s="36"/>
      <c r="BE90" s="36"/>
      <c r="BF90" s="36"/>
      <c r="BG90" s="36"/>
      <c r="BH90" s="28"/>
      <c r="BI90" s="36"/>
      <c r="BJ90" s="36"/>
      <c r="BK90" s="28"/>
      <c r="BL90" s="28"/>
      <c r="BP90" s="28"/>
      <c r="BR90" s="28"/>
      <c r="BS90" s="28"/>
    </row>
    <row r="91" spans="2:86" x14ac:dyDescent="0.25">
      <c r="B91" s="2" t="s">
        <v>160</v>
      </c>
      <c r="O91" s="5">
        <f>+O90+O82+O77</f>
        <v>-2912</v>
      </c>
      <c r="P91" s="5">
        <f>+P90+P82+P77</f>
        <v>117</v>
      </c>
      <c r="Q91" s="5">
        <f>+Q90+Q82+Q77</f>
        <v>-728</v>
      </c>
      <c r="S91" s="5"/>
      <c r="T91" s="5"/>
      <c r="U91" s="5"/>
      <c r="V91" s="5"/>
      <c r="W91" s="5"/>
      <c r="X91" s="5"/>
      <c r="BO91" s="2"/>
      <c r="BP91" s="28"/>
      <c r="BQ91" s="2"/>
      <c r="BR91" s="28"/>
      <c r="BS91" s="28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</row>
    <row r="92" spans="2:86" x14ac:dyDescent="0.25">
      <c r="B92" s="2"/>
      <c r="S92" s="5"/>
      <c r="T92" s="5"/>
      <c r="U92" s="5"/>
      <c r="V92" s="5"/>
      <c r="W92" s="5"/>
      <c r="X92" s="5"/>
      <c r="BO92" s="2"/>
      <c r="BP92" s="28"/>
      <c r="BQ92" s="2"/>
      <c r="BR92" s="28"/>
      <c r="BS92" s="28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</row>
    <row r="93" spans="2:86" ht="13" x14ac:dyDescent="0.3">
      <c r="B93" s="2" t="s">
        <v>48</v>
      </c>
      <c r="O93" s="5">
        <f>+O79+O77</f>
        <v>-9198</v>
      </c>
      <c r="P93" s="5">
        <f>+P79+P77</f>
        <v>-3080</v>
      </c>
      <c r="Q93" s="5">
        <f>+Q79+Q77</f>
        <v>71</v>
      </c>
      <c r="S93" s="5">
        <f>+S79+S77</f>
        <v>-7193</v>
      </c>
      <c r="T93" s="5">
        <f>+T79+T77</f>
        <v>-3390</v>
      </c>
      <c r="U93" s="5">
        <f>+U79+U77</f>
        <v>-2404</v>
      </c>
      <c r="V93" s="5">
        <f>+U93</f>
        <v>-2404</v>
      </c>
      <c r="W93" s="5"/>
      <c r="X93" s="5"/>
      <c r="BO93" s="6">
        <f t="shared" ref="BO93:CA93" si="224">+BO77-BO79</f>
        <v>8980</v>
      </c>
      <c r="BP93" s="29">
        <f t="shared" si="224"/>
        <v>4772</v>
      </c>
      <c r="BQ93" s="6">
        <f t="shared" si="224"/>
        <v>7625</v>
      </c>
      <c r="BR93" s="29">
        <f t="shared" si="224"/>
        <v>5729</v>
      </c>
      <c r="BS93" s="29">
        <f t="shared" si="224"/>
        <v>6655</v>
      </c>
      <c r="BT93" s="6">
        <f t="shared" si="224"/>
        <v>11485</v>
      </c>
      <c r="BU93" s="6">
        <f t="shared" si="224"/>
        <v>15756</v>
      </c>
      <c r="BV93" s="6">
        <f t="shared" si="224"/>
        <v>7857</v>
      </c>
      <c r="BW93" s="6">
        <f t="shared" si="224"/>
        <v>10065</v>
      </c>
      <c r="BX93" s="6">
        <f t="shared" si="224"/>
        <v>10313</v>
      </c>
      <c r="BY93" s="6">
        <f t="shared" si="224"/>
        <v>11691</v>
      </c>
      <c r="BZ93" s="6">
        <f t="shared" si="224"/>
        <v>12183</v>
      </c>
      <c r="CA93" s="6">
        <f t="shared" si="224"/>
        <v>10332</v>
      </c>
      <c r="CB93" s="6">
        <f t="shared" ref="CB93:CH93" si="225">+CB77+CB79</f>
        <v>14251</v>
      </c>
      <c r="CC93" s="6">
        <f t="shared" si="225"/>
        <v>16932</v>
      </c>
      <c r="CD93" s="6">
        <f t="shared" si="225"/>
        <v>21605</v>
      </c>
      <c r="CE93" s="6">
        <f t="shared" si="225"/>
        <v>10723</v>
      </c>
      <c r="CF93" s="6">
        <f t="shared" si="225"/>
        <v>-9411</v>
      </c>
      <c r="CG93" s="6">
        <f t="shared" si="225"/>
        <v>-14279</v>
      </c>
      <c r="CH93" s="6">
        <f t="shared" si="225"/>
        <v>-15391</v>
      </c>
    </row>
    <row r="94" spans="2:86" x14ac:dyDescent="0.25">
      <c r="B94" s="2" t="s">
        <v>146</v>
      </c>
      <c r="BU94" s="2">
        <f t="shared" ref="BU94:CH94" si="226">+BU37-BU93</f>
        <v>-3050</v>
      </c>
      <c r="BV94" s="2">
        <f t="shared" si="226"/>
        <v>3127</v>
      </c>
      <c r="BW94" s="2">
        <f t="shared" si="226"/>
        <v>-385</v>
      </c>
      <c r="BX94" s="2">
        <f t="shared" si="226"/>
        <v>1569</v>
      </c>
      <c r="BY94" s="2">
        <f t="shared" si="226"/>
        <v>33</v>
      </c>
      <c r="BZ94" s="2">
        <f t="shared" si="226"/>
        <v>-193</v>
      </c>
      <c r="CA94" s="2">
        <f t="shared" si="226"/>
        <v>7930</v>
      </c>
      <c r="CB94" s="2">
        <f t="shared" si="226"/>
        <v>6855</v>
      </c>
      <c r="CC94" s="2">
        <f t="shared" si="226"/>
        <v>2970</v>
      </c>
      <c r="CD94" s="2">
        <f t="shared" si="226"/>
        <v>-2412</v>
      </c>
      <c r="CE94" s="2">
        <f t="shared" si="226"/>
        <v>9042</v>
      </c>
      <c r="CF94" s="2">
        <f t="shared" si="226"/>
        <v>13162</v>
      </c>
      <c r="CG94" s="2">
        <f t="shared" si="226"/>
        <v>14811</v>
      </c>
      <c r="CH94" s="2">
        <f t="shared" si="226"/>
        <v>11365.16</v>
      </c>
    </row>
    <row r="96" spans="2:86" x14ac:dyDescent="0.25">
      <c r="B96" t="s">
        <v>84</v>
      </c>
      <c r="P96" s="5">
        <v>126800</v>
      </c>
      <c r="Q96" s="5"/>
      <c r="R96" s="5"/>
      <c r="S96" s="5">
        <v>125200</v>
      </c>
      <c r="T96" s="5">
        <v>125300</v>
      </c>
    </row>
    <row r="100" spans="2:21" x14ac:dyDescent="0.25">
      <c r="B100" t="s">
        <v>259</v>
      </c>
      <c r="U100" s="5">
        <f>+U63-U53</f>
        <v>76209</v>
      </c>
    </row>
  </sheetData>
  <hyperlinks>
    <hyperlink ref="A1" location="Main!A1" display="Main" xr:uid="{5CF14BD8-3E10-4C93-8FB6-1B87FA509CB3}"/>
  </hyperlink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7B6BD-4FEB-4E55-92ED-F7D313998745}">
  <dimension ref="A1:F39"/>
  <sheetViews>
    <sheetView zoomScale="190" zoomScaleNormal="190" workbookViewId="0">
      <selection activeCell="D4" sqref="D4"/>
    </sheetView>
  </sheetViews>
  <sheetFormatPr defaultRowHeight="12.5" x14ac:dyDescent="0.25"/>
  <cols>
    <col min="1" max="1" width="5" bestFit="1" customWidth="1"/>
    <col min="2" max="2" width="35.26953125" bestFit="1" customWidth="1"/>
  </cols>
  <sheetData>
    <row r="1" spans="1:6" x14ac:dyDescent="0.25">
      <c r="A1" s="11" t="s">
        <v>7</v>
      </c>
    </row>
    <row r="2" spans="1:6" x14ac:dyDescent="0.25">
      <c r="B2" t="s">
        <v>109</v>
      </c>
    </row>
    <row r="5" spans="1:6" x14ac:dyDescent="0.25">
      <c r="C5" s="3" t="s">
        <v>110</v>
      </c>
      <c r="D5" s="3" t="s">
        <v>112</v>
      </c>
      <c r="E5" s="3" t="s">
        <v>113</v>
      </c>
      <c r="F5" s="3" t="s">
        <v>114</v>
      </c>
    </row>
    <row r="6" spans="1:6" x14ac:dyDescent="0.25">
      <c r="B6" t="s">
        <v>111</v>
      </c>
      <c r="C6" s="3">
        <v>6</v>
      </c>
      <c r="D6" s="3">
        <v>5.6</v>
      </c>
      <c r="E6" s="3">
        <v>5.3</v>
      </c>
      <c r="F6" s="3">
        <v>4.7</v>
      </c>
    </row>
    <row r="7" spans="1:6" x14ac:dyDescent="0.25">
      <c r="B7" t="s">
        <v>115</v>
      </c>
      <c r="C7" s="3">
        <v>5.8</v>
      </c>
      <c r="D7" s="3">
        <v>5.6</v>
      </c>
      <c r="E7" s="3" t="s">
        <v>116</v>
      </c>
      <c r="F7" s="3" t="s">
        <v>116</v>
      </c>
    </row>
    <row r="8" spans="1:6" x14ac:dyDescent="0.25">
      <c r="B8" t="s">
        <v>117</v>
      </c>
      <c r="C8" s="3">
        <v>5.6</v>
      </c>
      <c r="D8" s="3">
        <v>5.5</v>
      </c>
      <c r="E8" s="3">
        <v>5.0999999999999996</v>
      </c>
      <c r="F8" s="3">
        <v>4.7</v>
      </c>
    </row>
    <row r="9" spans="1:6" x14ac:dyDescent="0.25">
      <c r="B9" t="s">
        <v>118</v>
      </c>
      <c r="C9" s="3">
        <v>4.4000000000000004</v>
      </c>
      <c r="D9" s="3">
        <v>4.3</v>
      </c>
      <c r="E9" s="3">
        <v>3.9</v>
      </c>
      <c r="F9" s="3" t="s">
        <v>116</v>
      </c>
    </row>
    <row r="10" spans="1:6" x14ac:dyDescent="0.25">
      <c r="B10" t="s">
        <v>119</v>
      </c>
      <c r="C10" s="3">
        <v>24</v>
      </c>
      <c r="D10" s="3">
        <v>20</v>
      </c>
      <c r="E10" s="3">
        <v>14</v>
      </c>
      <c r="F10" s="3">
        <v>4</v>
      </c>
    </row>
    <row r="11" spans="1:6" x14ac:dyDescent="0.25">
      <c r="B11" t="s">
        <v>120</v>
      </c>
      <c r="C11" s="3">
        <v>8</v>
      </c>
      <c r="D11" s="3">
        <v>8</v>
      </c>
      <c r="E11" s="3">
        <v>6</v>
      </c>
      <c r="F11" s="3">
        <v>4</v>
      </c>
    </row>
    <row r="12" spans="1:6" x14ac:dyDescent="0.25">
      <c r="B12" t="s">
        <v>121</v>
      </c>
      <c r="C12" s="3">
        <v>32</v>
      </c>
      <c r="D12" s="3">
        <v>28</v>
      </c>
      <c r="E12" s="3">
        <v>20</v>
      </c>
      <c r="F12" s="3">
        <v>8</v>
      </c>
    </row>
    <row r="13" spans="1:6" x14ac:dyDescent="0.25">
      <c r="B13" t="s">
        <v>122</v>
      </c>
      <c r="C13" s="3">
        <v>36</v>
      </c>
      <c r="D13" s="3">
        <v>33</v>
      </c>
      <c r="E13" s="3">
        <v>24</v>
      </c>
      <c r="F13" s="3">
        <v>12</v>
      </c>
    </row>
    <row r="16" spans="1:6" x14ac:dyDescent="0.25">
      <c r="B16" t="s">
        <v>127</v>
      </c>
      <c r="C16" t="s">
        <v>125</v>
      </c>
      <c r="E16" t="s">
        <v>128</v>
      </c>
      <c r="F16" s="3">
        <v>3.2</v>
      </c>
    </row>
    <row r="17" spans="2:6" x14ac:dyDescent="0.25">
      <c r="B17" t="s">
        <v>123</v>
      </c>
      <c r="C17" t="s">
        <v>124</v>
      </c>
      <c r="F17" s="3">
        <v>3.2</v>
      </c>
    </row>
    <row r="18" spans="2:6" x14ac:dyDescent="0.25">
      <c r="B18" t="s">
        <v>126</v>
      </c>
      <c r="C18" t="s">
        <v>50</v>
      </c>
      <c r="F18">
        <v>3.4</v>
      </c>
    </row>
    <row r="20" spans="2:6" x14ac:dyDescent="0.25">
      <c r="B20" t="s">
        <v>129</v>
      </c>
    </row>
    <row r="21" spans="2:6" x14ac:dyDescent="0.25">
      <c r="B21" t="s">
        <v>130</v>
      </c>
    </row>
    <row r="22" spans="2:6" x14ac:dyDescent="0.25">
      <c r="B22" t="s">
        <v>131</v>
      </c>
    </row>
    <row r="24" spans="2:6" x14ac:dyDescent="0.25">
      <c r="C24" s="3" t="s">
        <v>266</v>
      </c>
      <c r="D24" s="3" t="s">
        <v>119</v>
      </c>
      <c r="E24" s="3" t="s">
        <v>267</v>
      </c>
    </row>
    <row r="25" spans="2:6" x14ac:dyDescent="0.25">
      <c r="B25" t="s">
        <v>260</v>
      </c>
      <c r="C25">
        <v>5800</v>
      </c>
      <c r="D25">
        <v>14</v>
      </c>
      <c r="E25">
        <v>24</v>
      </c>
    </row>
    <row r="26" spans="2:6" x14ac:dyDescent="0.25">
      <c r="B26" t="s">
        <v>261</v>
      </c>
      <c r="C26">
        <v>5400</v>
      </c>
      <c r="D26">
        <v>24</v>
      </c>
      <c r="E26">
        <v>36</v>
      </c>
    </row>
    <row r="27" spans="2:6" x14ac:dyDescent="0.25">
      <c r="B27" t="s">
        <v>262</v>
      </c>
      <c r="C27">
        <v>5600</v>
      </c>
      <c r="D27">
        <v>24</v>
      </c>
      <c r="E27">
        <v>36</v>
      </c>
    </row>
    <row r="28" spans="2:6" x14ac:dyDescent="0.25">
      <c r="B28" t="s">
        <v>263</v>
      </c>
      <c r="C28">
        <v>5400</v>
      </c>
      <c r="D28">
        <v>10</v>
      </c>
      <c r="E28">
        <v>12</v>
      </c>
    </row>
    <row r="29" spans="2:6" x14ac:dyDescent="0.25">
      <c r="B29" t="s">
        <v>264</v>
      </c>
      <c r="C29">
        <v>5400</v>
      </c>
      <c r="D29">
        <v>14</v>
      </c>
      <c r="E29">
        <v>24</v>
      </c>
    </row>
    <row r="30" spans="2:6" x14ac:dyDescent="0.25">
      <c r="B30" t="s">
        <v>265</v>
      </c>
      <c r="C30">
        <v>5200</v>
      </c>
      <c r="D30">
        <v>10</v>
      </c>
      <c r="E30">
        <v>24</v>
      </c>
    </row>
    <row r="31" spans="2:6" x14ac:dyDescent="0.25">
      <c r="B31" t="s">
        <v>268</v>
      </c>
      <c r="C31">
        <v>5500</v>
      </c>
      <c r="D31">
        <v>24</v>
      </c>
      <c r="E31">
        <v>36</v>
      </c>
    </row>
    <row r="32" spans="2:6" x14ac:dyDescent="0.25">
      <c r="B32" t="s">
        <v>269</v>
      </c>
      <c r="C32">
        <v>6000</v>
      </c>
      <c r="D32">
        <v>24</v>
      </c>
      <c r="E32">
        <v>36</v>
      </c>
    </row>
    <row r="33" spans="2:5" x14ac:dyDescent="0.25">
      <c r="B33" t="s">
        <v>270</v>
      </c>
      <c r="C33">
        <v>6000</v>
      </c>
      <c r="D33">
        <v>24</v>
      </c>
    </row>
    <row r="34" spans="2:5" x14ac:dyDescent="0.25">
      <c r="B34" t="s">
        <v>271</v>
      </c>
      <c r="C34">
        <v>5800</v>
      </c>
      <c r="D34">
        <v>24</v>
      </c>
      <c r="E34">
        <v>36</v>
      </c>
    </row>
    <row r="35" spans="2:5" x14ac:dyDescent="0.25">
      <c r="B35" t="s">
        <v>272</v>
      </c>
      <c r="C35">
        <v>5600</v>
      </c>
      <c r="D35">
        <v>8</v>
      </c>
    </row>
    <row r="36" spans="2:5" x14ac:dyDescent="0.25">
      <c r="B36" t="s">
        <v>273</v>
      </c>
      <c r="C36">
        <v>5800</v>
      </c>
      <c r="D36">
        <v>8</v>
      </c>
    </row>
    <row r="37" spans="2:5" x14ac:dyDescent="0.25">
      <c r="B37" t="s">
        <v>275</v>
      </c>
      <c r="C37">
        <v>4300</v>
      </c>
      <c r="D37">
        <v>32</v>
      </c>
      <c r="E37">
        <v>336</v>
      </c>
    </row>
    <row r="38" spans="2:5" x14ac:dyDescent="0.25">
      <c r="B38" t="s">
        <v>274</v>
      </c>
      <c r="C38">
        <v>4200</v>
      </c>
    </row>
    <row r="39" spans="2:5" x14ac:dyDescent="0.25">
      <c r="B39" t="s">
        <v>276</v>
      </c>
      <c r="C39">
        <v>3900</v>
      </c>
      <c r="D39">
        <v>72</v>
      </c>
      <c r="E39">
        <v>432</v>
      </c>
    </row>
  </sheetData>
  <hyperlinks>
    <hyperlink ref="A1" location="Main!A1" display="Main" xr:uid="{DA3BB37A-D489-4CDC-892B-DF80E61F028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BD0D8-24FD-4B75-B1E5-024BBD205C90}">
  <dimension ref="A1:F9"/>
  <sheetViews>
    <sheetView zoomScale="145" zoomScaleNormal="14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10" sqref="B10"/>
    </sheetView>
  </sheetViews>
  <sheetFormatPr defaultRowHeight="12.5" x14ac:dyDescent="0.25"/>
  <cols>
    <col min="1" max="1" width="5" bestFit="1" customWidth="1"/>
    <col min="2" max="2" width="11.54296875" style="22" customWidth="1"/>
    <col min="3" max="3" width="50.453125" bestFit="1" customWidth="1"/>
    <col min="4" max="4" width="16.1796875" bestFit="1" customWidth="1"/>
    <col min="6" max="6" width="9.54296875" bestFit="1" customWidth="1"/>
  </cols>
  <sheetData>
    <row r="1" spans="1:6" x14ac:dyDescent="0.25">
      <c r="A1" s="11" t="s">
        <v>7</v>
      </c>
    </row>
    <row r="2" spans="1:6" x14ac:dyDescent="0.25">
      <c r="B2" s="22" t="s">
        <v>161</v>
      </c>
      <c r="C2" t="s">
        <v>162</v>
      </c>
      <c r="D2" t="s">
        <v>164</v>
      </c>
      <c r="E2" t="s">
        <v>248</v>
      </c>
      <c r="F2" t="s">
        <v>252</v>
      </c>
    </row>
    <row r="3" spans="1:6" x14ac:dyDescent="0.25">
      <c r="B3" s="22">
        <v>12160492</v>
      </c>
      <c r="C3" t="s">
        <v>247</v>
      </c>
      <c r="D3" t="s">
        <v>246</v>
      </c>
      <c r="E3" t="s">
        <v>249</v>
      </c>
    </row>
    <row r="4" spans="1:6" x14ac:dyDescent="0.25">
      <c r="B4" s="22">
        <v>12160369</v>
      </c>
      <c r="C4" t="s">
        <v>240</v>
      </c>
      <c r="D4" t="s">
        <v>241</v>
      </c>
    </row>
    <row r="5" spans="1:6" x14ac:dyDescent="0.25">
      <c r="B5" s="22">
        <v>12160368</v>
      </c>
      <c r="C5" t="s">
        <v>250</v>
      </c>
      <c r="D5" t="s">
        <v>251</v>
      </c>
      <c r="E5" t="s">
        <v>249</v>
      </c>
    </row>
    <row r="6" spans="1:6" x14ac:dyDescent="0.25">
      <c r="B6" s="22">
        <v>12159813</v>
      </c>
      <c r="C6" t="s">
        <v>168</v>
      </c>
      <c r="D6" t="s">
        <v>169</v>
      </c>
    </row>
    <row r="7" spans="1:6" x14ac:dyDescent="0.25">
      <c r="B7" s="22">
        <v>12159353</v>
      </c>
      <c r="C7" t="s">
        <v>166</v>
      </c>
      <c r="D7" t="s">
        <v>167</v>
      </c>
    </row>
    <row r="8" spans="1:6" x14ac:dyDescent="0.25">
      <c r="B8" s="22">
        <v>12159901</v>
      </c>
      <c r="C8" t="s">
        <v>253</v>
      </c>
      <c r="D8" t="s">
        <v>254</v>
      </c>
      <c r="F8" s="23">
        <v>45629</v>
      </c>
    </row>
    <row r="9" spans="1:6" x14ac:dyDescent="0.25">
      <c r="B9" s="22">
        <v>12158966</v>
      </c>
      <c r="C9" t="s">
        <v>163</v>
      </c>
      <c r="D9" t="s">
        <v>165</v>
      </c>
    </row>
  </sheetData>
  <hyperlinks>
    <hyperlink ref="A1" location="Main!A1" display="Main" xr:uid="{08A58127-A1CF-4464-858B-B98B2BA8AD6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1E709-AF31-4C11-ADE4-79FCB1E77C73}">
  <dimension ref="A1:C56"/>
  <sheetViews>
    <sheetView zoomScale="190" zoomScaleNormal="190" workbookViewId="0">
      <selection activeCell="E13" sqref="E13"/>
    </sheetView>
  </sheetViews>
  <sheetFormatPr defaultRowHeight="12.5" x14ac:dyDescent="0.25"/>
  <cols>
    <col min="1" max="1" width="5" bestFit="1" customWidth="1"/>
    <col min="2" max="2" width="17.7265625" bestFit="1" customWidth="1"/>
  </cols>
  <sheetData>
    <row r="1" spans="1:3" x14ac:dyDescent="0.25">
      <c r="A1" s="11" t="s">
        <v>7</v>
      </c>
    </row>
    <row r="2" spans="1:3" x14ac:dyDescent="0.25">
      <c r="A2" s="11"/>
      <c r="B2" t="s">
        <v>190</v>
      </c>
    </row>
    <row r="3" spans="1:3" x14ac:dyDescent="0.25">
      <c r="A3" s="11"/>
      <c r="B3" t="s">
        <v>189</v>
      </c>
    </row>
    <row r="4" spans="1:3" x14ac:dyDescent="0.25">
      <c r="A4" s="11"/>
      <c r="B4" t="s">
        <v>232</v>
      </c>
      <c r="C4" t="s">
        <v>233</v>
      </c>
    </row>
    <row r="5" spans="1:3" x14ac:dyDescent="0.25">
      <c r="A5" s="11"/>
      <c r="B5" t="s">
        <v>230</v>
      </c>
    </row>
    <row r="6" spans="1:3" x14ac:dyDescent="0.25">
      <c r="A6" s="11"/>
      <c r="B6" t="s">
        <v>234</v>
      </c>
      <c r="C6" t="s">
        <v>235</v>
      </c>
    </row>
    <row r="7" spans="1:3" x14ac:dyDescent="0.25">
      <c r="B7" t="s">
        <v>183</v>
      </c>
      <c r="C7" t="s">
        <v>184</v>
      </c>
    </row>
    <row r="8" spans="1:3" x14ac:dyDescent="0.25">
      <c r="B8" t="s">
        <v>193</v>
      </c>
      <c r="C8" t="s">
        <v>196</v>
      </c>
    </row>
    <row r="9" spans="1:3" x14ac:dyDescent="0.25">
      <c r="B9" t="s">
        <v>208</v>
      </c>
      <c r="C9" t="s">
        <v>209</v>
      </c>
    </row>
    <row r="10" spans="1:3" x14ac:dyDescent="0.25">
      <c r="B10" t="s">
        <v>207</v>
      </c>
    </row>
    <row r="11" spans="1:3" x14ac:dyDescent="0.25">
      <c r="B11" t="s">
        <v>202</v>
      </c>
    </row>
    <row r="12" spans="1:3" x14ac:dyDescent="0.25">
      <c r="B12" t="s">
        <v>211</v>
      </c>
      <c r="C12" t="s">
        <v>212</v>
      </c>
    </row>
    <row r="13" spans="1:3" x14ac:dyDescent="0.25">
      <c r="B13" t="s">
        <v>194</v>
      </c>
      <c r="C13" t="s">
        <v>195</v>
      </c>
    </row>
    <row r="14" spans="1:3" x14ac:dyDescent="0.25">
      <c r="B14" t="s">
        <v>231</v>
      </c>
    </row>
    <row r="15" spans="1:3" x14ac:dyDescent="0.25">
      <c r="B15" t="s">
        <v>177</v>
      </c>
    </row>
    <row r="16" spans="1:3" x14ac:dyDescent="0.25">
      <c r="B16" t="s">
        <v>197</v>
      </c>
    </row>
    <row r="17" spans="2:3" x14ac:dyDescent="0.25">
      <c r="B17" t="s">
        <v>214</v>
      </c>
      <c r="C17" t="s">
        <v>215</v>
      </c>
    </row>
    <row r="18" spans="2:3" x14ac:dyDescent="0.25">
      <c r="B18" t="s">
        <v>170</v>
      </c>
      <c r="C18" t="s">
        <v>174</v>
      </c>
    </row>
    <row r="19" spans="2:3" x14ac:dyDescent="0.25">
      <c r="C19" t="s">
        <v>175</v>
      </c>
    </row>
    <row r="20" spans="2:3" x14ac:dyDescent="0.25">
      <c r="B20" t="s">
        <v>213</v>
      </c>
    </row>
    <row r="21" spans="2:3" x14ac:dyDescent="0.25">
      <c r="B21" t="s">
        <v>221</v>
      </c>
      <c r="C21" t="s">
        <v>222</v>
      </c>
    </row>
    <row r="22" spans="2:3" x14ac:dyDescent="0.25">
      <c r="B22" t="s">
        <v>228</v>
      </c>
    </row>
    <row r="23" spans="2:3" x14ac:dyDescent="0.25">
      <c r="B23" t="s">
        <v>216</v>
      </c>
    </row>
    <row r="24" spans="2:3" x14ac:dyDescent="0.25">
      <c r="B24" t="s">
        <v>171</v>
      </c>
    </row>
    <row r="25" spans="2:3" x14ac:dyDescent="0.25">
      <c r="B25" t="s">
        <v>203</v>
      </c>
      <c r="C25" t="s">
        <v>206</v>
      </c>
    </row>
    <row r="26" spans="2:3" x14ac:dyDescent="0.25">
      <c r="B26" t="s">
        <v>236</v>
      </c>
      <c r="C26" t="s">
        <v>237</v>
      </c>
    </row>
    <row r="27" spans="2:3" x14ac:dyDescent="0.25">
      <c r="B27" t="s">
        <v>255</v>
      </c>
    </row>
    <row r="28" spans="2:3" x14ac:dyDescent="0.25">
      <c r="B28" t="s">
        <v>188</v>
      </c>
    </row>
    <row r="29" spans="2:3" x14ac:dyDescent="0.25">
      <c r="B29" t="s">
        <v>244</v>
      </c>
    </row>
    <row r="30" spans="2:3" x14ac:dyDescent="0.25">
      <c r="B30" t="s">
        <v>180</v>
      </c>
      <c r="C30" t="s">
        <v>181</v>
      </c>
    </row>
    <row r="31" spans="2:3" x14ac:dyDescent="0.25">
      <c r="B31" t="s">
        <v>218</v>
      </c>
    </row>
    <row r="32" spans="2:3" x14ac:dyDescent="0.25">
      <c r="B32" t="s">
        <v>226</v>
      </c>
      <c r="C32" t="s">
        <v>227</v>
      </c>
    </row>
    <row r="33" spans="2:3" x14ac:dyDescent="0.25">
      <c r="B33" t="s">
        <v>204</v>
      </c>
      <c r="C33" t="s">
        <v>205</v>
      </c>
    </row>
    <row r="34" spans="2:3" x14ac:dyDescent="0.25">
      <c r="B34" t="s">
        <v>210</v>
      </c>
    </row>
    <row r="35" spans="2:3" x14ac:dyDescent="0.25">
      <c r="B35" t="s">
        <v>238</v>
      </c>
    </row>
    <row r="36" spans="2:3" x14ac:dyDescent="0.25">
      <c r="B36" t="s">
        <v>245</v>
      </c>
    </row>
    <row r="37" spans="2:3" x14ac:dyDescent="0.25">
      <c r="B37" t="s">
        <v>178</v>
      </c>
      <c r="C37" t="s">
        <v>179</v>
      </c>
    </row>
    <row r="38" spans="2:3" x14ac:dyDescent="0.25">
      <c r="B38" t="s">
        <v>172</v>
      </c>
      <c r="C38" t="s">
        <v>176</v>
      </c>
    </row>
    <row r="39" spans="2:3" x14ac:dyDescent="0.25">
      <c r="B39" t="s">
        <v>223</v>
      </c>
      <c r="C39" t="s">
        <v>224</v>
      </c>
    </row>
    <row r="40" spans="2:3" x14ac:dyDescent="0.25">
      <c r="B40" t="s">
        <v>242</v>
      </c>
      <c r="C40" t="s">
        <v>243</v>
      </c>
    </row>
    <row r="41" spans="2:3" x14ac:dyDescent="0.25">
      <c r="B41" t="s">
        <v>229</v>
      </c>
    </row>
    <row r="42" spans="2:3" x14ac:dyDescent="0.25">
      <c r="B42" t="s">
        <v>200</v>
      </c>
    </row>
    <row r="43" spans="2:3" x14ac:dyDescent="0.25">
      <c r="B43" t="s">
        <v>219</v>
      </c>
    </row>
    <row r="44" spans="2:3" x14ac:dyDescent="0.25">
      <c r="B44" t="s">
        <v>217</v>
      </c>
    </row>
    <row r="45" spans="2:3" x14ac:dyDescent="0.25">
      <c r="B45" t="s">
        <v>225</v>
      </c>
    </row>
    <row r="46" spans="2:3" x14ac:dyDescent="0.25">
      <c r="B46" t="s">
        <v>201</v>
      </c>
    </row>
    <row r="47" spans="2:3" x14ac:dyDescent="0.25">
      <c r="B47" t="s">
        <v>239</v>
      </c>
    </row>
    <row r="48" spans="2:3" x14ac:dyDescent="0.25">
      <c r="B48" t="s">
        <v>191</v>
      </c>
      <c r="C48" t="s">
        <v>192</v>
      </c>
    </row>
    <row r="49" spans="2:3" x14ac:dyDescent="0.25">
      <c r="B49" t="s">
        <v>198</v>
      </c>
      <c r="C49" t="s">
        <v>199</v>
      </c>
    </row>
    <row r="50" spans="2:3" x14ac:dyDescent="0.25">
      <c r="B50" t="s">
        <v>256</v>
      </c>
    </row>
    <row r="51" spans="2:3" x14ac:dyDescent="0.25">
      <c r="B51" t="s">
        <v>257</v>
      </c>
    </row>
    <row r="52" spans="2:3" x14ac:dyDescent="0.25">
      <c r="B52" t="s">
        <v>258</v>
      </c>
    </row>
    <row r="53" spans="2:3" x14ac:dyDescent="0.25">
      <c r="B53" t="s">
        <v>186</v>
      </c>
      <c r="C53" t="s">
        <v>187</v>
      </c>
    </row>
    <row r="54" spans="2:3" x14ac:dyDescent="0.25">
      <c r="B54" t="s">
        <v>182</v>
      </c>
      <c r="C54" t="s">
        <v>185</v>
      </c>
    </row>
    <row r="55" spans="2:3" x14ac:dyDescent="0.25">
      <c r="B55" t="s">
        <v>173</v>
      </c>
    </row>
    <row r="56" spans="2:3" x14ac:dyDescent="0.25">
      <c r="B56" t="s">
        <v>220</v>
      </c>
    </row>
  </sheetData>
  <hyperlinks>
    <hyperlink ref="A1" location="Main!A1" display="Main" xr:uid="{D2D6D48C-E369-4CEC-B079-E0240F4CC73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Model</vt:lpstr>
      <vt:lpstr>14th</vt:lpstr>
      <vt:lpstr>IP</vt:lpstr>
      <vt:lpstr>Semiconductors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2023-02-01T14:35:47Z</dcterms:created>
  <dcterms:modified xsi:type="dcterms:W3CDTF">2025-10-29T16:40:12Z</dcterms:modified>
</cp:coreProperties>
</file>