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CF5B5CB7-8203-4EA2-BBEA-4CE3B182E372}" xr6:coauthVersionLast="47" xr6:coauthVersionMax="47" xr10:uidLastSave="{00000000-0000-0000-0000-000000000000}"/>
  <bookViews>
    <workbookView xWindow="38290" yWindow="-110" windowWidth="38620" windowHeight="21820" xr2:uid="{9A2567DE-EF9E-4BE6-BEFC-A7DFCE4059B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I17" i="2"/>
  <c r="H17" i="2"/>
  <c r="G17" i="2"/>
  <c r="F17" i="2"/>
  <c r="E17" i="2"/>
  <c r="D17" i="2"/>
  <c r="C22" i="2"/>
  <c r="C8" i="2"/>
  <c r="C5" i="2"/>
  <c r="O17" i="2"/>
  <c r="N17" i="2"/>
  <c r="M17" i="2"/>
  <c r="L17" i="2"/>
  <c r="K17" i="2"/>
  <c r="E2" i="2"/>
  <c r="F2" i="2" s="1"/>
  <c r="G2" i="2" s="1"/>
  <c r="H2" i="2" s="1"/>
  <c r="H22" i="2"/>
  <c r="G22" i="2"/>
  <c r="F22" i="2"/>
  <c r="E22" i="2"/>
  <c r="D22" i="2"/>
  <c r="H8" i="2"/>
  <c r="G8" i="2"/>
  <c r="F8" i="2"/>
  <c r="E8" i="2"/>
  <c r="D8" i="2"/>
  <c r="H5" i="2"/>
  <c r="G5" i="2"/>
  <c r="F5" i="2"/>
  <c r="E5" i="2"/>
  <c r="D5" i="2"/>
  <c r="I22" i="2"/>
  <c r="I8" i="2"/>
  <c r="I5" i="2"/>
  <c r="L22" i="2"/>
  <c r="K22" i="2"/>
  <c r="J22" i="2"/>
  <c r="L8" i="2"/>
  <c r="K8" i="2"/>
  <c r="J8" i="2"/>
  <c r="L5" i="2"/>
  <c r="K5" i="2"/>
  <c r="J5" i="2"/>
  <c r="M22" i="2"/>
  <c r="M8" i="2"/>
  <c r="M5" i="2"/>
  <c r="O22" i="2"/>
  <c r="N22" i="2"/>
  <c r="P22" i="2"/>
  <c r="P17" i="2"/>
  <c r="P8" i="2"/>
  <c r="O8" i="2"/>
  <c r="N8" i="2"/>
  <c r="O5" i="2"/>
  <c r="N5" i="2"/>
  <c r="P5" i="2"/>
  <c r="P9" i="2" s="1"/>
  <c r="P11" i="2" s="1"/>
  <c r="P13" i="2" s="1"/>
  <c r="P14" i="2" s="1"/>
  <c r="I7" i="1"/>
  <c r="I6" i="1"/>
  <c r="I4" i="1"/>
  <c r="E9" i="2" l="1"/>
  <c r="E11" i="2" s="1"/>
  <c r="E13" i="2" s="1"/>
  <c r="E14" i="2" s="1"/>
  <c r="C9" i="2"/>
  <c r="C11" i="2" s="1"/>
  <c r="C13" i="2" s="1"/>
  <c r="C14" i="2" s="1"/>
  <c r="D9" i="2"/>
  <c r="D11" i="2" s="1"/>
  <c r="D13" i="2" s="1"/>
  <c r="D14" i="2" s="1"/>
  <c r="H9" i="2"/>
  <c r="H11" i="2" s="1"/>
  <c r="H13" i="2" s="1"/>
  <c r="H14" i="2" s="1"/>
  <c r="G9" i="2"/>
  <c r="G11" i="2" s="1"/>
  <c r="G13" i="2" s="1"/>
  <c r="G14" i="2" s="1"/>
  <c r="F9" i="2"/>
  <c r="F11" i="2" s="1"/>
  <c r="F13" i="2" s="1"/>
  <c r="F14" i="2" s="1"/>
  <c r="J9" i="2"/>
  <c r="J11" i="2" s="1"/>
  <c r="J13" i="2" s="1"/>
  <c r="J14" i="2" s="1"/>
  <c r="K9" i="2"/>
  <c r="K11" i="2" s="1"/>
  <c r="K13" i="2" s="1"/>
  <c r="K14" i="2" s="1"/>
  <c r="I9" i="2"/>
  <c r="I11" i="2" s="1"/>
  <c r="I13" i="2" s="1"/>
  <c r="I14" i="2" s="1"/>
  <c r="L9" i="2"/>
  <c r="L11" i="2" s="1"/>
  <c r="L13" i="2" s="1"/>
  <c r="L14" i="2" s="1"/>
  <c r="M9" i="2"/>
  <c r="M11" i="2" s="1"/>
  <c r="M13" i="2" s="1"/>
  <c r="M14" i="2" s="1"/>
  <c r="N9" i="2"/>
  <c r="N11" i="2" s="1"/>
  <c r="N13" i="2" s="1"/>
  <c r="N14" i="2" s="1"/>
  <c r="O9" i="2"/>
  <c r="O11" i="2" s="1"/>
  <c r="O13" i="2" s="1"/>
  <c r="O14" i="2" s="1"/>
</calcChain>
</file>

<file path=xl/sharedStrings.xml><?xml version="1.0" encoding="utf-8"?>
<sst xmlns="http://schemas.openxmlformats.org/spreadsheetml/2006/main" count="29" uniqueCount="27">
  <si>
    <t>Price</t>
  </si>
  <si>
    <t>Shares</t>
  </si>
  <si>
    <t>MC</t>
  </si>
  <si>
    <t>Cash</t>
  </si>
  <si>
    <t>Debt</t>
  </si>
  <si>
    <t>EV</t>
  </si>
  <si>
    <t>Main</t>
  </si>
  <si>
    <t>Revenue</t>
  </si>
  <si>
    <t>Gross Profit</t>
  </si>
  <si>
    <t>COGS</t>
  </si>
  <si>
    <t>SG&amp;A</t>
  </si>
  <si>
    <t>Operating Income</t>
  </si>
  <si>
    <t>R&amp;D</t>
  </si>
  <si>
    <t>Operating Expenses</t>
  </si>
  <si>
    <t>Revenue y/y</t>
  </si>
  <si>
    <t>Interest Expense</t>
  </si>
  <si>
    <t>Pretax Income</t>
  </si>
  <si>
    <t>Taxes</t>
  </si>
  <si>
    <t>Net Income</t>
  </si>
  <si>
    <t>EPS</t>
  </si>
  <si>
    <t>CFFO</t>
  </si>
  <si>
    <t>CX</t>
  </si>
  <si>
    <t>FCF</t>
  </si>
  <si>
    <t>Q125</t>
  </si>
  <si>
    <t>CSCO</t>
  </si>
  <si>
    <t>DELL</t>
  </si>
  <si>
    <t>JNPR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</si>
</sst>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3" fontId="1" fillId="0" borderId="0" xfId="0" applyNumberFormat="1" applyFont="1"/>
    <xf numFmtId="4" fontId="1" fillId="0" borderId="0" xfId="0" applyNumberFormat="1" applyFont="1"/>
    <xf numFmtId="3" fontId="2" fillId="0" borderId="0" xfId="0" applyNumberFormat="1" applyFont="1"/>
    <xf numFmtId="9" fontId="1" fillId="0" borderId="0" xfId="0" applyNumberFormat="1" applyFont="1"/>
    <xf numFmtId="0" fontId="2" fillId="0" borderId="0" xfId="0" applyFont="1"/>
    <xf numFmtId="9" fontId="2" fillId="0" borderId="0" xfId="0" applyNumberFormat="1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38046-B40F-405C-A0C0-35328DB29B3B}">
  <dimension ref="H2:J7"/>
  <sheetViews>
    <sheetView tabSelected="1" zoomScale="160" zoomScaleNormal="160" workbookViewId="0"/>
  </sheetViews>
  <sheetFormatPr defaultRowHeight="12.5" x14ac:dyDescent="0.25"/>
  <cols>
    <col min="1" max="9" width="8.7265625" style="1"/>
    <col min="10" max="10" width="9.1796875" style="1" bestFit="1" customWidth="1"/>
    <col min="11" max="16384" width="8.7265625" style="1"/>
  </cols>
  <sheetData>
    <row r="2" spans="8:10" x14ac:dyDescent="0.25">
      <c r="H2" s="1" t="s">
        <v>0</v>
      </c>
      <c r="I2" s="3">
        <v>247</v>
      </c>
    </row>
    <row r="3" spans="8:10" x14ac:dyDescent="0.25">
      <c r="H3" s="1" t="s">
        <v>1</v>
      </c>
      <c r="I3" s="2">
        <v>115.959118</v>
      </c>
      <c r="J3" s="8">
        <v>45708</v>
      </c>
    </row>
    <row r="4" spans="8:10" x14ac:dyDescent="0.25">
      <c r="H4" s="1" t="s">
        <v>2</v>
      </c>
      <c r="I4" s="2">
        <f>+I2*I3</f>
        <v>28641.902146</v>
      </c>
    </row>
    <row r="5" spans="8:10" x14ac:dyDescent="0.25">
      <c r="H5" s="1" t="s">
        <v>3</v>
      </c>
      <c r="I5" s="2">
        <v>423.3</v>
      </c>
      <c r="J5" s="9" t="s">
        <v>23</v>
      </c>
    </row>
    <row r="6" spans="8:10" x14ac:dyDescent="0.25">
      <c r="H6" s="1" t="s">
        <v>4</v>
      </c>
      <c r="I6" s="2">
        <f>26.5+770.2</f>
        <v>796.7</v>
      </c>
      <c r="J6" s="9" t="s">
        <v>23</v>
      </c>
    </row>
    <row r="7" spans="8:10" x14ac:dyDescent="0.25">
      <c r="H7" s="1" t="s">
        <v>5</v>
      </c>
      <c r="I7" s="2">
        <f>+I4-I5+I6</f>
        <v>29015.302146000002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00B4-48C2-4602-8205-F0C861A7ACC6}">
  <dimension ref="A1:P27"/>
  <sheetViews>
    <sheetView zoomScale="250" zoomScaleNormal="25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2.5" x14ac:dyDescent="0.25"/>
  <cols>
    <col min="1" max="1" width="4.7265625" style="1" bestFit="1" customWidth="1"/>
    <col min="2" max="2" width="17.1796875" style="1" bestFit="1" customWidth="1"/>
    <col min="3" max="16384" width="8.7265625" style="1"/>
  </cols>
  <sheetData>
    <row r="1" spans="1:16" x14ac:dyDescent="0.25">
      <c r="A1" s="1" t="s">
        <v>6</v>
      </c>
    </row>
    <row r="2" spans="1:16" x14ac:dyDescent="0.25">
      <c r="C2" s="1">
        <v>2010</v>
      </c>
      <c r="D2" s="1">
        <v>2011</v>
      </c>
      <c r="E2" s="1">
        <f>+D2+1</f>
        <v>2012</v>
      </c>
      <c r="F2" s="1">
        <f>+E2+1</f>
        <v>2013</v>
      </c>
      <c r="G2" s="1">
        <f>+F2+1</f>
        <v>2014</v>
      </c>
      <c r="H2" s="1">
        <f>+G2+1</f>
        <v>2015</v>
      </c>
      <c r="I2" s="1">
        <v>2016</v>
      </c>
      <c r="J2" s="1">
        <v>2017</v>
      </c>
      <c r="K2" s="1">
        <v>2018</v>
      </c>
      <c r="L2" s="1">
        <v>2019</v>
      </c>
      <c r="M2" s="1">
        <v>2021</v>
      </c>
      <c r="N2" s="1">
        <v>2022</v>
      </c>
      <c r="O2" s="1">
        <v>2023</v>
      </c>
      <c r="P2" s="1">
        <v>2024</v>
      </c>
    </row>
    <row r="3" spans="1:16" s="4" customFormat="1" ht="13" x14ac:dyDescent="0.3">
      <c r="B3" s="4" t="s">
        <v>7</v>
      </c>
      <c r="C3" s="4">
        <v>6526.1</v>
      </c>
      <c r="D3" s="4">
        <v>7213</v>
      </c>
      <c r="E3" s="4">
        <v>6507.2</v>
      </c>
      <c r="F3" s="4">
        <v>5796.1</v>
      </c>
      <c r="G3" s="4">
        <v>5631.3</v>
      </c>
      <c r="H3" s="4">
        <v>5639.2</v>
      </c>
      <c r="I3" s="4">
        <v>6046.6</v>
      </c>
      <c r="J3" s="4">
        <v>6142.7</v>
      </c>
      <c r="K3" s="4">
        <v>6633.2</v>
      </c>
      <c r="L3" s="4">
        <v>5888.3</v>
      </c>
      <c r="M3" s="4">
        <v>5634.7</v>
      </c>
      <c r="N3" s="4">
        <v>7250</v>
      </c>
      <c r="O3" s="4">
        <v>7961</v>
      </c>
      <c r="P3" s="4">
        <v>9646</v>
      </c>
    </row>
    <row r="4" spans="1:16" s="2" customFormat="1" x14ac:dyDescent="0.25">
      <c r="B4" s="2" t="s">
        <v>9</v>
      </c>
      <c r="C4" s="2">
        <v>6068.8</v>
      </c>
      <c r="D4" s="2">
        <v>6721.6</v>
      </c>
      <c r="E4" s="2">
        <v>6068.8</v>
      </c>
      <c r="F4" s="2">
        <v>5406.6</v>
      </c>
      <c r="G4" s="2">
        <v>5225.8999999999996</v>
      </c>
      <c r="H4" s="2">
        <v>5248.1</v>
      </c>
      <c r="I4" s="2">
        <v>5617</v>
      </c>
      <c r="J4" s="2">
        <v>5724.2</v>
      </c>
      <c r="K4" s="2">
        <v>6202.7</v>
      </c>
      <c r="L4" s="2">
        <v>5503.6</v>
      </c>
      <c r="M4" s="2">
        <v>5147.7</v>
      </c>
      <c r="N4" s="2">
        <v>6600.3</v>
      </c>
      <c r="O4" s="2">
        <v>7206.9</v>
      </c>
      <c r="P4" s="2">
        <v>8612.2999999999993</v>
      </c>
    </row>
    <row r="5" spans="1:16" s="2" customFormat="1" x14ac:dyDescent="0.25">
      <c r="B5" s="2" t="s">
        <v>8</v>
      </c>
      <c r="C5" s="2">
        <f t="shared" ref="C5:D5" si="0">+C3-C4</f>
        <v>457.30000000000018</v>
      </c>
      <c r="D5" s="2">
        <f t="shared" si="0"/>
        <v>491.39999999999964</v>
      </c>
      <c r="E5" s="2">
        <f t="shared" ref="E5" si="1">+E3-E4</f>
        <v>438.39999999999964</v>
      </c>
      <c r="F5" s="2">
        <f t="shared" ref="F5" si="2">+F3-F4</f>
        <v>389.5</v>
      </c>
      <c r="G5" s="2">
        <f t="shared" ref="G5" si="3">+G3-G4</f>
        <v>405.40000000000055</v>
      </c>
      <c r="H5" s="2">
        <f t="shared" ref="H5" si="4">+H3-H4</f>
        <v>391.09999999999945</v>
      </c>
      <c r="I5" s="2">
        <f t="shared" ref="I5:J5" si="5">+I3-I4</f>
        <v>429.60000000000036</v>
      </c>
      <c r="J5" s="2">
        <f t="shared" si="5"/>
        <v>418.5</v>
      </c>
      <c r="K5" s="2">
        <f t="shared" ref="K5" si="6">+K3-K4</f>
        <v>430.5</v>
      </c>
      <c r="L5" s="2">
        <f t="shared" ref="L5" si="7">+L3-L4</f>
        <v>384.69999999999982</v>
      </c>
      <c r="M5" s="2">
        <f t="shared" ref="M5:O5" si="8">+M3-M4</f>
        <v>487</v>
      </c>
      <c r="N5" s="2">
        <f t="shared" si="8"/>
        <v>649.69999999999982</v>
      </c>
      <c r="O5" s="2">
        <f t="shared" si="8"/>
        <v>754.10000000000036</v>
      </c>
      <c r="P5" s="2">
        <f>+P3-P4</f>
        <v>1033.7000000000007</v>
      </c>
    </row>
    <row r="6" spans="1:16" s="2" customFormat="1" x14ac:dyDescent="0.25">
      <c r="B6" s="2" t="s">
        <v>10</v>
      </c>
      <c r="C6" s="2">
        <v>252.1</v>
      </c>
      <c r="D6" s="2">
        <v>267.2</v>
      </c>
      <c r="E6" s="2">
        <v>252.2</v>
      </c>
      <c r="F6" s="2">
        <v>222.3</v>
      </c>
      <c r="G6" s="2">
        <v>210.3</v>
      </c>
      <c r="H6" s="2">
        <v>207.5</v>
      </c>
      <c r="I6" s="2">
        <v>219</v>
      </c>
      <c r="J6" s="2">
        <v>203.2</v>
      </c>
      <c r="K6" s="2">
        <v>211.1</v>
      </c>
      <c r="L6" s="2">
        <v>227.3</v>
      </c>
      <c r="M6" s="2">
        <v>245.1</v>
      </c>
      <c r="N6" s="2">
        <v>267.3</v>
      </c>
      <c r="O6" s="2">
        <v>303.2</v>
      </c>
      <c r="P6" s="2">
        <v>293.5</v>
      </c>
    </row>
    <row r="7" spans="1:16" s="2" customFormat="1" x14ac:dyDescent="0.25">
      <c r="B7" s="2" t="s">
        <v>12</v>
      </c>
      <c r="F7" s="2">
        <v>17.399999999999999</v>
      </c>
      <c r="G7" s="2">
        <v>19.7</v>
      </c>
      <c r="H7" s="2">
        <v>23.2</v>
      </c>
      <c r="I7" s="2">
        <v>28.8</v>
      </c>
      <c r="J7" s="2">
        <v>26.2</v>
      </c>
      <c r="K7" s="2">
        <v>24.9</v>
      </c>
      <c r="L7" s="2">
        <v>28.4</v>
      </c>
      <c r="M7" s="2">
        <v>38.4</v>
      </c>
      <c r="N7" s="2">
        <v>46.3</v>
      </c>
      <c r="O7" s="2">
        <v>60.9</v>
      </c>
      <c r="P7" s="2">
        <v>78</v>
      </c>
    </row>
    <row r="8" spans="1:16" s="2" customFormat="1" x14ac:dyDescent="0.25">
      <c r="B8" s="2" t="s">
        <v>13</v>
      </c>
      <c r="C8" s="2">
        <f>+C6+C7</f>
        <v>252.1</v>
      </c>
      <c r="D8" s="2">
        <f>+D6+D7</f>
        <v>267.2</v>
      </c>
      <c r="E8" s="2">
        <f>+E6+E7</f>
        <v>252.2</v>
      </c>
      <c r="F8" s="2">
        <f>+F6+F7</f>
        <v>239.70000000000002</v>
      </c>
      <c r="G8" s="2">
        <f>+G6+G7</f>
        <v>230</v>
      </c>
      <c r="H8" s="2">
        <f>+H6+H7</f>
        <v>230.7</v>
      </c>
      <c r="I8" s="2">
        <f>+I6+I7</f>
        <v>247.8</v>
      </c>
      <c r="J8" s="2">
        <f>+J6+J7</f>
        <v>229.39999999999998</v>
      </c>
      <c r="K8" s="2">
        <f>+K6+K7</f>
        <v>236</v>
      </c>
      <c r="L8" s="2">
        <f>+L6+L7</f>
        <v>255.70000000000002</v>
      </c>
      <c r="M8" s="2">
        <f>+M6+M7</f>
        <v>283.5</v>
      </c>
      <c r="N8" s="2">
        <f>+N6+N7</f>
        <v>313.60000000000002</v>
      </c>
      <c r="O8" s="2">
        <f>+O6+O7</f>
        <v>364.09999999999997</v>
      </c>
      <c r="P8" s="2">
        <f>+P6+P7</f>
        <v>371.5</v>
      </c>
    </row>
    <row r="9" spans="1:16" s="2" customFormat="1" x14ac:dyDescent="0.25">
      <c r="B9" s="2" t="s">
        <v>11</v>
      </c>
      <c r="C9" s="2">
        <f>+C5-C8</f>
        <v>205.20000000000019</v>
      </c>
      <c r="D9" s="2">
        <f>+D5-D8</f>
        <v>224.19999999999965</v>
      </c>
      <c r="E9" s="2">
        <f>+E5-E8</f>
        <v>186.19999999999965</v>
      </c>
      <c r="F9" s="2">
        <f>+F5-F8</f>
        <v>149.79999999999998</v>
      </c>
      <c r="G9" s="2">
        <f>+G5-G8</f>
        <v>175.40000000000055</v>
      </c>
      <c r="H9" s="2">
        <f>+H5-H8</f>
        <v>160.39999999999947</v>
      </c>
      <c r="I9" s="2">
        <f>+I5-I8</f>
        <v>181.80000000000035</v>
      </c>
      <c r="J9" s="2">
        <f>+J5-J8</f>
        <v>189.10000000000002</v>
      </c>
      <c r="K9" s="2">
        <f>+K5-K8</f>
        <v>194.5</v>
      </c>
      <c r="L9" s="2">
        <f>+L5-L8</f>
        <v>128.9999999999998</v>
      </c>
      <c r="M9" s="2">
        <f>+M5-M8</f>
        <v>203.5</v>
      </c>
      <c r="N9" s="2">
        <f>+N5-N8</f>
        <v>336.0999999999998</v>
      </c>
      <c r="O9" s="2">
        <f>+O5-O8</f>
        <v>390.0000000000004</v>
      </c>
      <c r="P9" s="2">
        <f>+P5-P8</f>
        <v>662.20000000000073</v>
      </c>
    </row>
    <row r="10" spans="1:16" s="2" customFormat="1" x14ac:dyDescent="0.25">
      <c r="B10" s="2" t="s">
        <v>15</v>
      </c>
      <c r="C10" s="2">
        <v>-6.9</v>
      </c>
      <c r="D10" s="2">
        <v>-5.4</v>
      </c>
      <c r="E10" s="2">
        <v>-3.5</v>
      </c>
      <c r="F10" s="2">
        <v>-6.3</v>
      </c>
      <c r="G10" s="2">
        <v>-3.1</v>
      </c>
      <c r="H10" s="2">
        <v>-2.9</v>
      </c>
      <c r="I10" s="2">
        <v>-24.4</v>
      </c>
      <c r="J10" s="2">
        <v>-10.1</v>
      </c>
      <c r="K10" s="2">
        <v>-10</v>
      </c>
      <c r="L10" s="2">
        <v>-49.5</v>
      </c>
      <c r="M10" s="2">
        <v>-31.7</v>
      </c>
      <c r="N10" s="2">
        <v>-51.7</v>
      </c>
      <c r="O10" s="2">
        <v>-78.900000000000006</v>
      </c>
      <c r="P10" s="2">
        <v>-52.1</v>
      </c>
    </row>
    <row r="11" spans="1:16" s="2" customFormat="1" x14ac:dyDescent="0.25">
      <c r="B11" s="2" t="s">
        <v>16</v>
      </c>
      <c r="C11" s="2">
        <f>+C9+C10</f>
        <v>198.30000000000018</v>
      </c>
      <c r="D11" s="2">
        <f>+D9+D10</f>
        <v>218.79999999999964</v>
      </c>
      <c r="E11" s="2">
        <f>+E9+E10</f>
        <v>182.69999999999965</v>
      </c>
      <c r="F11" s="2">
        <f>+F9+F10</f>
        <v>143.49999999999997</v>
      </c>
      <c r="G11" s="2">
        <f>+G9+G10</f>
        <v>172.30000000000055</v>
      </c>
      <c r="H11" s="2">
        <f>+H9+H10</f>
        <v>157.49999999999946</v>
      </c>
      <c r="I11" s="2">
        <f>+I9+I10</f>
        <v>157.40000000000035</v>
      </c>
      <c r="J11" s="2">
        <f>+J9+J10</f>
        <v>179.00000000000003</v>
      </c>
      <c r="K11" s="2">
        <f>+K9+K10</f>
        <v>184.5</v>
      </c>
      <c r="L11" s="2">
        <f>+L9+L10</f>
        <v>79.499999999999801</v>
      </c>
      <c r="M11" s="2">
        <f>+M9+M10</f>
        <v>171.8</v>
      </c>
      <c r="N11" s="2">
        <f>+N9+N10</f>
        <v>284.39999999999981</v>
      </c>
      <c r="O11" s="2">
        <f>+O9+O10</f>
        <v>311.10000000000036</v>
      </c>
      <c r="P11" s="2">
        <f>+P9+P10</f>
        <v>610.1000000000007</v>
      </c>
    </row>
    <row r="12" spans="1:16" s="2" customFormat="1" x14ac:dyDescent="0.25">
      <c r="B12" s="2" t="s">
        <v>17</v>
      </c>
      <c r="C12" s="2">
        <v>18.2</v>
      </c>
      <c r="D12" s="2">
        <v>3.7</v>
      </c>
      <c r="E12" s="2">
        <v>0</v>
      </c>
      <c r="F12" s="2">
        <v>12.7</v>
      </c>
      <c r="G12" s="2">
        <v>16.399999999999999</v>
      </c>
      <c r="H12" s="2">
        <v>42.2</v>
      </c>
      <c r="I12" s="2">
        <v>0</v>
      </c>
      <c r="J12" s="2">
        <v>27.6</v>
      </c>
      <c r="K12" s="2">
        <v>24.7</v>
      </c>
      <c r="L12" s="2">
        <v>29.5</v>
      </c>
      <c r="M12" s="2">
        <v>32.1</v>
      </c>
      <c r="N12" s="2">
        <v>59</v>
      </c>
      <c r="O12" s="2">
        <v>61.6</v>
      </c>
      <c r="P12" s="2">
        <v>104.2</v>
      </c>
    </row>
    <row r="13" spans="1:16" x14ac:dyDescent="0.25">
      <c r="B13" s="1" t="s">
        <v>18</v>
      </c>
      <c r="C13" s="2">
        <f t="shared" ref="C13:D13" si="9">+C11-C12</f>
        <v>180.10000000000019</v>
      </c>
      <c r="D13" s="2">
        <f t="shared" si="9"/>
        <v>215.09999999999965</v>
      </c>
      <c r="E13" s="2">
        <f t="shared" ref="E13" si="10">+E11-E12</f>
        <v>182.69999999999965</v>
      </c>
      <c r="F13" s="2">
        <f t="shared" ref="F13" si="11">+F11-F12</f>
        <v>130.79999999999998</v>
      </c>
      <c r="G13" s="2">
        <f t="shared" ref="G13" si="12">+G11-G12</f>
        <v>155.90000000000055</v>
      </c>
      <c r="H13" s="2">
        <f t="shared" ref="H13" si="13">+H11-H12</f>
        <v>115.29999999999946</v>
      </c>
      <c r="I13" s="2">
        <f t="shared" ref="I13:J13" si="14">+I11-I12</f>
        <v>157.40000000000035</v>
      </c>
      <c r="J13" s="2">
        <f t="shared" si="14"/>
        <v>151.40000000000003</v>
      </c>
      <c r="K13" s="2">
        <f t="shared" ref="K13" si="15">+K11-K12</f>
        <v>159.80000000000001</v>
      </c>
      <c r="L13" s="2">
        <f t="shared" ref="L13" si="16">+L11-L12</f>
        <v>49.999999999999801</v>
      </c>
      <c r="M13" s="2">
        <f t="shared" ref="M13:O13" si="17">+M11-M12</f>
        <v>139.70000000000002</v>
      </c>
      <c r="N13" s="2">
        <f t="shared" si="17"/>
        <v>225.39999999999981</v>
      </c>
      <c r="O13" s="2">
        <f t="shared" si="17"/>
        <v>249.50000000000037</v>
      </c>
      <c r="P13" s="2">
        <f>+P11-P12</f>
        <v>505.90000000000072</v>
      </c>
    </row>
    <row r="14" spans="1:16" x14ac:dyDescent="0.25">
      <c r="B14" s="1" t="s">
        <v>19</v>
      </c>
      <c r="C14" s="3">
        <f t="shared" ref="C14:D14" si="18">+C13/C15</f>
        <v>0.78270317253368182</v>
      </c>
      <c r="D14" s="3">
        <f t="shared" si="18"/>
        <v>0.98534127347686506</v>
      </c>
      <c r="E14" s="3">
        <f t="shared" ref="E14" si="19">+E13/E15</f>
        <v>0.86793349168645917</v>
      </c>
      <c r="F14" s="3">
        <f t="shared" ref="F14" si="20">+F13/F15</f>
        <v>0.70550161812297718</v>
      </c>
      <c r="G14" s="3">
        <f t="shared" ref="G14" si="21">+G13/G15</f>
        <v>0.86419068736142202</v>
      </c>
      <c r="H14" s="3">
        <f t="shared" ref="H14" si="22">+H13/H15</f>
        <v>0.73020899303356213</v>
      </c>
      <c r="I14" s="3">
        <f t="shared" ref="I14:J14" si="23">+I13/I15</f>
        <v>1.0938151494093145</v>
      </c>
      <c r="J14" s="3">
        <f t="shared" si="23"/>
        <v>1.0426997245179066</v>
      </c>
      <c r="K14" s="3">
        <f t="shared" ref="K14" si="24">+K13/K15</f>
        <v>1.1365576102418209</v>
      </c>
      <c r="L14" s="3">
        <f t="shared" ref="L14" si="25">+L13/L15</f>
        <v>0.37936267071320029</v>
      </c>
      <c r="M14" s="3">
        <f t="shared" ref="M14:O14" si="26">+M13/M15</f>
        <v>1.1026045777426994</v>
      </c>
      <c r="N14" s="3">
        <f t="shared" si="26"/>
        <v>1.8236245954692543</v>
      </c>
      <c r="O14" s="3">
        <f t="shared" si="26"/>
        <v>2.0739817123857054</v>
      </c>
      <c r="P14" s="3">
        <f>+P13/P15</f>
        <v>4.2620050547599044</v>
      </c>
    </row>
    <row r="15" spans="1:16" x14ac:dyDescent="0.25">
      <c r="B15" s="1" t="s">
        <v>1</v>
      </c>
      <c r="C15" s="2">
        <v>230.1</v>
      </c>
      <c r="D15" s="2">
        <v>218.3</v>
      </c>
      <c r="E15" s="2">
        <v>210.5</v>
      </c>
      <c r="F15" s="2">
        <v>185.4</v>
      </c>
      <c r="G15" s="2">
        <v>180.4</v>
      </c>
      <c r="H15" s="2">
        <v>157.9</v>
      </c>
      <c r="I15" s="2">
        <v>143.9</v>
      </c>
      <c r="J15" s="2">
        <v>145.19999999999999</v>
      </c>
      <c r="K15" s="2">
        <v>140.6</v>
      </c>
      <c r="L15" s="2">
        <v>131.80000000000001</v>
      </c>
      <c r="M15" s="2">
        <v>126.7</v>
      </c>
      <c r="N15" s="2">
        <v>123.6</v>
      </c>
      <c r="O15" s="2">
        <v>120.3</v>
      </c>
      <c r="P15" s="2">
        <v>118.7</v>
      </c>
    </row>
    <row r="17" spans="2:16" s="6" customFormat="1" ht="13" x14ac:dyDescent="0.3">
      <c r="B17" s="6" t="s">
        <v>14</v>
      </c>
      <c r="D17" s="7">
        <f>+D3/C3-1</f>
        <v>0.10525428663367098</v>
      </c>
      <c r="E17" s="7">
        <f>+E3/D3-1</f>
        <v>-9.7851102176625515E-2</v>
      </c>
      <c r="F17" s="7">
        <f>+F3/E3-1</f>
        <v>-0.1092789525448733</v>
      </c>
      <c r="G17" s="7">
        <f>+G3/F3-1</f>
        <v>-2.8432911785510995E-2</v>
      </c>
      <c r="H17" s="7">
        <f>+H3/G3-1</f>
        <v>1.4028732264308452E-3</v>
      </c>
      <c r="I17" s="7">
        <f>+I3/H3-1</f>
        <v>7.2244289970208708E-2</v>
      </c>
      <c r="J17" s="7">
        <f>+J3/I3-1</f>
        <v>1.589322925280312E-2</v>
      </c>
      <c r="K17" s="7">
        <f t="shared" ref="D17:P17" si="27">+K3/J3-1</f>
        <v>7.9850879906230077E-2</v>
      </c>
      <c r="L17" s="7">
        <f t="shared" si="27"/>
        <v>-0.11229873967315918</v>
      </c>
      <c r="M17" s="7">
        <f t="shared" si="27"/>
        <v>-4.306845778917523E-2</v>
      </c>
      <c r="N17" s="7">
        <f t="shared" si="27"/>
        <v>0.28667009778692742</v>
      </c>
      <c r="O17" s="7">
        <f t="shared" si="27"/>
        <v>9.8068965517241313E-2</v>
      </c>
      <c r="P17" s="7">
        <f>+P3/O3-1</f>
        <v>0.21165682703178001</v>
      </c>
    </row>
    <row r="20" spans="2:16" s="2" customFormat="1" x14ac:dyDescent="0.25">
      <c r="B20" s="2" t="s">
        <v>20</v>
      </c>
      <c r="C20" s="2">
        <v>165.9</v>
      </c>
      <c r="D20" s="2">
        <v>196.3</v>
      </c>
      <c r="E20" s="2">
        <v>312.39999999999998</v>
      </c>
      <c r="F20" s="2">
        <v>149.4</v>
      </c>
      <c r="G20" s="2">
        <v>241.5</v>
      </c>
      <c r="H20" s="2">
        <v>196.3</v>
      </c>
      <c r="I20" s="2">
        <v>173.3</v>
      </c>
      <c r="J20" s="2">
        <v>127</v>
      </c>
      <c r="K20" s="2">
        <v>33.1</v>
      </c>
      <c r="L20" s="2">
        <v>345</v>
      </c>
      <c r="M20" s="2">
        <v>226.8</v>
      </c>
      <c r="N20" s="2">
        <v>211.1</v>
      </c>
      <c r="O20" s="2">
        <v>326.2</v>
      </c>
      <c r="P20" s="2">
        <v>473.9</v>
      </c>
    </row>
    <row r="21" spans="2:16" s="2" customFormat="1" x14ac:dyDescent="0.25">
      <c r="B21" s="2" t="s">
        <v>21</v>
      </c>
      <c r="C21" s="2">
        <v>60.8</v>
      </c>
      <c r="D21" s="2">
        <v>62.3</v>
      </c>
      <c r="E21" s="2">
        <v>105.9</v>
      </c>
      <c r="F21" s="2">
        <v>52.8</v>
      </c>
      <c r="G21" s="2">
        <v>61.3</v>
      </c>
      <c r="H21" s="2">
        <v>62.8</v>
      </c>
      <c r="I21" s="2">
        <v>64.099999999999994</v>
      </c>
      <c r="J21" s="2">
        <v>102.6</v>
      </c>
      <c r="K21" s="2">
        <v>82.2</v>
      </c>
      <c r="L21" s="2">
        <v>80.5</v>
      </c>
      <c r="M21" s="2">
        <v>52.2</v>
      </c>
      <c r="N21" s="2">
        <v>109</v>
      </c>
      <c r="O21" s="2">
        <v>125.1</v>
      </c>
      <c r="P21" s="2">
        <v>170.9</v>
      </c>
    </row>
    <row r="22" spans="2:16" s="2" customFormat="1" ht="13" x14ac:dyDescent="0.3">
      <c r="B22" s="4" t="s">
        <v>22</v>
      </c>
      <c r="C22" s="4">
        <f t="shared" ref="C22:D22" si="28">+C20-C21</f>
        <v>105.10000000000001</v>
      </c>
      <c r="D22" s="4">
        <f t="shared" si="28"/>
        <v>134</v>
      </c>
      <c r="E22" s="4">
        <f t="shared" ref="E22" si="29">+E20-E21</f>
        <v>206.49999999999997</v>
      </c>
      <c r="F22" s="4">
        <f t="shared" ref="F22" si="30">+F20-F21</f>
        <v>96.600000000000009</v>
      </c>
      <c r="G22" s="4">
        <f t="shared" ref="G22" si="31">+G20-G21</f>
        <v>180.2</v>
      </c>
      <c r="H22" s="4">
        <f t="shared" ref="H22" si="32">+H20-H21</f>
        <v>133.5</v>
      </c>
      <c r="I22" s="4">
        <f t="shared" ref="I22:J22" si="33">+I20-I21</f>
        <v>109.20000000000002</v>
      </c>
      <c r="J22" s="4">
        <f t="shared" si="33"/>
        <v>24.400000000000006</v>
      </c>
      <c r="K22" s="4">
        <f t="shared" ref="K22" si="34">+K20-K21</f>
        <v>-49.1</v>
      </c>
      <c r="L22" s="4">
        <f t="shared" ref="L22" si="35">+L20-L21</f>
        <v>264.5</v>
      </c>
      <c r="M22" s="4">
        <f t="shared" ref="M22:O22" si="36">+M20-M21</f>
        <v>174.60000000000002</v>
      </c>
      <c r="N22" s="4">
        <f t="shared" si="36"/>
        <v>102.1</v>
      </c>
      <c r="O22" s="4">
        <f t="shared" si="36"/>
        <v>201.1</v>
      </c>
      <c r="P22" s="4">
        <f>+P20-P21</f>
        <v>303</v>
      </c>
    </row>
    <row r="25" spans="2:16" x14ac:dyDescent="0.25">
      <c r="B25" s="1" t="s">
        <v>24</v>
      </c>
      <c r="E25" s="5"/>
      <c r="F25" s="5"/>
      <c r="G25" s="5"/>
      <c r="J25" s="5">
        <v>0.18</v>
      </c>
      <c r="K25" s="5">
        <v>0.14000000000000001</v>
      </c>
      <c r="L25" s="5">
        <v>0.12</v>
      </c>
    </row>
    <row r="26" spans="2:16" x14ac:dyDescent="0.25">
      <c r="B26" s="1" t="s">
        <v>25</v>
      </c>
      <c r="F26" s="5"/>
      <c r="K26" s="5">
        <v>0.1</v>
      </c>
    </row>
    <row r="27" spans="2:16" x14ac:dyDescent="0.25">
      <c r="B27" s="1" t="s">
        <v>26</v>
      </c>
      <c r="E27" s="5"/>
      <c r="J27" s="5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2025-09-15T16:39:58Z</dcterms:created>
  <dcterms:modified xsi:type="dcterms:W3CDTF">2025-09-15T17:29:01Z</dcterms:modified>
</cp:coreProperties>
</file>