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\code\models\"/>
    </mc:Choice>
  </mc:AlternateContent>
  <xr:revisionPtr revIDLastSave="0" documentId="13_ncr:1_{C2F6A833-8AFC-4F38-BC2E-5B23AD6BBEC0}" xr6:coauthVersionLast="47" xr6:coauthVersionMax="47" xr10:uidLastSave="{00000000-0000-0000-0000-000000000000}"/>
  <bookViews>
    <workbookView xWindow="37060" yWindow="1810" windowWidth="25640" windowHeight="18380" xr2:uid="{416F5659-EE77-4748-8BEA-EA621B6576F5}"/>
  </bookViews>
  <sheets>
    <sheet name="Main" sheetId="1" r:id="rId1"/>
    <sheet name="Model" sheetId="3" r:id="rId2"/>
    <sheet name="Evrysd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" i="3" l="1"/>
  <c r="AJ7" i="3"/>
  <c r="AI7" i="3"/>
  <c r="AH7" i="3"/>
  <c r="AG7" i="3"/>
  <c r="AG9" i="3" s="1"/>
  <c r="AI6" i="3"/>
  <c r="AJ6" i="3" s="1"/>
  <c r="AH6" i="3"/>
  <c r="AI9" i="3"/>
  <c r="AH9" i="3"/>
  <c r="AG4" i="3"/>
  <c r="AH4" i="3" s="1"/>
  <c r="AI4" i="3" s="1"/>
  <c r="AJ4" i="3" s="1"/>
  <c r="AK4" i="3" s="1"/>
  <c r="AH3" i="3"/>
  <c r="AI3" i="3" s="1"/>
  <c r="AJ3" i="3" s="1"/>
  <c r="AK3" i="3" s="1"/>
  <c r="AG3" i="3"/>
  <c r="AG6" i="3"/>
  <c r="AK5" i="3"/>
  <c r="AF5" i="3"/>
  <c r="AE5" i="3"/>
  <c r="AK6" i="3" l="1"/>
  <c r="AK9" i="3" s="1"/>
  <c r="AJ9" i="3"/>
  <c r="AA14" i="3"/>
  <c r="Z14" i="3"/>
  <c r="Z6" i="3"/>
  <c r="Z9" i="3" s="1"/>
  <c r="Z11" i="3" s="1"/>
  <c r="AA6" i="3"/>
  <c r="AA9" i="3"/>
  <c r="AA11" i="3" s="1"/>
  <c r="AD14" i="3"/>
  <c r="AC14" i="3"/>
  <c r="AB14" i="3"/>
  <c r="AB6" i="3"/>
  <c r="AB9" i="3" s="1"/>
  <c r="AB11" i="3" s="1"/>
  <c r="AC6" i="3"/>
  <c r="AC9" i="3" s="1"/>
  <c r="AC11" i="3" s="1"/>
  <c r="AD6" i="3"/>
  <c r="AD9" i="3" s="1"/>
  <c r="AD11" i="3" s="1"/>
  <c r="J7" i="3"/>
  <c r="I7" i="3"/>
  <c r="AF7" i="3" s="1"/>
  <c r="J6" i="3"/>
  <c r="I6" i="3"/>
  <c r="AF6" i="3" s="1"/>
  <c r="J4" i="3"/>
  <c r="J3" i="3"/>
  <c r="J9" i="3" s="1"/>
  <c r="I3" i="3"/>
  <c r="AF3" i="3" s="1"/>
  <c r="I4" i="3"/>
  <c r="AF4" i="3" s="1"/>
  <c r="AF21" i="3"/>
  <c r="AE21" i="3"/>
  <c r="AF18" i="3"/>
  <c r="AE18" i="3"/>
  <c r="AF16" i="3"/>
  <c r="AE16" i="3"/>
  <c r="AF13" i="3"/>
  <c r="AF14" i="3" s="1"/>
  <c r="AE13" i="3"/>
  <c r="AE14" i="3" s="1"/>
  <c r="AF12" i="3"/>
  <c r="AE12" i="3"/>
  <c r="AF10" i="3"/>
  <c r="AE10" i="3"/>
  <c r="AF8" i="3"/>
  <c r="AE8" i="3"/>
  <c r="AE7" i="3"/>
  <c r="AE6" i="3"/>
  <c r="AE4" i="3"/>
  <c r="AE3" i="3"/>
  <c r="AE9" i="3" s="1"/>
  <c r="AE11" i="3" s="1"/>
  <c r="C14" i="3"/>
  <c r="C6" i="3"/>
  <c r="C9" i="3" s="1"/>
  <c r="C11" i="3" s="1"/>
  <c r="C15" i="3" s="1"/>
  <c r="C17" i="3" s="1"/>
  <c r="C19" i="3" s="1"/>
  <c r="C20" i="3" s="1"/>
  <c r="D14" i="3"/>
  <c r="D6" i="3"/>
  <c r="D9" i="3"/>
  <c r="D11" i="3" s="1"/>
  <c r="E14" i="3"/>
  <c r="E9" i="3"/>
  <c r="E11" i="3" s="1"/>
  <c r="E6" i="3"/>
  <c r="F14" i="3"/>
  <c r="F6" i="3"/>
  <c r="F9" i="3" s="1"/>
  <c r="F11" i="3" s="1"/>
  <c r="G14" i="3"/>
  <c r="G6" i="3"/>
  <c r="G9" i="3"/>
  <c r="G11" i="3" s="1"/>
  <c r="H14" i="3"/>
  <c r="H6" i="3"/>
  <c r="H9" i="3" s="1"/>
  <c r="H11" i="3" s="1"/>
  <c r="H15" i="3" s="1"/>
  <c r="H17" i="3" s="1"/>
  <c r="H19" i="3" s="1"/>
  <c r="H20" i="3" s="1"/>
  <c r="L7" i="1"/>
  <c r="L4" i="1"/>
  <c r="R2" i="3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AE15" i="3" l="1"/>
  <c r="AE17" i="3" s="1"/>
  <c r="AE19" i="3" s="1"/>
  <c r="AE20" i="3" s="1"/>
  <c r="AD15" i="3"/>
  <c r="AD17" i="3" s="1"/>
  <c r="AD19" i="3" s="1"/>
  <c r="AD20" i="3" s="1"/>
  <c r="I9" i="3"/>
  <c r="E15" i="3"/>
  <c r="E17" i="3" s="1"/>
  <c r="E19" i="3" s="1"/>
  <c r="E20" i="3" s="1"/>
  <c r="D15" i="3"/>
  <c r="D17" i="3" s="1"/>
  <c r="D19" i="3" s="1"/>
  <c r="D20" i="3" s="1"/>
  <c r="Z15" i="3"/>
  <c r="Z17" i="3" s="1"/>
  <c r="Z19" i="3" s="1"/>
  <c r="Z20" i="3" s="1"/>
  <c r="AA15" i="3"/>
  <c r="AA17" i="3" s="1"/>
  <c r="AA19" i="3" s="1"/>
  <c r="AA20" i="3" s="1"/>
  <c r="AB15" i="3"/>
  <c r="AB17" i="3" s="1"/>
  <c r="AB19" i="3" s="1"/>
  <c r="AB20" i="3" s="1"/>
  <c r="AC15" i="3"/>
  <c r="AC17" i="3" s="1"/>
  <c r="AC19" i="3" s="1"/>
  <c r="AC20" i="3" s="1"/>
  <c r="AF9" i="3"/>
  <c r="AF11" i="3" s="1"/>
  <c r="AF15" i="3" s="1"/>
  <c r="AF17" i="3" s="1"/>
  <c r="AF19" i="3" s="1"/>
  <c r="AF20" i="3" s="1"/>
  <c r="F15" i="3"/>
  <c r="F17" i="3" s="1"/>
  <c r="F19" i="3" s="1"/>
  <c r="F20" i="3" s="1"/>
  <c r="G15" i="3"/>
  <c r="G17" i="3" s="1"/>
  <c r="G19" i="3" s="1"/>
  <c r="G20" i="3" s="1"/>
</calcChain>
</file>

<file path=xl/sharedStrings.xml><?xml version="1.0" encoding="utf-8"?>
<sst xmlns="http://schemas.openxmlformats.org/spreadsheetml/2006/main" count="59" uniqueCount="55">
  <si>
    <t>Price</t>
  </si>
  <si>
    <t>Shares</t>
  </si>
  <si>
    <t>MC</t>
  </si>
  <si>
    <t>Cash</t>
  </si>
  <si>
    <t>Debt</t>
  </si>
  <si>
    <t>EV</t>
  </si>
  <si>
    <t>Evrysdi (risdiplam)</t>
  </si>
  <si>
    <t>Name</t>
  </si>
  <si>
    <t>Main</t>
  </si>
  <si>
    <t>Brand</t>
  </si>
  <si>
    <t>Generic</t>
  </si>
  <si>
    <t>Evrysdi</t>
  </si>
  <si>
    <t>risdiplam</t>
  </si>
  <si>
    <t>Indication</t>
  </si>
  <si>
    <t>Spinal Muscular Atrophy</t>
  </si>
  <si>
    <t>Revenue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</si>
  <si>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</si>
  <si>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</si>
  <si>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</si>
  <si>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</si>
  <si>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</si>
  <si>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</si>
  <si>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</si>
  <si>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</si>
  <si>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</si>
  <si>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</si>
  <si>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</si>
  <si>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</si>
  <si>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Sephience (sepiapterin)</t>
  </si>
  <si>
    <t>PKU</t>
  </si>
  <si>
    <t>SMA</t>
  </si>
  <si>
    <t>Translarna</t>
  </si>
  <si>
    <t>Emflaza</t>
  </si>
  <si>
    <t>Other Products</t>
  </si>
  <si>
    <t>Royalty</t>
  </si>
  <si>
    <t>Other Revenue</t>
  </si>
  <si>
    <t>EPS</t>
  </si>
  <si>
    <t>Net Income</t>
  </si>
  <si>
    <t>Taxes</t>
  </si>
  <si>
    <t>Pretax Income</t>
  </si>
  <si>
    <t>Interest</t>
  </si>
  <si>
    <t>Operating Income</t>
  </si>
  <si>
    <t>Operating Expenses</t>
  </si>
  <si>
    <t>G&amp;A</t>
  </si>
  <si>
    <t>R&amp;D</t>
  </si>
  <si>
    <t>Gross Profit</t>
  </si>
  <si>
    <t>COGS</t>
  </si>
  <si>
    <t>Sephience</t>
  </si>
  <si>
    <t>Ataluren</t>
  </si>
  <si>
    <t>vatiquinone</t>
  </si>
  <si>
    <t>FA</t>
  </si>
  <si>
    <t>PDUFA 8/19/25</t>
  </si>
  <si>
    <t>PTC518</t>
  </si>
  <si>
    <t>HD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</si>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</sst>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right"/>
    </xf>
    <xf numFmtId="0" fontId="3" fillId="0" borderId="0" xfId="1" applyFont="1"/>
    <xf numFmtId="0" fontId="3" fillId="0" borderId="1" xfId="1" applyFont="1" applyBorder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0" xfId="0" applyNumberFormat="1" applyFont="1"/>
    <xf numFmtId="4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30079</xdr:colOff>
      <xdr:row>0</xdr:row>
      <xdr:rowOff>36763</xdr:rowOff>
    </xdr:from>
    <xdr:to>
      <xdr:col>31</xdr:col>
      <xdr:colOff>30079</xdr:colOff>
      <xdr:row>33</xdr:row>
      <xdr:rowOff>100263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69141FA-B88F-462F-936C-8F43F570C0C9}"/>
            </a:ext>
          </a:extLst>
        </xdr:cNvPr>
        <xdr:cNvCxnSpPr/>
      </xdr:nvCxnSpPr>
      <xdr:spPr>
        <a:xfrm>
          <a:off x="19193711" y="36763"/>
          <a:ext cx="0" cy="530392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17517</xdr:colOff>
      <xdr:row>0</xdr:row>
      <xdr:rowOff>35034</xdr:rowOff>
    </xdr:from>
    <xdr:to>
      <xdr:col>8</xdr:col>
      <xdr:colOff>17517</xdr:colOff>
      <xdr:row>42</xdr:row>
      <xdr:rowOff>65690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375506C-5B1B-1FDF-4711-0F984436E506}"/>
            </a:ext>
          </a:extLst>
        </xdr:cNvPr>
        <xdr:cNvCxnSpPr/>
      </xdr:nvCxnSpPr>
      <xdr:spPr>
        <a:xfrm>
          <a:off x="5189483" y="35034"/>
          <a:ext cx="0" cy="702003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D2FB-4E44-40B9-8BE3-9D47526A2783}">
  <dimension ref="B2:L10"/>
  <sheetViews>
    <sheetView tabSelected="1" zoomScale="160" zoomScaleNormal="160" workbookViewId="0">
      <selection activeCell="E9" sqref="E9"/>
    </sheetView>
  </sheetViews>
  <sheetFormatPr defaultRowHeight="12.75" x14ac:dyDescent="0.2"/>
  <cols>
    <col min="1" max="1" width="5" style="1" customWidth="1"/>
    <col min="2" max="2" width="20.7109375" style="1" bestFit="1" customWidth="1"/>
    <col min="3" max="11" width="9.140625" style="1"/>
    <col min="12" max="12" width="9.28515625" style="1" customWidth="1"/>
    <col min="13" max="16384" width="9.140625" style="1"/>
  </cols>
  <sheetData>
    <row r="2" spans="2:12" x14ac:dyDescent="0.2">
      <c r="B2" s="9" t="s">
        <v>7</v>
      </c>
      <c r="C2" s="10" t="s">
        <v>13</v>
      </c>
      <c r="D2" s="10"/>
      <c r="E2" s="10"/>
      <c r="F2" s="10"/>
      <c r="G2" s="10"/>
      <c r="H2" s="10"/>
      <c r="I2" s="11"/>
      <c r="K2" s="1" t="s">
        <v>0</v>
      </c>
      <c r="L2" s="2">
        <v>48.92</v>
      </c>
    </row>
    <row r="3" spans="2:12" x14ac:dyDescent="0.2">
      <c r="B3" s="14" t="s">
        <v>6</v>
      </c>
      <c r="C3" s="4" t="s">
        <v>30</v>
      </c>
      <c r="D3" s="4"/>
      <c r="E3" s="4"/>
      <c r="F3" s="4"/>
      <c r="G3" s="4"/>
      <c r="H3" s="4"/>
      <c r="I3" s="5"/>
      <c r="K3" s="1" t="s">
        <v>1</v>
      </c>
      <c r="L3" s="15">
        <v>78.151240000000001</v>
      </c>
    </row>
    <row r="4" spans="2:12" x14ac:dyDescent="0.2">
      <c r="B4" s="3" t="s">
        <v>28</v>
      </c>
      <c r="C4" s="4" t="s">
        <v>29</v>
      </c>
      <c r="D4" s="4"/>
      <c r="E4" s="4"/>
      <c r="F4" s="4"/>
      <c r="G4" s="4"/>
      <c r="H4" s="4"/>
      <c r="I4" s="5"/>
      <c r="K4" s="1" t="s">
        <v>2</v>
      </c>
      <c r="L4" s="15">
        <f>+L2*L3</f>
        <v>3823.1586608000002</v>
      </c>
    </row>
    <row r="5" spans="2:12" x14ac:dyDescent="0.2">
      <c r="B5" s="3" t="s">
        <v>32</v>
      </c>
      <c r="C5" s="4"/>
      <c r="D5" s="4"/>
      <c r="E5" s="4"/>
      <c r="F5" s="4"/>
      <c r="G5" s="4"/>
      <c r="H5" s="4"/>
      <c r="I5" s="5"/>
      <c r="K5" s="1" t="s">
        <v>3</v>
      </c>
      <c r="L5" s="15"/>
    </row>
    <row r="6" spans="2:12" x14ac:dyDescent="0.2">
      <c r="B6" s="3" t="s">
        <v>48</v>
      </c>
      <c r="C6" s="4"/>
      <c r="D6" s="4"/>
      <c r="E6" s="4"/>
      <c r="F6" s="4"/>
      <c r="G6" s="4"/>
      <c r="H6" s="4"/>
      <c r="I6" s="5"/>
      <c r="K6" s="1" t="s">
        <v>4</v>
      </c>
      <c r="L6" s="15"/>
    </row>
    <row r="7" spans="2:12" x14ac:dyDescent="0.2">
      <c r="B7" s="3"/>
      <c r="C7" s="4"/>
      <c r="D7" s="4"/>
      <c r="E7" s="4"/>
      <c r="F7" s="4"/>
      <c r="G7" s="4"/>
      <c r="H7" s="4"/>
      <c r="I7" s="5"/>
      <c r="K7" s="1" t="s">
        <v>5</v>
      </c>
      <c r="L7" s="15">
        <f>+L4-L5+L6</f>
        <v>3823.1586608000002</v>
      </c>
    </row>
    <row r="8" spans="2:12" x14ac:dyDescent="0.2">
      <c r="B8" s="3" t="s">
        <v>49</v>
      </c>
      <c r="C8" s="4" t="s">
        <v>50</v>
      </c>
      <c r="D8" s="4" t="s">
        <v>51</v>
      </c>
      <c r="E8" s="4"/>
      <c r="F8" s="4"/>
      <c r="G8" s="4"/>
      <c r="H8" s="4"/>
      <c r="I8" s="5"/>
    </row>
    <row r="9" spans="2:12" x14ac:dyDescent="0.2">
      <c r="B9" s="3" t="s">
        <v>52</v>
      </c>
      <c r="C9" s="4" t="s">
        <v>53</v>
      </c>
      <c r="D9" s="4" t="s">
        <v>54</v>
      </c>
      <c r="E9" s="4"/>
      <c r="F9" s="4"/>
      <c r="G9" s="4"/>
      <c r="H9" s="4"/>
      <c r="I9" s="5"/>
    </row>
    <row r="10" spans="2:12" x14ac:dyDescent="0.2">
      <c r="B10" s="6"/>
      <c r="C10" s="7"/>
      <c r="D10" s="7"/>
      <c r="E10" s="7"/>
      <c r="F10" s="7"/>
      <c r="G10" s="7"/>
      <c r="H10" s="7"/>
      <c r="I10" s="8"/>
    </row>
  </sheetData>
  <hyperlinks>
    <hyperlink ref="B3" location="Evrysdi!A1" display="Evrysdi (risdiplam)" xr:uid="{A860F6FE-49E6-4B47-9F9B-39FAE6F9621B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D20B-C6EE-45D4-B2EE-6E3D3993FB9A}">
  <dimension ref="A1:BA21"/>
  <sheetViews>
    <sheetView zoomScale="145" zoomScaleNormal="145" workbookViewId="0">
      <pane xSplit="2" ySplit="2" topLeftCell="Z3" activePane="bottomRight" state="frozen"/>
      <selection pane="topRight" activeCell="C1" sqref="C1"/>
      <selection pane="bottomLeft" activeCell="A3" sqref="A3"/>
      <selection pane="bottomRight" activeCell="AK9" sqref="AK9"/>
    </sheetView>
  </sheetViews>
  <sheetFormatPr defaultRowHeight="12.75" x14ac:dyDescent="0.2"/>
  <cols>
    <col min="1" max="1" width="5" style="1" bestFit="1" customWidth="1"/>
    <col min="2" max="2" width="18.140625" style="1" bestFit="1" customWidth="1"/>
    <col min="3" max="5" width="9.140625" style="12"/>
    <col min="6" max="6" width="10" style="12" bestFit="1" customWidth="1"/>
    <col min="7" max="8" width="8.42578125" style="12" customWidth="1"/>
    <col min="9" max="14" width="9.140625" style="12"/>
    <col min="15" max="16384" width="9.140625" style="1"/>
  </cols>
  <sheetData>
    <row r="1" spans="1:53" x14ac:dyDescent="0.2">
      <c r="A1" s="13" t="s">
        <v>8</v>
      </c>
    </row>
    <row r="2" spans="1:53" x14ac:dyDescent="0.2">
      <c r="C2" s="12" t="s">
        <v>16</v>
      </c>
      <c r="D2" s="12" t="s">
        <v>17</v>
      </c>
      <c r="E2" s="12" t="s">
        <v>18</v>
      </c>
      <c r="F2" s="12" t="s">
        <v>19</v>
      </c>
      <c r="G2" s="12" t="s">
        <v>20</v>
      </c>
      <c r="H2" s="12" t="s">
        <v>21</v>
      </c>
      <c r="I2" s="12" t="s">
        <v>22</v>
      </c>
      <c r="J2" s="12" t="s">
        <v>23</v>
      </c>
      <c r="K2" s="12" t="s">
        <v>24</v>
      </c>
      <c r="L2" s="12" t="s">
        <v>25</v>
      </c>
      <c r="M2" s="12" t="s">
        <v>26</v>
      </c>
      <c r="N2" s="12" t="s">
        <v>27</v>
      </c>
      <c r="Q2" s="1">
        <v>2010</v>
      </c>
      <c r="R2" s="1">
        <f>+Q2+1</f>
        <v>2011</v>
      </c>
      <c r="S2" s="1">
        <f t="shared" ref="S2:BA2" si="0">+R2+1</f>
        <v>2012</v>
      </c>
      <c r="T2" s="1">
        <f t="shared" si="0"/>
        <v>2013</v>
      </c>
      <c r="U2" s="1">
        <f t="shared" si="0"/>
        <v>2014</v>
      </c>
      <c r="V2" s="1">
        <f t="shared" si="0"/>
        <v>2015</v>
      </c>
      <c r="W2" s="1">
        <f t="shared" si="0"/>
        <v>2016</v>
      </c>
      <c r="X2" s="1">
        <f t="shared" si="0"/>
        <v>2017</v>
      </c>
      <c r="Y2" s="1">
        <f t="shared" si="0"/>
        <v>2018</v>
      </c>
      <c r="Z2" s="1">
        <f t="shared" si="0"/>
        <v>2019</v>
      </c>
      <c r="AA2" s="1">
        <f t="shared" si="0"/>
        <v>2020</v>
      </c>
      <c r="AB2" s="1">
        <f t="shared" si="0"/>
        <v>2021</v>
      </c>
      <c r="AC2" s="1">
        <f t="shared" si="0"/>
        <v>2022</v>
      </c>
      <c r="AD2" s="1">
        <f t="shared" si="0"/>
        <v>2023</v>
      </c>
      <c r="AE2" s="1">
        <f t="shared" si="0"/>
        <v>2024</v>
      </c>
      <c r="AF2" s="1">
        <f t="shared" si="0"/>
        <v>2025</v>
      </c>
      <c r="AG2" s="1">
        <f t="shared" si="0"/>
        <v>2026</v>
      </c>
      <c r="AH2" s="1">
        <f t="shared" si="0"/>
        <v>2027</v>
      </c>
      <c r="AI2" s="1">
        <f t="shared" si="0"/>
        <v>2028</v>
      </c>
      <c r="AJ2" s="1">
        <f t="shared" si="0"/>
        <v>2029</v>
      </c>
      <c r="AK2" s="1">
        <f t="shared" si="0"/>
        <v>2030</v>
      </c>
      <c r="AL2" s="1">
        <f t="shared" si="0"/>
        <v>2031</v>
      </c>
      <c r="AM2" s="1">
        <f t="shared" si="0"/>
        <v>2032</v>
      </c>
      <c r="AN2" s="1">
        <f t="shared" si="0"/>
        <v>2033</v>
      </c>
      <c r="AO2" s="1">
        <f t="shared" si="0"/>
        <v>2034</v>
      </c>
      <c r="AP2" s="1">
        <f t="shared" si="0"/>
        <v>2035</v>
      </c>
      <c r="AQ2" s="1">
        <f t="shared" si="0"/>
        <v>2036</v>
      </c>
      <c r="AR2" s="1">
        <f t="shared" si="0"/>
        <v>2037</v>
      </c>
      <c r="AS2" s="1">
        <f t="shared" si="0"/>
        <v>2038</v>
      </c>
      <c r="AT2" s="1">
        <f t="shared" si="0"/>
        <v>2039</v>
      </c>
      <c r="AU2" s="1">
        <f t="shared" si="0"/>
        <v>2040</v>
      </c>
      <c r="AV2" s="1">
        <f t="shared" si="0"/>
        <v>2041</v>
      </c>
      <c r="AW2" s="1">
        <f t="shared" si="0"/>
        <v>2042</v>
      </c>
      <c r="AX2" s="1">
        <f t="shared" si="0"/>
        <v>2043</v>
      </c>
      <c r="AY2" s="1">
        <f t="shared" si="0"/>
        <v>2044</v>
      </c>
      <c r="AZ2" s="1">
        <f t="shared" si="0"/>
        <v>2045</v>
      </c>
      <c r="BA2" s="1">
        <f t="shared" si="0"/>
        <v>2046</v>
      </c>
    </row>
    <row r="3" spans="1:53" s="15" customFormat="1" x14ac:dyDescent="0.2">
      <c r="B3" s="15" t="s">
        <v>31</v>
      </c>
      <c r="C3" s="16">
        <v>104</v>
      </c>
      <c r="D3" s="16">
        <v>70</v>
      </c>
      <c r="E3" s="16">
        <v>72</v>
      </c>
      <c r="F3" s="16">
        <v>94</v>
      </c>
      <c r="G3" s="16">
        <v>86</v>
      </c>
      <c r="H3" s="16">
        <v>59</v>
      </c>
      <c r="I3" s="16">
        <f t="shared" ref="I3:I4" si="1">+E3</f>
        <v>72</v>
      </c>
      <c r="J3" s="16">
        <f t="shared" ref="J3:J7" si="2">+F3</f>
        <v>94</v>
      </c>
      <c r="K3" s="16"/>
      <c r="L3" s="16"/>
      <c r="M3" s="16"/>
      <c r="N3" s="16"/>
      <c r="Z3" s="15">
        <v>190</v>
      </c>
      <c r="AA3" s="15">
        <v>191.9</v>
      </c>
      <c r="AB3" s="15">
        <v>236</v>
      </c>
      <c r="AC3" s="15">
        <v>288.60000000000002</v>
      </c>
      <c r="AD3" s="15">
        <v>356</v>
      </c>
      <c r="AE3" s="15">
        <f>SUM(C3:F3)</f>
        <v>340</v>
      </c>
      <c r="AF3" s="15">
        <f>SUM(G3:J3)</f>
        <v>311</v>
      </c>
      <c r="AG3" s="15">
        <f>+AF3*0.9</f>
        <v>279.90000000000003</v>
      </c>
      <c r="AH3" s="15">
        <f t="shared" ref="AH3:AK3" si="3">+AG3*0.9</f>
        <v>251.91000000000003</v>
      </c>
      <c r="AI3" s="15">
        <f t="shared" si="3"/>
        <v>226.71900000000002</v>
      </c>
      <c r="AJ3" s="15">
        <f t="shared" si="3"/>
        <v>204.04710000000003</v>
      </c>
      <c r="AK3" s="15">
        <f t="shared" si="3"/>
        <v>183.64239000000003</v>
      </c>
    </row>
    <row r="4" spans="1:53" s="15" customFormat="1" x14ac:dyDescent="0.2">
      <c r="B4" s="15" t="s">
        <v>32</v>
      </c>
      <c r="C4" s="16">
        <v>57</v>
      </c>
      <c r="D4" s="16">
        <v>47</v>
      </c>
      <c r="E4" s="16">
        <v>52</v>
      </c>
      <c r="F4" s="16">
        <v>50</v>
      </c>
      <c r="G4" s="16">
        <v>48</v>
      </c>
      <c r="H4" s="16">
        <v>36</v>
      </c>
      <c r="I4" s="16">
        <f>+E4</f>
        <v>52</v>
      </c>
      <c r="J4" s="16">
        <f t="shared" si="2"/>
        <v>50</v>
      </c>
      <c r="K4" s="16"/>
      <c r="L4" s="16"/>
      <c r="M4" s="16"/>
      <c r="N4" s="16"/>
      <c r="Z4" s="15">
        <v>101</v>
      </c>
      <c r="AA4" s="15">
        <v>139</v>
      </c>
      <c r="AB4" s="15">
        <v>187.3</v>
      </c>
      <c r="AC4" s="15">
        <v>218.3</v>
      </c>
      <c r="AD4" s="15">
        <v>255</v>
      </c>
      <c r="AE4" s="15">
        <f>SUM(C4:F4)</f>
        <v>206</v>
      </c>
      <c r="AF4" s="15">
        <f>SUM(G4:J4)</f>
        <v>186</v>
      </c>
      <c r="AG4" s="15">
        <f t="shared" ref="AG4:AK4" si="4">+AF4*0.9</f>
        <v>167.4</v>
      </c>
      <c r="AH4" s="15">
        <f t="shared" si="4"/>
        <v>150.66</v>
      </c>
      <c r="AI4" s="15">
        <f t="shared" si="4"/>
        <v>135.59399999999999</v>
      </c>
      <c r="AJ4" s="15">
        <f t="shared" si="4"/>
        <v>122.0346</v>
      </c>
      <c r="AK4" s="15">
        <f t="shared" si="4"/>
        <v>109.83114</v>
      </c>
    </row>
    <row r="5" spans="1:53" s="15" customFormat="1" x14ac:dyDescent="0.2">
      <c r="B5" s="15" t="s">
        <v>47</v>
      </c>
      <c r="C5" s="16"/>
      <c r="D5" s="16"/>
      <c r="E5" s="16"/>
      <c r="F5" s="16"/>
      <c r="G5" s="16"/>
      <c r="H5" s="16"/>
      <c r="I5" s="16">
        <v>5</v>
      </c>
      <c r="J5" s="16">
        <v>10</v>
      </c>
      <c r="K5" s="16"/>
      <c r="L5" s="16"/>
      <c r="M5" s="16"/>
      <c r="N5" s="16"/>
      <c r="AE5" s="15">
        <f>SUM(C5:F5)</f>
        <v>0</v>
      </c>
      <c r="AF5" s="15">
        <f>SUM(G5:J5)</f>
        <v>15</v>
      </c>
      <c r="AG5" s="15">
        <v>50</v>
      </c>
      <c r="AH5" s="15">
        <v>100</v>
      </c>
      <c r="AI5" s="15">
        <v>150</v>
      </c>
      <c r="AJ5" s="15">
        <v>200</v>
      </c>
      <c r="AK5" s="15">
        <f>AJ5</f>
        <v>200</v>
      </c>
    </row>
    <row r="6" spans="1:53" s="15" customFormat="1" x14ac:dyDescent="0.2">
      <c r="B6" s="15" t="s">
        <v>33</v>
      </c>
      <c r="C6" s="16">
        <f>177.604-C4-C3</f>
        <v>16.604000000000013</v>
      </c>
      <c r="D6" s="16">
        <f>133.22-D4-D3</f>
        <v>16.22</v>
      </c>
      <c r="E6" s="16">
        <f>135.421-E4-E3</f>
        <v>11.420999999999992</v>
      </c>
      <c r="F6" s="16">
        <f>154.706-F4-F3</f>
        <v>10.705999999999989</v>
      </c>
      <c r="G6" s="16">
        <f>153.426-G4-G3</f>
        <v>19.425999999999988</v>
      </c>
      <c r="H6" s="16">
        <f>118.329-H4-H3</f>
        <v>23.328999999999994</v>
      </c>
      <c r="I6" s="16">
        <f t="shared" ref="I6:I7" si="5">+E6</f>
        <v>11.420999999999992</v>
      </c>
      <c r="J6" s="16">
        <f t="shared" si="2"/>
        <v>10.705999999999989</v>
      </c>
      <c r="K6" s="16"/>
      <c r="L6" s="16"/>
      <c r="M6" s="16"/>
      <c r="N6" s="16"/>
      <c r="Z6" s="15">
        <f>291.306-Z4-Z3</f>
        <v>0.30599999999998317</v>
      </c>
      <c r="AA6" s="15">
        <f>333.401-AA4-AA3</f>
        <v>2.5010000000000048</v>
      </c>
      <c r="AB6" s="15">
        <f>428.904-AB4-AB3</f>
        <v>5.603999999999985</v>
      </c>
      <c r="AC6" s="15">
        <f>535.228-AC4-AC3</f>
        <v>28.327999999999918</v>
      </c>
      <c r="AD6" s="15">
        <f>661.249-AD4-AD3</f>
        <v>50.249000000000024</v>
      </c>
      <c r="AE6" s="15">
        <f>SUM(C6:F6)</f>
        <v>54.950999999999993</v>
      </c>
      <c r="AF6" s="15">
        <f>SUM(G6:J6)</f>
        <v>64.881999999999962</v>
      </c>
      <c r="AG6" s="15">
        <f>+AF6</f>
        <v>64.881999999999962</v>
      </c>
      <c r="AH6" s="15">
        <f>+AG6</f>
        <v>64.881999999999962</v>
      </c>
      <c r="AI6" s="15">
        <f t="shared" ref="AI6:AK6" si="6">+AH6</f>
        <v>64.881999999999962</v>
      </c>
      <c r="AJ6" s="15">
        <f t="shared" si="6"/>
        <v>64.881999999999962</v>
      </c>
      <c r="AK6" s="15">
        <f t="shared" si="6"/>
        <v>64.881999999999962</v>
      </c>
    </row>
    <row r="7" spans="1:53" s="15" customFormat="1" x14ac:dyDescent="0.2">
      <c r="B7" s="15" t="s">
        <v>34</v>
      </c>
      <c r="C7" s="16">
        <v>31.154</v>
      </c>
      <c r="D7" s="16">
        <v>53.183</v>
      </c>
      <c r="E7" s="16">
        <v>61.365000000000002</v>
      </c>
      <c r="F7" s="16">
        <v>58.161999999999999</v>
      </c>
      <c r="G7" s="16">
        <v>36.4</v>
      </c>
      <c r="H7" s="16">
        <v>57.604999999999997</v>
      </c>
      <c r="I7" s="16">
        <f t="shared" si="5"/>
        <v>61.365000000000002</v>
      </c>
      <c r="J7" s="16">
        <f t="shared" si="2"/>
        <v>58.161999999999999</v>
      </c>
      <c r="K7" s="16"/>
      <c r="L7" s="16"/>
      <c r="M7" s="16"/>
      <c r="N7" s="16"/>
      <c r="Z7" s="15">
        <v>15.673999999999999</v>
      </c>
      <c r="AA7" s="15">
        <v>42.579000000000001</v>
      </c>
      <c r="AB7" s="15">
        <v>54.643000000000001</v>
      </c>
      <c r="AC7" s="15">
        <v>113.521</v>
      </c>
      <c r="AD7" s="15">
        <v>168.85599999999999</v>
      </c>
      <c r="AE7" s="15">
        <f>SUM(C7:F7)</f>
        <v>203.864</v>
      </c>
      <c r="AF7" s="15">
        <f>SUM(G7:J7)</f>
        <v>213.53200000000001</v>
      </c>
      <c r="AG7" s="15">
        <f>+AF7</f>
        <v>213.53200000000001</v>
      </c>
      <c r="AH7" s="15">
        <f>+AG7</f>
        <v>213.53200000000001</v>
      </c>
      <c r="AI7" s="15">
        <f>+AH7</f>
        <v>213.53200000000001</v>
      </c>
      <c r="AJ7" s="15">
        <f>+AI7</f>
        <v>213.53200000000001</v>
      </c>
      <c r="AK7" s="15">
        <f>+AJ7</f>
        <v>213.53200000000001</v>
      </c>
    </row>
    <row r="8" spans="1:53" s="15" customFormat="1" x14ac:dyDescent="0.2">
      <c r="B8" s="15" t="s">
        <v>35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2.9409999999999998</v>
      </c>
      <c r="I8" s="16">
        <v>0</v>
      </c>
      <c r="J8" s="16">
        <v>0</v>
      </c>
      <c r="K8" s="16"/>
      <c r="L8" s="16"/>
      <c r="M8" s="16"/>
      <c r="N8" s="16"/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f>SUM(C8:F8)</f>
        <v>0</v>
      </c>
      <c r="AF8" s="15">
        <f>SUM(G8:J8)</f>
        <v>2.9409999999999998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</row>
    <row r="9" spans="1:53" s="18" customFormat="1" x14ac:dyDescent="0.2">
      <c r="B9" s="18" t="s">
        <v>15</v>
      </c>
      <c r="C9" s="17">
        <f>SUM(C3:C8)</f>
        <v>208.75800000000001</v>
      </c>
      <c r="D9" s="17">
        <f>SUM(D3:D8)</f>
        <v>186.40299999999999</v>
      </c>
      <c r="E9" s="17">
        <f>SUM(E3:E8)</f>
        <v>196.786</v>
      </c>
      <c r="F9" s="17">
        <f>SUM(F3:F8)</f>
        <v>212.86799999999999</v>
      </c>
      <c r="G9" s="17">
        <f>SUM(G3:G8)</f>
        <v>189.82599999999999</v>
      </c>
      <c r="H9" s="17">
        <f>SUM(H3:H8)</f>
        <v>178.875</v>
      </c>
      <c r="I9" s="17">
        <f>SUM(I3:I8)</f>
        <v>201.786</v>
      </c>
      <c r="J9" s="17">
        <f>SUM(J3:J8)</f>
        <v>222.86799999999999</v>
      </c>
      <c r="K9" s="17"/>
      <c r="L9" s="17"/>
      <c r="M9" s="17"/>
      <c r="N9" s="17"/>
      <c r="Z9" s="18">
        <f t="shared" ref="Z9" si="7">SUM(Z3:Z8)</f>
        <v>306.97999999999996</v>
      </c>
      <c r="AA9" s="18">
        <f t="shared" ref="AA9" si="8">SUM(AA3:AA8)</f>
        <v>375.97999999999996</v>
      </c>
      <c r="AB9" s="18">
        <f t="shared" ref="AB9:AC9" si="9">SUM(AB3:AB8)</f>
        <v>483.54700000000003</v>
      </c>
      <c r="AC9" s="18">
        <f t="shared" si="9"/>
        <v>648.74899999999991</v>
      </c>
      <c r="AD9" s="18">
        <f>SUM(AD3:AD8)</f>
        <v>830.10500000000002</v>
      </c>
      <c r="AE9" s="18">
        <f>SUM(AE3:AE8)</f>
        <v>804.81500000000005</v>
      </c>
      <c r="AF9" s="18">
        <f>SUM(AF3:AF8)</f>
        <v>793.35500000000002</v>
      </c>
      <c r="AG9" s="18">
        <f>SUM(AG3:AG8)</f>
        <v>775.71400000000006</v>
      </c>
      <c r="AH9" s="18">
        <f t="shared" ref="AH9:AK9" si="10">SUM(AH3:AH8)</f>
        <v>780.98400000000004</v>
      </c>
      <c r="AI9" s="18">
        <f t="shared" si="10"/>
        <v>790.72699999999998</v>
      </c>
      <c r="AJ9" s="18">
        <f t="shared" si="10"/>
        <v>804.49569999999994</v>
      </c>
      <c r="AK9" s="18">
        <f t="shared" si="10"/>
        <v>771.88753000000008</v>
      </c>
    </row>
    <row r="10" spans="1:53" s="15" customFormat="1" x14ac:dyDescent="0.2">
      <c r="B10" s="15" t="s">
        <v>46</v>
      </c>
      <c r="C10" s="16">
        <v>14.74</v>
      </c>
      <c r="D10" s="16">
        <v>15.526999999999999</v>
      </c>
      <c r="E10" s="16">
        <v>10.848000000000001</v>
      </c>
      <c r="F10" s="16">
        <v>16.283000000000001</v>
      </c>
      <c r="G10" s="16">
        <v>12.862</v>
      </c>
      <c r="H10" s="16">
        <v>11.42</v>
      </c>
      <c r="I10" s="16"/>
      <c r="J10" s="16"/>
      <c r="K10" s="16"/>
      <c r="L10" s="16"/>
      <c r="M10" s="16"/>
      <c r="N10" s="16"/>
      <c r="Z10" s="15">
        <v>12.135</v>
      </c>
      <c r="AA10" s="15">
        <v>18.942</v>
      </c>
      <c r="AB10" s="15">
        <v>32.328000000000003</v>
      </c>
      <c r="AC10" s="15">
        <v>44.677999999999997</v>
      </c>
      <c r="AD10" s="15">
        <v>65.486000000000004</v>
      </c>
      <c r="AE10" s="15">
        <f>SUM(C10:F10)</f>
        <v>57.398000000000003</v>
      </c>
      <c r="AF10" s="15">
        <f>SUM(G10:J10)</f>
        <v>24.282</v>
      </c>
    </row>
    <row r="11" spans="1:53" s="15" customFormat="1" x14ac:dyDescent="0.2">
      <c r="B11" s="15" t="s">
        <v>45</v>
      </c>
      <c r="C11" s="16">
        <f>+C9-C10</f>
        <v>194.018</v>
      </c>
      <c r="D11" s="16">
        <f>+D9-D10</f>
        <v>170.876</v>
      </c>
      <c r="E11" s="16">
        <f>+E9-E10</f>
        <v>185.93799999999999</v>
      </c>
      <c r="F11" s="16">
        <f>+F9-F10</f>
        <v>196.58499999999998</v>
      </c>
      <c r="G11" s="16">
        <f t="shared" ref="G11" si="11">+G9-G10</f>
        <v>176.964</v>
      </c>
      <c r="H11" s="16">
        <f>+H9-H10</f>
        <v>167.45500000000001</v>
      </c>
      <c r="I11" s="16"/>
      <c r="J11" s="16"/>
      <c r="K11" s="16"/>
      <c r="L11" s="16"/>
      <c r="M11" s="16"/>
      <c r="N11" s="16"/>
      <c r="Z11" s="15">
        <f t="shared" ref="Z11:AA11" si="12">+Z9-Z10</f>
        <v>294.84499999999997</v>
      </c>
      <c r="AA11" s="15">
        <f t="shared" si="12"/>
        <v>357.03799999999995</v>
      </c>
      <c r="AB11" s="15">
        <f>+AB9-AB10</f>
        <v>451.21900000000005</v>
      </c>
      <c r="AC11" s="15">
        <f>+AC9-AC10</f>
        <v>604.07099999999991</v>
      </c>
      <c r="AD11" s="15">
        <f>+AD9-AD10</f>
        <v>764.61900000000003</v>
      </c>
      <c r="AE11" s="15">
        <f>+AE9-AE10</f>
        <v>747.41700000000003</v>
      </c>
      <c r="AF11" s="15">
        <f>+AF9-AF10</f>
        <v>769.07299999999998</v>
      </c>
    </row>
    <row r="12" spans="1:53" s="15" customFormat="1" x14ac:dyDescent="0.2">
      <c r="B12" s="15" t="s">
        <v>44</v>
      </c>
      <c r="C12" s="16">
        <v>116.129</v>
      </c>
      <c r="D12" s="16">
        <v>132.16900000000001</v>
      </c>
      <c r="E12" s="16">
        <v>161.41200000000001</v>
      </c>
      <c r="F12" s="16">
        <v>124.77</v>
      </c>
      <c r="G12" s="16">
        <v>108.973</v>
      </c>
      <c r="H12" s="16">
        <v>112.99</v>
      </c>
      <c r="I12" s="16"/>
      <c r="J12" s="16"/>
      <c r="K12" s="16"/>
      <c r="L12" s="16"/>
      <c r="M12" s="16"/>
      <c r="N12" s="16"/>
      <c r="Z12" s="15">
        <v>257.452</v>
      </c>
      <c r="AA12" s="15">
        <v>477.64299999999997</v>
      </c>
      <c r="AB12" s="15">
        <v>540.68399999999997</v>
      </c>
      <c r="AC12" s="15">
        <v>651.49599999999998</v>
      </c>
      <c r="AD12" s="15">
        <v>666.56299999999999</v>
      </c>
      <c r="AE12" s="15">
        <f>SUM(C12:F12)</f>
        <v>534.48</v>
      </c>
      <c r="AF12" s="15">
        <f>SUM(G12:J12)</f>
        <v>221.96299999999999</v>
      </c>
    </row>
    <row r="13" spans="1:53" s="15" customFormat="1" x14ac:dyDescent="0.2">
      <c r="B13" s="15" t="s">
        <v>43</v>
      </c>
      <c r="C13" s="16">
        <v>73.272000000000006</v>
      </c>
      <c r="D13" s="16">
        <v>69.5</v>
      </c>
      <c r="E13" s="16">
        <v>73.456000000000003</v>
      </c>
      <c r="F13" s="16">
        <v>84.683000000000007</v>
      </c>
      <c r="G13" s="16">
        <v>80.960999999999999</v>
      </c>
      <c r="H13" s="16">
        <v>85.262</v>
      </c>
      <c r="I13" s="16"/>
      <c r="J13" s="16"/>
      <c r="K13" s="16"/>
      <c r="L13" s="16"/>
      <c r="M13" s="16"/>
      <c r="N13" s="16"/>
      <c r="Z13" s="15">
        <v>202.541</v>
      </c>
      <c r="AA13" s="15">
        <v>245.16399999999999</v>
      </c>
      <c r="AB13" s="15">
        <v>285.77300000000002</v>
      </c>
      <c r="AC13" s="15">
        <v>325.99799999999999</v>
      </c>
      <c r="AD13" s="15">
        <v>332.54</v>
      </c>
      <c r="AE13" s="15">
        <f>SUM(C13:F13)</f>
        <v>300.911</v>
      </c>
      <c r="AF13" s="15">
        <f>SUM(G13:J13)</f>
        <v>166.22300000000001</v>
      </c>
    </row>
    <row r="14" spans="1:53" s="15" customFormat="1" x14ac:dyDescent="0.2">
      <c r="B14" s="15" t="s">
        <v>42</v>
      </c>
      <c r="C14" s="16">
        <f t="shared" ref="C14:D14" si="13">+C12+C13</f>
        <v>189.40100000000001</v>
      </c>
      <c r="D14" s="16">
        <f t="shared" si="13"/>
        <v>201.66900000000001</v>
      </c>
      <c r="E14" s="16">
        <f t="shared" ref="E14:F14" si="14">+E12+E13</f>
        <v>234.86799999999999</v>
      </c>
      <c r="F14" s="16">
        <f t="shared" si="14"/>
        <v>209.453</v>
      </c>
      <c r="G14" s="16">
        <f t="shared" ref="G14" si="15">+G12+G13</f>
        <v>189.934</v>
      </c>
      <c r="H14" s="16">
        <f>+H12+H13</f>
        <v>198.25200000000001</v>
      </c>
      <c r="I14" s="16"/>
      <c r="J14" s="16"/>
      <c r="K14" s="16"/>
      <c r="L14" s="16"/>
      <c r="M14" s="16"/>
      <c r="N14" s="16"/>
      <c r="Z14" s="15">
        <f t="shared" ref="Z14" si="16">+Z13+Z12</f>
        <v>459.99299999999999</v>
      </c>
      <c r="AA14" s="15">
        <f t="shared" ref="AA14" si="17">+AA13+AA12</f>
        <v>722.80700000000002</v>
      </c>
      <c r="AB14" s="15">
        <f t="shared" ref="AB14:AD14" si="18">+AB13+AB12</f>
        <v>826.45699999999999</v>
      </c>
      <c r="AC14" s="15">
        <f t="shared" si="18"/>
        <v>977.49399999999991</v>
      </c>
      <c r="AD14" s="15">
        <f t="shared" si="18"/>
        <v>999.10300000000007</v>
      </c>
      <c r="AE14" s="15">
        <f>+AE13+AE12</f>
        <v>835.39100000000008</v>
      </c>
      <c r="AF14" s="15">
        <f>+AF13+AF12</f>
        <v>388.18600000000004</v>
      </c>
    </row>
    <row r="15" spans="1:53" s="15" customFormat="1" x14ac:dyDescent="0.2">
      <c r="B15" s="15" t="s">
        <v>41</v>
      </c>
      <c r="C15" s="16">
        <f t="shared" ref="C15:D15" si="19">+C11-C14</f>
        <v>4.6169999999999902</v>
      </c>
      <c r="D15" s="16">
        <f t="shared" si="19"/>
        <v>-30.793000000000006</v>
      </c>
      <c r="E15" s="16">
        <f t="shared" ref="E15:F15" si="20">+E11-E14</f>
        <v>-48.930000000000007</v>
      </c>
      <c r="F15" s="16">
        <f t="shared" si="20"/>
        <v>-12.868000000000023</v>
      </c>
      <c r="G15" s="16">
        <f t="shared" ref="G15" si="21">+G11-G14</f>
        <v>-12.969999999999999</v>
      </c>
      <c r="H15" s="16">
        <f>+H11-H14</f>
        <v>-30.796999999999997</v>
      </c>
      <c r="I15" s="16"/>
      <c r="J15" s="16"/>
      <c r="K15" s="16"/>
      <c r="L15" s="16"/>
      <c r="M15" s="16"/>
      <c r="N15" s="16"/>
      <c r="Z15" s="15">
        <f t="shared" ref="Z15" si="22">+Z11-Z14</f>
        <v>-165.14800000000002</v>
      </c>
      <c r="AA15" s="15">
        <f t="shared" ref="AA15" si="23">+AA11-AA14</f>
        <v>-365.76900000000006</v>
      </c>
      <c r="AB15" s="15">
        <f t="shared" ref="AB15:AD15" si="24">+AB11-AB14</f>
        <v>-375.23799999999994</v>
      </c>
      <c r="AC15" s="15">
        <f t="shared" si="24"/>
        <v>-373.423</v>
      </c>
      <c r="AD15" s="15">
        <f t="shared" si="24"/>
        <v>-234.48400000000004</v>
      </c>
      <c r="AE15" s="15">
        <f>+AE11-AE14</f>
        <v>-87.974000000000046</v>
      </c>
      <c r="AF15" s="15">
        <f>+AF11-AF14</f>
        <v>380.88699999999994</v>
      </c>
    </row>
    <row r="16" spans="1:53" s="15" customFormat="1" x14ac:dyDescent="0.2">
      <c r="B16" s="15" t="s">
        <v>40</v>
      </c>
      <c r="C16" s="16">
        <v>-40.834000000000003</v>
      </c>
      <c r="D16" s="16">
        <v>-43.49</v>
      </c>
      <c r="E16" s="16">
        <v>-41.609000000000002</v>
      </c>
      <c r="F16" s="16">
        <v>-41.06</v>
      </c>
      <c r="G16" s="16">
        <v>-34.091999999999999</v>
      </c>
      <c r="H16" s="16">
        <v>-30.358000000000001</v>
      </c>
      <c r="I16" s="16"/>
      <c r="J16" s="16"/>
      <c r="K16" s="16"/>
      <c r="L16" s="16"/>
      <c r="M16" s="16"/>
      <c r="N16" s="16"/>
      <c r="Z16" s="15">
        <v>-12.491</v>
      </c>
      <c r="AA16" s="15">
        <v>-56.351999999999997</v>
      </c>
      <c r="AB16" s="15">
        <v>-86.022000000000006</v>
      </c>
      <c r="AC16" s="15">
        <v>-90.870999999999995</v>
      </c>
      <c r="AD16" s="15">
        <v>-129.18</v>
      </c>
      <c r="AE16" s="15">
        <f>SUM(C16:F16)</f>
        <v>-166.99300000000002</v>
      </c>
      <c r="AF16" s="15">
        <f>SUM(G16:J16)</f>
        <v>-64.45</v>
      </c>
    </row>
    <row r="17" spans="2:32" x14ac:dyDescent="0.2">
      <c r="B17" s="1" t="s">
        <v>39</v>
      </c>
      <c r="C17" s="16">
        <f t="shared" ref="C17:F17" si="25">+C15+C16</f>
        <v>-36.217000000000013</v>
      </c>
      <c r="D17" s="16">
        <f t="shared" si="25"/>
        <v>-74.283000000000015</v>
      </c>
      <c r="E17" s="16">
        <f t="shared" si="25"/>
        <v>-90.539000000000016</v>
      </c>
      <c r="F17" s="16">
        <f t="shared" si="25"/>
        <v>-53.928000000000026</v>
      </c>
      <c r="G17" s="16">
        <f t="shared" ref="G17" si="26">+G15+G16</f>
        <v>-47.061999999999998</v>
      </c>
      <c r="H17" s="16">
        <f>+H15+H16</f>
        <v>-61.155000000000001</v>
      </c>
      <c r="Z17" s="15">
        <f t="shared" ref="Z17" si="27">+Z15+Z16</f>
        <v>-177.63900000000001</v>
      </c>
      <c r="AA17" s="15">
        <f t="shared" ref="AA17" si="28">+AA15+AA16</f>
        <v>-422.12100000000004</v>
      </c>
      <c r="AB17" s="15">
        <f t="shared" ref="AB17:AD17" si="29">+AB15+AB16</f>
        <v>-461.25999999999993</v>
      </c>
      <c r="AC17" s="15">
        <f t="shared" si="29"/>
        <v>-464.29399999999998</v>
      </c>
      <c r="AD17" s="15">
        <f t="shared" si="29"/>
        <v>-363.66400000000004</v>
      </c>
      <c r="AE17" s="15">
        <f>+AE15+AE16</f>
        <v>-254.96700000000007</v>
      </c>
      <c r="AF17" s="15">
        <f>+AF15+AF16</f>
        <v>316.43699999999995</v>
      </c>
    </row>
    <row r="18" spans="2:32" x14ac:dyDescent="0.2">
      <c r="B18" s="1" t="s">
        <v>38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6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5">
        <f>SUM(C18:F18)</f>
        <v>0</v>
      </c>
      <c r="AF18" s="15">
        <f>SUM(G18:J18)</f>
        <v>0</v>
      </c>
    </row>
    <row r="19" spans="2:32" x14ac:dyDescent="0.2">
      <c r="B19" s="1" t="s">
        <v>37</v>
      </c>
      <c r="C19" s="16">
        <f t="shared" ref="C19:F19" si="30">+C17-C18</f>
        <v>-36.217000000000013</v>
      </c>
      <c r="D19" s="16">
        <f t="shared" si="30"/>
        <v>-74.283000000000015</v>
      </c>
      <c r="E19" s="16">
        <f t="shared" si="30"/>
        <v>-90.539000000000016</v>
      </c>
      <c r="F19" s="16">
        <f t="shared" si="30"/>
        <v>-53.928000000000026</v>
      </c>
      <c r="G19" s="16">
        <f t="shared" ref="G19" si="31">+G17-G18</f>
        <v>-47.061999999999998</v>
      </c>
      <c r="H19" s="16">
        <f>+H17-H18</f>
        <v>-61.155000000000001</v>
      </c>
      <c r="Z19" s="15">
        <f t="shared" ref="Z19" si="32">+Z17-Z18</f>
        <v>-177.63900000000001</v>
      </c>
      <c r="AA19" s="15">
        <f t="shared" ref="AA19" si="33">+AA17-AA18</f>
        <v>-422.12100000000004</v>
      </c>
      <c r="AB19" s="15">
        <f t="shared" ref="AB19:AD19" si="34">+AB17-AB18</f>
        <v>-461.25999999999993</v>
      </c>
      <c r="AC19" s="15">
        <f t="shared" si="34"/>
        <v>-464.29399999999998</v>
      </c>
      <c r="AD19" s="15">
        <f t="shared" si="34"/>
        <v>-363.66400000000004</v>
      </c>
      <c r="AE19" s="15">
        <f>+AE17-AE18</f>
        <v>-254.96700000000007</v>
      </c>
      <c r="AF19" s="15">
        <f>+AF17-AF18</f>
        <v>316.43699999999995</v>
      </c>
    </row>
    <row r="20" spans="2:32" x14ac:dyDescent="0.2">
      <c r="B20" s="1" t="s">
        <v>36</v>
      </c>
      <c r="C20" s="19">
        <f t="shared" ref="C20:F20" si="35">+C19/C21</f>
        <v>-0.47344880610753026</v>
      </c>
      <c r="D20" s="19">
        <f t="shared" si="35"/>
        <v>-0.96817115970047352</v>
      </c>
      <c r="E20" s="19">
        <f t="shared" si="35"/>
        <v>-1.1769695735445311</v>
      </c>
      <c r="F20" s="19">
        <f t="shared" si="35"/>
        <v>-0.69853308957903237</v>
      </c>
      <c r="G20" s="19">
        <f t="shared" ref="G20" si="36">+G19/G21</f>
        <v>-0.54478784170411476</v>
      </c>
      <c r="H20" s="19">
        <f>+H19/H21</f>
        <v>-0.78252117304856583</v>
      </c>
      <c r="Z20" s="2">
        <f t="shared" ref="Z20" si="37">+Z19/Z21</f>
        <v>-3.0178285459748739</v>
      </c>
      <c r="AA20" s="2">
        <f t="shared" ref="AA20" si="38">+AA19/AA21</f>
        <v>-6.3930694275517563</v>
      </c>
      <c r="AB20" s="2">
        <f t="shared" ref="AB20:AD20" si="39">+AB19/AB21</f>
        <v>-6.5458153931619565</v>
      </c>
      <c r="AC20" s="2">
        <f t="shared" si="39"/>
        <v>-6.472924048713935</v>
      </c>
      <c r="AD20" s="2">
        <f t="shared" si="39"/>
        <v>-4.8593240752687477</v>
      </c>
      <c r="AE20" s="2">
        <f>+AE19/AE21</f>
        <v>-3.3182787293419813</v>
      </c>
      <c r="AF20" s="2">
        <f>+AF19/AF21</f>
        <v>3.8463894253870743</v>
      </c>
    </row>
    <row r="21" spans="2:32" s="15" customFormat="1" x14ac:dyDescent="0.2">
      <c r="B21" s="15" t="s">
        <v>1</v>
      </c>
      <c r="C21" s="16">
        <v>76.496127000000001</v>
      </c>
      <c r="D21" s="16">
        <v>76.725070000000002</v>
      </c>
      <c r="E21" s="16">
        <v>76.925522999999998</v>
      </c>
      <c r="F21" s="16">
        <v>77.201783000000006</v>
      </c>
      <c r="G21" s="16">
        <v>86.385921999999994</v>
      </c>
      <c r="H21" s="16">
        <v>78.151240000000001</v>
      </c>
      <c r="I21" s="16"/>
      <c r="J21" s="16"/>
      <c r="K21" s="16"/>
      <c r="L21" s="16"/>
      <c r="M21" s="16"/>
      <c r="N21" s="16"/>
      <c r="Z21" s="15">
        <v>58.863185000000001</v>
      </c>
      <c r="AA21" s="15">
        <v>66.027907999999996</v>
      </c>
      <c r="AB21" s="15">
        <v>70.466392999999997</v>
      </c>
      <c r="AC21" s="15">
        <v>71.728634</v>
      </c>
      <c r="AD21" s="15">
        <v>74.838391999999999</v>
      </c>
      <c r="AE21" s="15">
        <f>AVERAGE(C21:F21)</f>
        <v>76.837125750000013</v>
      </c>
      <c r="AF21" s="15">
        <f>AVERAGE(G21:J21)</f>
        <v>82.268580999999998</v>
      </c>
    </row>
  </sheetData>
  <hyperlinks>
    <hyperlink ref="A1" location="Main!A1" display="Main" xr:uid="{39DC29BA-1FAC-48DC-87DC-BF68E2115EF9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496D-565E-40CB-9AE4-40BDA8303020}">
  <dimension ref="A1:C4"/>
  <sheetViews>
    <sheetView zoomScale="190" zoomScaleNormal="190" workbookViewId="0">
      <selection activeCell="B5" sqref="B5"/>
    </sheetView>
  </sheetViews>
  <sheetFormatPr defaultRowHeight="12.75" x14ac:dyDescent="0.2"/>
  <cols>
    <col min="1" max="1" width="5.42578125" style="1" bestFit="1" customWidth="1"/>
    <col min="2" max="16384" width="9.140625" style="1"/>
  </cols>
  <sheetData>
    <row r="1" spans="1:3" x14ac:dyDescent="0.2">
      <c r="A1" s="1" t="s">
        <v>8</v>
      </c>
    </row>
    <row r="2" spans="1:3" x14ac:dyDescent="0.2">
      <c r="B2" s="1" t="s">
        <v>9</v>
      </c>
      <c r="C2" s="1" t="s">
        <v>11</v>
      </c>
    </row>
    <row r="3" spans="1:3" x14ac:dyDescent="0.2">
      <c r="B3" s="1" t="s">
        <v>10</v>
      </c>
      <c r="C3" s="1" t="s">
        <v>12</v>
      </c>
    </row>
    <row r="4" spans="1:3" x14ac:dyDescent="0.2">
      <c r="B4" s="1" t="s">
        <v>13</v>
      </c>
      <c r="C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Evrysdi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2025-08-17T15:22:16Z</dcterms:created>
  <dcterms:modified xsi:type="dcterms:W3CDTF">2025-08-17T16:04:35Z</dcterms:modified>
</cp:coreProperties>
</file>