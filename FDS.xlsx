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25B8DA35-0DDB-470D-83F1-13E39375E5B4}" xr6:coauthVersionLast="47" xr6:coauthVersionMax="47" xr10:uidLastSave="{00000000-0000-0000-0000-000000000000}"/>
  <bookViews>
    <workbookView xWindow="48850" yWindow="2300" windowWidth="23470" windowHeight="16810" activeTab="1" xr2:uid="{98519F90-2A60-4886-B4D2-69933D2968E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7" i="2" l="1"/>
  <c r="Q9" i="2"/>
  <c r="Q20" i="2" s="1"/>
  <c r="W20" i="2"/>
  <c r="V20" i="2"/>
  <c r="W16" i="2"/>
  <c r="V16" i="2"/>
  <c r="W17" i="2"/>
  <c r="V17" i="2"/>
  <c r="W15" i="2"/>
  <c r="V15" i="2"/>
  <c r="W14" i="2"/>
  <c r="V14" i="2"/>
  <c r="W12" i="2"/>
  <c r="V12" i="2"/>
  <c r="W13" i="2"/>
  <c r="V13" i="2"/>
  <c r="W11" i="2"/>
  <c r="V11" i="2"/>
  <c r="W10" i="2"/>
  <c r="V10" i="2"/>
  <c r="W8" i="2"/>
  <c r="W9" i="2"/>
  <c r="V9" i="2"/>
  <c r="V8" i="2"/>
  <c r="W19" i="2"/>
  <c r="V19" i="2"/>
  <c r="V7" i="2"/>
  <c r="N23" i="2"/>
  <c r="M23" i="2"/>
  <c r="L23" i="2"/>
  <c r="K23" i="2"/>
  <c r="N20" i="2"/>
  <c r="M20" i="2"/>
  <c r="L20" i="2"/>
  <c r="K20" i="2"/>
  <c r="N19" i="2"/>
  <c r="M19" i="2"/>
  <c r="L19" i="2"/>
  <c r="K19" i="2"/>
  <c r="N10" i="2"/>
  <c r="M10" i="2"/>
  <c r="M11" i="2" s="1"/>
  <c r="M13" i="2" s="1"/>
  <c r="M14" i="2" s="1"/>
  <c r="M15" i="2" s="1"/>
  <c r="L10" i="2"/>
  <c r="K10" i="2"/>
  <c r="N12" i="2"/>
  <c r="M12" i="2"/>
  <c r="L12" i="2"/>
  <c r="K12" i="2"/>
  <c r="L17" i="2"/>
  <c r="M17" i="2" s="1"/>
  <c r="K17" i="2"/>
  <c r="N13" i="2"/>
  <c r="N14" i="2" s="1"/>
  <c r="N15" i="2" s="1"/>
  <c r="N11" i="2"/>
  <c r="L11" i="2"/>
  <c r="L13" i="2" s="1"/>
  <c r="L14" i="2" s="1"/>
  <c r="K11" i="2"/>
  <c r="K13" i="2" s="1"/>
  <c r="K14" i="2" s="1"/>
  <c r="K15" i="2" s="1"/>
  <c r="K16" i="2" s="1"/>
  <c r="N8" i="2"/>
  <c r="M8" i="2"/>
  <c r="L8" i="2"/>
  <c r="K8" i="2"/>
  <c r="N9" i="2"/>
  <c r="M9" i="2"/>
  <c r="L9" i="2"/>
  <c r="K9" i="2"/>
  <c r="J38" i="2"/>
  <c r="J35" i="2"/>
  <c r="J43" i="2"/>
  <c r="J32" i="2"/>
  <c r="J28" i="2"/>
  <c r="J26" i="2"/>
  <c r="J24" i="2"/>
  <c r="J23" i="2"/>
  <c r="J20" i="2"/>
  <c r="J19" i="2"/>
  <c r="J16" i="2"/>
  <c r="J17" i="2"/>
  <c r="J14" i="2"/>
  <c r="J12" i="2"/>
  <c r="J10" i="2"/>
  <c r="J13" i="2"/>
  <c r="J11" i="2"/>
  <c r="J9" i="2"/>
  <c r="J8" i="2"/>
  <c r="J7" i="2"/>
  <c r="Z2" i="2"/>
  <c r="Y2" i="2"/>
  <c r="X2" i="2"/>
  <c r="W2" i="2"/>
  <c r="V2" i="2"/>
  <c r="U20" i="2"/>
  <c r="U19" i="2"/>
  <c r="U16" i="2"/>
  <c r="U12" i="2"/>
  <c r="U11" i="2"/>
  <c r="U13" i="2" s="1"/>
  <c r="U15" i="2" s="1"/>
  <c r="U9" i="2"/>
  <c r="N2" i="2"/>
  <c r="M2" i="2"/>
  <c r="L2" i="2"/>
  <c r="K2" i="2"/>
  <c r="T47" i="2"/>
  <c r="S47" i="2"/>
  <c r="R47" i="2"/>
  <c r="T19" i="2"/>
  <c r="S19" i="2"/>
  <c r="F7" i="2"/>
  <c r="F17" i="2"/>
  <c r="F14" i="2"/>
  <c r="F10" i="2"/>
  <c r="F8" i="2"/>
  <c r="F9" i="2" s="1"/>
  <c r="T9" i="2"/>
  <c r="T20" i="2" s="1"/>
  <c r="S9" i="2"/>
  <c r="S11" i="2" s="1"/>
  <c r="S13" i="2" s="1"/>
  <c r="S15" i="2" s="1"/>
  <c r="S16" i="2" s="1"/>
  <c r="R9" i="2"/>
  <c r="R11" i="2" s="1"/>
  <c r="R13" i="2" s="1"/>
  <c r="R15" i="2" s="1"/>
  <c r="R16" i="2" s="1"/>
  <c r="T11" i="2"/>
  <c r="T13" i="2" s="1"/>
  <c r="T15" i="2" s="1"/>
  <c r="T16" i="2" s="1"/>
  <c r="S2" i="2"/>
  <c r="T2" i="2" s="1"/>
  <c r="F2" i="2" s="1"/>
  <c r="G19" i="2"/>
  <c r="C9" i="2"/>
  <c r="C20" i="2" s="1"/>
  <c r="G12" i="2"/>
  <c r="G9" i="2"/>
  <c r="G20" i="2" s="1"/>
  <c r="H19" i="2"/>
  <c r="D12" i="2"/>
  <c r="D9" i="2"/>
  <c r="D11" i="2" s="1"/>
  <c r="H12" i="2"/>
  <c r="H9" i="2"/>
  <c r="H20" i="2" s="1"/>
  <c r="I35" i="2"/>
  <c r="I38" i="2"/>
  <c r="I37" i="2"/>
  <c r="I26" i="2"/>
  <c r="I28" i="2"/>
  <c r="I24" i="2"/>
  <c r="I23" i="2" s="1"/>
  <c r="I19" i="2"/>
  <c r="E12" i="2"/>
  <c r="I12" i="2"/>
  <c r="E9" i="2"/>
  <c r="E11" i="2" s="1"/>
  <c r="I9" i="2"/>
  <c r="I11" i="2" s="1"/>
  <c r="I13" i="2" s="1"/>
  <c r="I15" i="2" s="1"/>
  <c r="I16" i="2" s="1"/>
  <c r="L4" i="1"/>
  <c r="L7" i="1" s="1"/>
  <c r="Q11" i="2" l="1"/>
  <c r="Q13" i="2" s="1"/>
  <c r="Q15" i="2" s="1"/>
  <c r="Q16" i="2" s="1"/>
  <c r="L15" i="2"/>
  <c r="L16" i="2" s="1"/>
  <c r="N17" i="2"/>
  <c r="N16" i="2" s="1"/>
  <c r="M16" i="2"/>
  <c r="J15" i="2"/>
  <c r="I43" i="2"/>
  <c r="F11" i="2"/>
  <c r="F20" i="2"/>
  <c r="S20" i="2"/>
  <c r="R20" i="2"/>
  <c r="F12" i="2"/>
  <c r="F13" i="2" s="1"/>
  <c r="F15" i="2" s="1"/>
  <c r="F16" i="2" s="1"/>
  <c r="C11" i="2"/>
  <c r="C13" i="2" s="1"/>
  <c r="C15" i="2" s="1"/>
  <c r="C16" i="2" s="1"/>
  <c r="G11" i="2"/>
  <c r="G13" i="2" s="1"/>
  <c r="G15" i="2" s="1"/>
  <c r="G16" i="2" s="1"/>
  <c r="D20" i="2"/>
  <c r="E13" i="2"/>
  <c r="E15" i="2" s="1"/>
  <c r="E16" i="2" s="1"/>
  <c r="D13" i="2"/>
  <c r="D15" i="2" s="1"/>
  <c r="D16" i="2" s="1"/>
  <c r="H11" i="2"/>
  <c r="H13" i="2" s="1"/>
  <c r="H15" i="2" s="1"/>
  <c r="H16" i="2" s="1"/>
  <c r="I20" i="2"/>
  <c r="E20" i="2"/>
  <c r="I32" i="2"/>
</calcChain>
</file>

<file path=xl/sharedStrings.xml><?xml version="1.0" encoding="utf-8"?>
<sst xmlns="http://schemas.openxmlformats.org/spreadsheetml/2006/main" count="49" uniqueCount="42">
  <si>
    <t>Portfolio Analytics tools leader</t>
  </si>
  <si>
    <t>Price</t>
  </si>
  <si>
    <t>Shares</t>
  </si>
  <si>
    <t>MC</t>
  </si>
  <si>
    <t>Cash</t>
  </si>
  <si>
    <t>Debt</t>
  </si>
  <si>
    <t>EV</t>
  </si>
  <si>
    <t>Q225</t>
  </si>
  <si>
    <t>Main</t>
  </si>
  <si>
    <t>Revenue</t>
  </si>
  <si>
    <t>COGS</t>
  </si>
  <si>
    <t>Gross Profit</t>
  </si>
  <si>
    <t>SG&amp;A</t>
  </si>
  <si>
    <t>Operating Income</t>
  </si>
  <si>
    <t>Interest Expense</t>
  </si>
  <si>
    <t>Pretax Income</t>
  </si>
  <si>
    <t>Net Income</t>
  </si>
  <si>
    <t>Taxes</t>
  </si>
  <si>
    <t>EPS</t>
  </si>
  <si>
    <t>Revenue y/y</t>
  </si>
  <si>
    <t>Gross Margin %</t>
  </si>
  <si>
    <t>Assets</t>
  </si>
  <si>
    <t>Other Assets</t>
  </si>
  <si>
    <t>Lease</t>
  </si>
  <si>
    <t>Deferred Taxes</t>
  </si>
  <si>
    <t>Goodwill</t>
  </si>
  <si>
    <t>PP&amp;E</t>
  </si>
  <si>
    <t>Prepaids</t>
  </si>
  <si>
    <t>AR</t>
  </si>
  <si>
    <t>AP</t>
  </si>
  <si>
    <t>Compensation</t>
  </si>
  <si>
    <t>D/R</t>
  </si>
  <si>
    <t>Dividends</t>
  </si>
  <si>
    <t>Other</t>
  </si>
  <si>
    <t>S/E</t>
  </si>
  <si>
    <t>L+SE</t>
  </si>
  <si>
    <t>Net Cash</t>
  </si>
  <si>
    <t>Irwin acquisition</t>
  </si>
  <si>
    <t>FactSet caught up at IB in the last 10 years, was always leader on the buyside.</t>
  </si>
  <si>
    <t>Americas</t>
  </si>
  <si>
    <t>EMEA</t>
  </si>
  <si>
    <t>AsiaPac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</si>
</sst>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3" fontId="3" fillId="0" borderId="0" xfId="0" applyNumberFormat="1" applyFont="1"/>
    <xf numFmtId="0" fontId="3" fillId="0" borderId="0" xfId="0" applyFont="1"/>
    <xf numFmtId="9" fontId="3" fillId="0" borderId="0" xfId="0" applyNumberFormat="1" applyFont="1"/>
    <xf numFmtId="9" fontId="1" fillId="0" borderId="0" xfId="0" applyNumberFormat="1" applyFont="1"/>
    <xf numFmtId="0" fontId="4" fillId="0" borderId="0" xfId="1" applyFont="1"/>
    <xf numFmtId="164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34192</xdr:colOff>
      <xdr:row>0</xdr:row>
      <xdr:rowOff>0</xdr:rowOff>
    </xdr:from>
    <xdr:to>
      <xdr:col>21</xdr:col>
      <xdr:colOff>34192</xdr:colOff>
      <xdr:row>51</xdr:row>
      <xdr:rowOff>122116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42593DA-D5E2-090B-C25C-959C79F8A29D}"/>
            </a:ext>
          </a:extLst>
        </xdr:cNvPr>
        <xdr:cNvCxnSpPr/>
      </xdr:nvCxnSpPr>
      <xdr:spPr>
        <a:xfrm>
          <a:off x="13203115" y="0"/>
          <a:ext cx="0" cy="835269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29308</xdr:colOff>
      <xdr:row>0</xdr:row>
      <xdr:rowOff>14654</xdr:rowOff>
    </xdr:from>
    <xdr:to>
      <xdr:col>10</xdr:col>
      <xdr:colOff>29308</xdr:colOff>
      <xdr:row>47</xdr:row>
      <xdr:rowOff>63500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BBD7B639-BB4E-04E7-E7C7-E884EFEA49F7}"/>
            </a:ext>
          </a:extLst>
        </xdr:cNvPr>
        <xdr:cNvCxnSpPr/>
      </xdr:nvCxnSpPr>
      <xdr:spPr>
        <a:xfrm>
          <a:off x="6481885" y="14654"/>
          <a:ext cx="0" cy="763465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F9BDA-D2BF-446C-9F36-4667C48A9AC4}">
  <dimension ref="B2:M10"/>
  <sheetViews>
    <sheetView workbookViewId="0">
      <selection activeCell="L3" sqref="L3"/>
    </sheetView>
  </sheetViews>
  <sheetFormatPr defaultRowHeight="12.5" x14ac:dyDescent="0.25"/>
  <cols>
    <col min="1" max="16384" width="8.7265625" style="1"/>
  </cols>
  <sheetData>
    <row r="2" spans="2:13" x14ac:dyDescent="0.25">
      <c r="B2" s="1" t="s">
        <v>0</v>
      </c>
      <c r="K2" s="1" t="s">
        <v>1</v>
      </c>
      <c r="L2" s="2">
        <v>272</v>
      </c>
    </row>
    <row r="3" spans="2:13" x14ac:dyDescent="0.25">
      <c r="K3" s="1" t="s">
        <v>2</v>
      </c>
      <c r="L3" s="3">
        <v>37.806773999999997</v>
      </c>
      <c r="M3" s="4" t="s">
        <v>7</v>
      </c>
    </row>
    <row r="4" spans="2:13" x14ac:dyDescent="0.25">
      <c r="K4" s="1" t="s">
        <v>3</v>
      </c>
      <c r="L4" s="3">
        <f>+L2*L3</f>
        <v>10283.442528</v>
      </c>
      <c r="M4" s="4"/>
    </row>
    <row r="5" spans="2:13" x14ac:dyDescent="0.25">
      <c r="K5" s="1" t="s">
        <v>4</v>
      </c>
      <c r="L5" s="3">
        <v>364</v>
      </c>
      <c r="M5" s="4" t="s">
        <v>7</v>
      </c>
    </row>
    <row r="6" spans="2:13" x14ac:dyDescent="0.25">
      <c r="K6" s="1" t="s">
        <v>5</v>
      </c>
      <c r="L6" s="3">
        <v>1430</v>
      </c>
      <c r="M6" s="4" t="s">
        <v>7</v>
      </c>
    </row>
    <row r="7" spans="2:13" x14ac:dyDescent="0.25">
      <c r="K7" s="1" t="s">
        <v>6</v>
      </c>
      <c r="L7" s="3">
        <f>+L4-L5+L6</f>
        <v>11349.442528</v>
      </c>
    </row>
    <row r="9" spans="2:13" x14ac:dyDescent="0.25">
      <c r="B9" s="1" t="s">
        <v>38</v>
      </c>
    </row>
    <row r="10" spans="2:13" x14ac:dyDescent="0.25">
      <c r="B10" s="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864B9-A3B3-4CF9-8EAC-C92C912F365A}">
  <dimension ref="A1:Z47"/>
  <sheetViews>
    <sheetView tabSelected="1" zoomScale="130" zoomScaleNormal="130" workbookViewId="0">
      <pane xSplit="2" ySplit="2" topLeftCell="N3" activePane="bottomRight" state="frozen"/>
      <selection pane="topRight" activeCell="C1" sqref="C1"/>
      <selection pane="bottomLeft" activeCell="A3" sqref="A3"/>
      <selection pane="bottomRight" activeCell="Q17" sqref="Q17"/>
    </sheetView>
  </sheetViews>
  <sheetFormatPr defaultRowHeight="12.5" x14ac:dyDescent="0.25"/>
  <cols>
    <col min="1" max="1" width="4.7265625" style="1" bestFit="1" customWidth="1"/>
    <col min="2" max="2" width="15.26953125" style="1" bestFit="1" customWidth="1"/>
    <col min="3" max="9" width="9.08984375" style="1" customWidth="1"/>
    <col min="10" max="16384" width="8.7265625" style="1"/>
  </cols>
  <sheetData>
    <row r="1" spans="1:26" x14ac:dyDescent="0.25">
      <c r="A1" s="9" t="s">
        <v>8</v>
      </c>
    </row>
    <row r="2" spans="1:26" s="10" customFormat="1" x14ac:dyDescent="0.25">
      <c r="C2" s="10">
        <v>45260</v>
      </c>
      <c r="D2" s="10">
        <v>45351</v>
      </c>
      <c r="E2" s="10">
        <v>45443</v>
      </c>
      <c r="F2" s="10">
        <f>+T2</f>
        <v>45535</v>
      </c>
      <c r="G2" s="10">
        <v>45626</v>
      </c>
      <c r="H2" s="10">
        <v>45716</v>
      </c>
      <c r="I2" s="10">
        <v>45808</v>
      </c>
      <c r="J2" s="10">
        <v>45900</v>
      </c>
      <c r="K2" s="10">
        <f>+G2+365</f>
        <v>45991</v>
      </c>
      <c r="L2" s="10">
        <f>+H2+365</f>
        <v>46081</v>
      </c>
      <c r="M2" s="10">
        <f>+I2+365</f>
        <v>46173</v>
      </c>
      <c r="N2" s="10">
        <f>+J2+365</f>
        <v>46265</v>
      </c>
      <c r="Q2" s="10">
        <v>44439</v>
      </c>
      <c r="R2" s="10">
        <v>44804</v>
      </c>
      <c r="S2" s="10">
        <f>+R2+365</f>
        <v>45169</v>
      </c>
      <c r="T2" s="10">
        <f>+S2+366</f>
        <v>45535</v>
      </c>
      <c r="U2" s="10">
        <v>45900</v>
      </c>
      <c r="V2" s="10">
        <f>+U2+365</f>
        <v>46265</v>
      </c>
      <c r="W2" s="10">
        <f>+V2+365</f>
        <v>46630</v>
      </c>
      <c r="X2" s="10">
        <f>+W2+365</f>
        <v>46995</v>
      </c>
      <c r="Y2" s="10">
        <f>+X2+365</f>
        <v>47360</v>
      </c>
      <c r="Z2" s="10">
        <f>+Y2+365</f>
        <v>47725</v>
      </c>
    </row>
    <row r="3" spans="1:26" s="10" customFormat="1" x14ac:dyDescent="0.25">
      <c r="B3" s="10" t="s">
        <v>39</v>
      </c>
      <c r="U3" s="3"/>
    </row>
    <row r="4" spans="1:26" s="10" customFormat="1" x14ac:dyDescent="0.25">
      <c r="B4" s="10" t="s">
        <v>40</v>
      </c>
    </row>
    <row r="5" spans="1:26" s="10" customFormat="1" x14ac:dyDescent="0.25">
      <c r="B5" s="10" t="s">
        <v>41</v>
      </c>
    </row>
    <row r="6" spans="1:26" s="10" customFormat="1" x14ac:dyDescent="0.25"/>
    <row r="7" spans="1:26" s="5" customFormat="1" ht="13" x14ac:dyDescent="0.3">
      <c r="B7" s="5" t="s">
        <v>9</v>
      </c>
      <c r="C7" s="5">
        <v>542.21600000000001</v>
      </c>
      <c r="D7" s="5">
        <v>545.94500000000005</v>
      </c>
      <c r="E7" s="5">
        <v>552.70799999999997</v>
      </c>
      <c r="F7" s="5">
        <f>+T7-E7-D7-C7</f>
        <v>562.18699999999978</v>
      </c>
      <c r="G7" s="5">
        <v>568.66700000000003</v>
      </c>
      <c r="H7" s="5">
        <v>570.66</v>
      </c>
      <c r="I7" s="5">
        <v>585.52</v>
      </c>
      <c r="J7" s="5">
        <f>+U7-I7-H7-G7</f>
        <v>596.90100000000018</v>
      </c>
      <c r="K7" s="5">
        <v>600</v>
      </c>
      <c r="L7" s="5">
        <v>603</v>
      </c>
      <c r="M7" s="5">
        <v>613</v>
      </c>
      <c r="N7" s="5">
        <v>626</v>
      </c>
      <c r="R7" s="5">
        <v>1843.8920000000001</v>
      </c>
      <c r="S7" s="5">
        <v>2085.5079999999998</v>
      </c>
      <c r="T7" s="5">
        <v>2203.056</v>
      </c>
      <c r="U7" s="5">
        <v>2321.748</v>
      </c>
      <c r="V7" s="5">
        <f>SUM(K7:N7)</f>
        <v>2442</v>
      </c>
      <c r="W7" s="5">
        <v>2570</v>
      </c>
    </row>
    <row r="8" spans="1:26" s="3" customFormat="1" x14ac:dyDescent="0.25">
      <c r="B8" s="3" t="s">
        <v>10</v>
      </c>
      <c r="C8" s="3">
        <v>251.62100000000001</v>
      </c>
      <c r="D8" s="3">
        <v>255.142</v>
      </c>
      <c r="E8" s="3">
        <v>246.98599999999999</v>
      </c>
      <c r="F8" s="3">
        <f>+T8-E8-D8-C8</f>
        <v>258.19600000000003</v>
      </c>
      <c r="G8" s="3">
        <v>258.779</v>
      </c>
      <c r="H8" s="3">
        <v>269.60399999999998</v>
      </c>
      <c r="I8" s="3">
        <v>280.72899999999998</v>
      </c>
      <c r="J8" s="3">
        <f>+U8-I8-H8-G8</f>
        <v>288.66999999999985</v>
      </c>
      <c r="K8" s="3">
        <f>+K7-K9</f>
        <v>288</v>
      </c>
      <c r="L8" s="3">
        <f>+L7-L9</f>
        <v>289.44</v>
      </c>
      <c r="M8" s="3">
        <f>+M7-M9</f>
        <v>294.24</v>
      </c>
      <c r="N8" s="3">
        <f>+N7-N9</f>
        <v>300.47999999999996</v>
      </c>
      <c r="R8" s="3">
        <v>871.10599999999999</v>
      </c>
      <c r="S8" s="3">
        <v>973.22500000000002</v>
      </c>
      <c r="T8" s="3">
        <v>1011.9450000000001</v>
      </c>
      <c r="U8" s="3">
        <v>1097.7819999999999</v>
      </c>
      <c r="V8" s="3">
        <f>SUM(K8:N8)</f>
        <v>1172.1600000000001</v>
      </c>
      <c r="W8" s="3">
        <f>+W7-W9</f>
        <v>1233.5999999999999</v>
      </c>
    </row>
    <row r="9" spans="1:26" s="3" customFormat="1" x14ac:dyDescent="0.25">
      <c r="B9" s="3" t="s">
        <v>11</v>
      </c>
      <c r="C9" s="3">
        <f t="shared" ref="C9:J9" si="0">+C7-C8</f>
        <v>290.59500000000003</v>
      </c>
      <c r="D9" s="3">
        <f t="shared" si="0"/>
        <v>290.80300000000005</v>
      </c>
      <c r="E9" s="3">
        <f t="shared" si="0"/>
        <v>305.72199999999998</v>
      </c>
      <c r="F9" s="3">
        <f t="shared" si="0"/>
        <v>303.99099999999976</v>
      </c>
      <c r="G9" s="3">
        <f t="shared" si="0"/>
        <v>309.88800000000003</v>
      </c>
      <c r="H9" s="3">
        <f t="shared" si="0"/>
        <v>301.05599999999998</v>
      </c>
      <c r="I9" s="3">
        <f t="shared" si="0"/>
        <v>304.791</v>
      </c>
      <c r="J9" s="3">
        <f t="shared" si="0"/>
        <v>308.23100000000034</v>
      </c>
      <c r="K9" s="3">
        <f>+K7*0.52</f>
        <v>312</v>
      </c>
      <c r="L9" s="3">
        <f>+L7*0.52</f>
        <v>313.56</v>
      </c>
      <c r="M9" s="3">
        <f>+M7*0.52</f>
        <v>318.76</v>
      </c>
      <c r="N9" s="3">
        <f>+N7*0.52</f>
        <v>325.52000000000004</v>
      </c>
      <c r="Q9" s="3">
        <f>+Q7-Q8</f>
        <v>0</v>
      </c>
      <c r="R9" s="3">
        <f>+R7-R8</f>
        <v>972.78600000000006</v>
      </c>
      <c r="S9" s="3">
        <f>+S7-S8</f>
        <v>1112.2829999999999</v>
      </c>
      <c r="T9" s="3">
        <f>+T7-T8</f>
        <v>1191.1109999999999</v>
      </c>
      <c r="U9" s="3">
        <f>+U7-U8</f>
        <v>1223.9660000000001</v>
      </c>
      <c r="V9" s="3">
        <f>+V7-V8</f>
        <v>1269.8399999999999</v>
      </c>
      <c r="W9" s="3">
        <f>+W7*0.52</f>
        <v>1336.4</v>
      </c>
    </row>
    <row r="10" spans="1:26" s="3" customFormat="1" x14ac:dyDescent="0.25">
      <c r="B10" s="3" t="s">
        <v>12</v>
      </c>
      <c r="C10" s="3">
        <v>101.55500000000001</v>
      </c>
      <c r="D10" s="3">
        <v>108.861</v>
      </c>
      <c r="E10" s="3">
        <v>103.26300000000001</v>
      </c>
      <c r="F10" s="3">
        <f>+T10-E10-D10-C10</f>
        <v>171.45599999999996</v>
      </c>
      <c r="G10" s="3">
        <v>118.553</v>
      </c>
      <c r="H10" s="3">
        <v>115.56399999999999</v>
      </c>
      <c r="I10" s="3">
        <v>110.636</v>
      </c>
      <c r="J10" s="3">
        <f>+U10-I10-H10-G10</f>
        <v>130.91000000000005</v>
      </c>
      <c r="K10" s="3">
        <f>+G10*1.03</f>
        <v>122.10959</v>
      </c>
      <c r="L10" s="3">
        <f>+H10*1.03</f>
        <v>119.03091999999999</v>
      </c>
      <c r="M10" s="3">
        <f>+I10*1.03</f>
        <v>113.95508</v>
      </c>
      <c r="N10" s="3">
        <f>+J10*1.03</f>
        <v>134.83730000000006</v>
      </c>
      <c r="R10" s="3">
        <v>433.03199999999998</v>
      </c>
      <c r="S10" s="3">
        <v>457.13</v>
      </c>
      <c r="T10" s="3">
        <v>485.13499999999999</v>
      </c>
      <c r="U10" s="3">
        <v>475.66300000000001</v>
      </c>
      <c r="V10" s="3">
        <f>SUM(K10:N10)</f>
        <v>489.93289000000004</v>
      </c>
      <c r="W10" s="3">
        <f>+V10*1.03</f>
        <v>504.63087670000004</v>
      </c>
    </row>
    <row r="11" spans="1:26" s="3" customFormat="1" x14ac:dyDescent="0.25">
      <c r="B11" s="3" t="s">
        <v>13</v>
      </c>
      <c r="C11" s="3">
        <f t="shared" ref="C11:N11" si="1">+C9-C10</f>
        <v>189.04000000000002</v>
      </c>
      <c r="D11" s="3">
        <f t="shared" si="1"/>
        <v>181.94200000000006</v>
      </c>
      <c r="E11" s="3">
        <f t="shared" si="1"/>
        <v>202.45899999999997</v>
      </c>
      <c r="F11" s="3">
        <f t="shared" si="1"/>
        <v>132.5349999999998</v>
      </c>
      <c r="G11" s="3">
        <f t="shared" si="1"/>
        <v>191.33500000000004</v>
      </c>
      <c r="H11" s="3">
        <f t="shared" si="1"/>
        <v>185.49199999999999</v>
      </c>
      <c r="I11" s="3">
        <f t="shared" si="1"/>
        <v>194.155</v>
      </c>
      <c r="J11" s="3">
        <f t="shared" si="1"/>
        <v>177.32100000000028</v>
      </c>
      <c r="K11" s="3">
        <f t="shared" si="1"/>
        <v>189.89041</v>
      </c>
      <c r="L11" s="3">
        <f t="shared" si="1"/>
        <v>194.52908000000002</v>
      </c>
      <c r="M11" s="3">
        <f t="shared" si="1"/>
        <v>204.80491999999998</v>
      </c>
      <c r="N11" s="3">
        <f t="shared" si="1"/>
        <v>190.68269999999998</v>
      </c>
      <c r="Q11" s="3">
        <f>+Q9-Q10</f>
        <v>0</v>
      </c>
      <c r="R11" s="3">
        <f>+R9-R10</f>
        <v>539.75400000000013</v>
      </c>
      <c r="S11" s="3">
        <f>+S9-S10</f>
        <v>655.15299999999991</v>
      </c>
      <c r="T11" s="3">
        <f>+T9-T10</f>
        <v>705.97599999999989</v>
      </c>
      <c r="U11" s="3">
        <f>+U9-U10</f>
        <v>748.30300000000011</v>
      </c>
      <c r="V11" s="3">
        <f>+V9-V10</f>
        <v>779.90710999999988</v>
      </c>
      <c r="W11" s="3">
        <f>+W9-W10</f>
        <v>831.76912330000005</v>
      </c>
    </row>
    <row r="12" spans="1:26" s="3" customFormat="1" x14ac:dyDescent="0.25">
      <c r="B12" s="3" t="s">
        <v>14</v>
      </c>
      <c r="C12" s="3">
        <v>-13.843999999999999</v>
      </c>
      <c r="D12" s="3">
        <f>2.847-16.599+0.455</f>
        <v>-13.297000000000001</v>
      </c>
      <c r="E12" s="3">
        <f>4.568-16.894</f>
        <v>-12.325999999999999</v>
      </c>
      <c r="F12" s="3">
        <f>+T12-E12-D12-C12</f>
        <v>-10.328999999999999</v>
      </c>
      <c r="G12" s="3">
        <f>2.701-14.4+0.103</f>
        <v>-11.596</v>
      </c>
      <c r="H12" s="3">
        <f>0.273-13.916+0.471</f>
        <v>-13.172000000000001</v>
      </c>
      <c r="I12" s="3">
        <f>1.509-15.122-0.594</f>
        <v>-14.206999999999999</v>
      </c>
      <c r="J12" s="3">
        <f>+U12-I12-H12-G12</f>
        <v>-10.815999999999995</v>
      </c>
      <c r="K12" s="3">
        <f>+J12</f>
        <v>-10.815999999999995</v>
      </c>
      <c r="L12" s="3">
        <f>+K12</f>
        <v>-10.815999999999995</v>
      </c>
      <c r="M12" s="3">
        <f>+L12</f>
        <v>-10.815999999999995</v>
      </c>
      <c r="N12" s="3">
        <f>+M12</f>
        <v>-10.815999999999995</v>
      </c>
      <c r="R12" s="3">
        <v>-31.888000000000002</v>
      </c>
      <c r="S12" s="3">
        <v>-45.253</v>
      </c>
      <c r="T12" s="3">
        <v>-49.795999999999999</v>
      </c>
      <c r="U12" s="3">
        <f>-56.324+6.533</f>
        <v>-49.790999999999997</v>
      </c>
      <c r="V12" s="3">
        <f>+U12+5</f>
        <v>-44.790999999999997</v>
      </c>
      <c r="W12" s="3">
        <f>+V12+5</f>
        <v>-39.790999999999997</v>
      </c>
    </row>
    <row r="13" spans="1:26" s="3" customFormat="1" x14ac:dyDescent="0.25">
      <c r="B13" s="3" t="s">
        <v>15</v>
      </c>
      <c r="C13" s="3">
        <f t="shared" ref="C13:N13" si="2">+C11+C12</f>
        <v>175.19600000000003</v>
      </c>
      <c r="D13" s="3">
        <f t="shared" si="2"/>
        <v>168.64500000000007</v>
      </c>
      <c r="E13" s="3">
        <f t="shared" si="2"/>
        <v>190.13299999999998</v>
      </c>
      <c r="F13" s="3">
        <f t="shared" si="2"/>
        <v>122.2059999999998</v>
      </c>
      <c r="G13" s="3">
        <f t="shared" si="2"/>
        <v>179.73900000000003</v>
      </c>
      <c r="H13" s="3">
        <f t="shared" si="2"/>
        <v>172.32</v>
      </c>
      <c r="I13" s="3">
        <f t="shared" si="2"/>
        <v>179.94800000000001</v>
      </c>
      <c r="J13" s="3">
        <f t="shared" si="2"/>
        <v>166.50500000000028</v>
      </c>
      <c r="K13" s="3">
        <f t="shared" si="2"/>
        <v>179.07441</v>
      </c>
      <c r="L13" s="3">
        <f t="shared" si="2"/>
        <v>183.71308000000002</v>
      </c>
      <c r="M13" s="3">
        <f t="shared" si="2"/>
        <v>193.98891999999998</v>
      </c>
      <c r="N13" s="3">
        <f t="shared" si="2"/>
        <v>179.86669999999998</v>
      </c>
      <c r="Q13" s="3">
        <f>+Q11+Q12</f>
        <v>0</v>
      </c>
      <c r="R13" s="3">
        <f>+R11+R12</f>
        <v>507.86600000000016</v>
      </c>
      <c r="S13" s="3">
        <f>+S11+S12</f>
        <v>609.89999999999986</v>
      </c>
      <c r="T13" s="3">
        <f>+T11+T12</f>
        <v>656.17999999999984</v>
      </c>
      <c r="U13" s="3">
        <f>+U11+U12</f>
        <v>698.51200000000017</v>
      </c>
      <c r="V13" s="3">
        <f>+V11+V12</f>
        <v>735.11610999999994</v>
      </c>
      <c r="W13" s="3">
        <f>+W11+W12</f>
        <v>791.97812330000011</v>
      </c>
    </row>
    <row r="14" spans="1:26" s="3" customFormat="1" x14ac:dyDescent="0.25">
      <c r="B14" s="3" t="s">
        <v>17</v>
      </c>
      <c r="C14" s="3">
        <v>26.640999999999998</v>
      </c>
      <c r="D14" s="3">
        <v>27.704999999999998</v>
      </c>
      <c r="E14" s="3">
        <v>32.396999999999998</v>
      </c>
      <c r="F14" s="3">
        <f>+T14-E14-D14-C14</f>
        <v>27.633999999999993</v>
      </c>
      <c r="G14" s="3">
        <v>29.716999999999999</v>
      </c>
      <c r="H14" s="3">
        <v>27.46</v>
      </c>
      <c r="I14" s="3">
        <v>31.405999999999999</v>
      </c>
      <c r="J14" s="3">
        <f>+U14-I14-H14-G14</f>
        <v>35.334999999999994</v>
      </c>
      <c r="K14" s="3">
        <f>+K13*0.2</f>
        <v>35.814882000000004</v>
      </c>
      <c r="L14" s="3">
        <f>+L13*0.2</f>
        <v>36.742616000000005</v>
      </c>
      <c r="M14" s="3">
        <f>+M13*0.2</f>
        <v>38.797784</v>
      </c>
      <c r="N14" s="3">
        <f>+N13*0.2</f>
        <v>35.97334</v>
      </c>
      <c r="R14" s="3">
        <v>46.677</v>
      </c>
      <c r="S14" s="3">
        <v>115.78100000000001</v>
      </c>
      <c r="T14" s="3">
        <v>114.377</v>
      </c>
      <c r="U14" s="3">
        <v>123.91800000000001</v>
      </c>
      <c r="V14" s="3">
        <f>+V13*0.2</f>
        <v>147.023222</v>
      </c>
      <c r="W14" s="3">
        <f>+W13*0.2</f>
        <v>158.39562466000004</v>
      </c>
    </row>
    <row r="15" spans="1:26" s="3" customFormat="1" x14ac:dyDescent="0.25">
      <c r="B15" s="3" t="s">
        <v>16</v>
      </c>
      <c r="C15" s="3">
        <f t="shared" ref="C15:N15" si="3">+C13-C14</f>
        <v>148.55500000000004</v>
      </c>
      <c r="D15" s="3">
        <f t="shared" si="3"/>
        <v>140.94000000000005</v>
      </c>
      <c r="E15" s="3">
        <f t="shared" si="3"/>
        <v>157.73599999999999</v>
      </c>
      <c r="F15" s="3">
        <f t="shared" si="3"/>
        <v>94.571999999999804</v>
      </c>
      <c r="G15" s="3">
        <f t="shared" si="3"/>
        <v>150.02200000000005</v>
      </c>
      <c r="H15" s="3">
        <f t="shared" si="3"/>
        <v>144.85999999999999</v>
      </c>
      <c r="I15" s="3">
        <f t="shared" si="3"/>
        <v>148.542</v>
      </c>
      <c r="J15" s="3">
        <f t="shared" si="3"/>
        <v>131.1700000000003</v>
      </c>
      <c r="K15" s="3">
        <f t="shared" si="3"/>
        <v>143.25952799999999</v>
      </c>
      <c r="L15" s="3">
        <f t="shared" si="3"/>
        <v>146.97046400000002</v>
      </c>
      <c r="M15" s="3">
        <f t="shared" si="3"/>
        <v>155.19113599999997</v>
      </c>
      <c r="N15" s="3">
        <f t="shared" si="3"/>
        <v>143.89335999999997</v>
      </c>
      <c r="Q15" s="3">
        <f>+Q13-Q14</f>
        <v>0</v>
      </c>
      <c r="R15" s="3">
        <f>+R13-R14</f>
        <v>461.18900000000014</v>
      </c>
      <c r="S15" s="3">
        <f>+S13-S14</f>
        <v>494.11899999999986</v>
      </c>
      <c r="T15" s="3">
        <f>+T13-T14</f>
        <v>541.80299999999988</v>
      </c>
      <c r="U15" s="3">
        <f>+U13-U14</f>
        <v>574.59400000000016</v>
      </c>
      <c r="V15" s="3">
        <f>+V13-V14</f>
        <v>588.0928879999999</v>
      </c>
      <c r="W15" s="3">
        <f>+W13-W14</f>
        <v>633.58249864000004</v>
      </c>
    </row>
    <row r="16" spans="1:26" x14ac:dyDescent="0.25">
      <c r="B16" s="1" t="s">
        <v>18</v>
      </c>
      <c r="C16" s="2">
        <f t="shared" ref="C16:K16" si="4">+C15/C17</f>
        <v>3.8442926273840032</v>
      </c>
      <c r="D16" s="2">
        <f t="shared" si="4"/>
        <v>3.6465717981888761</v>
      </c>
      <c r="E16" s="2">
        <f t="shared" si="4"/>
        <v>4.0821946169772252</v>
      </c>
      <c r="F16" s="2">
        <f t="shared" si="4"/>
        <v>2.4489098347920608</v>
      </c>
      <c r="G16" s="2">
        <f t="shared" si="4"/>
        <v>3.8949554742061956</v>
      </c>
      <c r="H16" s="2">
        <f t="shared" si="4"/>
        <v>3.7616203583484809</v>
      </c>
      <c r="I16" s="2">
        <f t="shared" si="4"/>
        <v>3.8739307323179637</v>
      </c>
      <c r="J16" s="2">
        <f t="shared" si="4"/>
        <v>3.4208741915293213</v>
      </c>
      <c r="K16" s="2">
        <f t="shared" si="4"/>
        <v>3.73616544961402</v>
      </c>
      <c r="L16" s="2">
        <f t="shared" ref="L16:N16" si="5">+L15/L17</f>
        <v>3.8329455455873154</v>
      </c>
      <c r="M16" s="2">
        <f t="shared" si="5"/>
        <v>4.0473382015439174</v>
      </c>
      <c r="N16" s="2">
        <f t="shared" si="5"/>
        <v>3.7526955977467131</v>
      </c>
      <c r="Q16" s="2" t="e">
        <f>+Q15/Q17</f>
        <v>#DIV/0!</v>
      </c>
      <c r="R16" s="2">
        <f>+R15/R17</f>
        <v>11.90595311854606</v>
      </c>
      <c r="S16" s="2">
        <f>+S15/S17</f>
        <v>12.70294102524551</v>
      </c>
      <c r="T16" s="2">
        <f>+T15/T17</f>
        <v>14.029804754259668</v>
      </c>
      <c r="U16" s="2">
        <f>+U15/U17</f>
        <v>14.96923277321871</v>
      </c>
      <c r="V16" s="2">
        <f>+V15/V17</f>
        <v>15.320903686335807</v>
      </c>
      <c r="W16" s="2">
        <f>+W15/W17</f>
        <v>16.505991888498112</v>
      </c>
    </row>
    <row r="17" spans="2:23" s="3" customFormat="1" x14ac:dyDescent="0.25">
      <c r="B17" s="3" t="s">
        <v>2</v>
      </c>
      <c r="C17" s="3">
        <v>38.643000000000001</v>
      </c>
      <c r="D17" s="3">
        <v>38.65</v>
      </c>
      <c r="E17" s="3">
        <v>38.64</v>
      </c>
      <c r="F17" s="3">
        <f>+T17</f>
        <v>38.618000000000002</v>
      </c>
      <c r="G17" s="3">
        <v>38.517000000000003</v>
      </c>
      <c r="H17" s="3">
        <v>38.51</v>
      </c>
      <c r="I17" s="3">
        <v>38.344000000000001</v>
      </c>
      <c r="J17" s="3">
        <f>+I17</f>
        <v>38.344000000000001</v>
      </c>
      <c r="K17" s="3">
        <f>+J17</f>
        <v>38.344000000000001</v>
      </c>
      <c r="L17" s="3">
        <f t="shared" ref="L17:N17" si="6">+K17</f>
        <v>38.344000000000001</v>
      </c>
      <c r="M17" s="3">
        <f t="shared" si="6"/>
        <v>38.344000000000001</v>
      </c>
      <c r="N17" s="3">
        <f t="shared" si="6"/>
        <v>38.344000000000001</v>
      </c>
      <c r="R17" s="3">
        <v>38.735999999999997</v>
      </c>
      <c r="S17" s="3">
        <v>38.898000000000003</v>
      </c>
      <c r="T17" s="3">
        <v>38.618000000000002</v>
      </c>
      <c r="U17" s="3">
        <v>38.384999999999998</v>
      </c>
      <c r="V17" s="3">
        <f>+U17</f>
        <v>38.384999999999998</v>
      </c>
      <c r="W17" s="3">
        <f>+V17</f>
        <v>38.384999999999998</v>
      </c>
    </row>
    <row r="19" spans="2:23" s="6" customFormat="1" ht="13" x14ac:dyDescent="0.3">
      <c r="B19" s="5" t="s">
        <v>19</v>
      </c>
      <c r="C19" s="5"/>
      <c r="G19" s="7">
        <f>+G7/C7-1</f>
        <v>4.8783141773758087E-2</v>
      </c>
      <c r="H19" s="7">
        <f>+H7/D7-1</f>
        <v>4.5270127943290772E-2</v>
      </c>
      <c r="I19" s="7">
        <f>+I7/E7-1</f>
        <v>5.9365885784175454E-2</v>
      </c>
      <c r="J19" s="7">
        <f>+J7/F7-1</f>
        <v>6.1748137185670293E-2</v>
      </c>
      <c r="K19" s="7">
        <f>+K7/G7-1</f>
        <v>5.5099029836441993E-2</v>
      </c>
      <c r="L19" s="7">
        <f>+L7/H7-1</f>
        <v>5.667122279465886E-2</v>
      </c>
      <c r="M19" s="7">
        <f>+M7/I7-1</f>
        <v>4.6932641071184555E-2</v>
      </c>
      <c r="N19" s="7">
        <f>+N7/J7-1</f>
        <v>4.875012774312637E-2</v>
      </c>
      <c r="S19" s="7">
        <f>+S7/R7-1</f>
        <v>0.13103587411844053</v>
      </c>
      <c r="T19" s="7">
        <f>+T7/S7-1</f>
        <v>5.6364204788473815E-2</v>
      </c>
      <c r="U19" s="7">
        <f>+U7/T7-1</f>
        <v>5.3876070331394299E-2</v>
      </c>
      <c r="V19" s="7">
        <f>+V7/U7-1</f>
        <v>5.1793734720563922E-2</v>
      </c>
      <c r="W19" s="7">
        <f>+W7/V7-1</f>
        <v>5.2416052416052406E-2</v>
      </c>
    </row>
    <row r="20" spans="2:23" x14ac:dyDescent="0.25">
      <c r="B20" s="1" t="s">
        <v>20</v>
      </c>
      <c r="C20" s="8">
        <f t="shared" ref="C20:N20" si="7">+C9/C7</f>
        <v>0.53593955176534813</v>
      </c>
      <c r="D20" s="8">
        <f t="shared" si="7"/>
        <v>0.5326598833215801</v>
      </c>
      <c r="E20" s="8">
        <f t="shared" si="7"/>
        <v>0.55313474746158908</v>
      </c>
      <c r="F20" s="8">
        <f t="shared" si="7"/>
        <v>0.54072933027622461</v>
      </c>
      <c r="G20" s="8">
        <f t="shared" si="7"/>
        <v>0.54493754692992558</v>
      </c>
      <c r="H20" s="8">
        <f t="shared" si="7"/>
        <v>0.52755756492482386</v>
      </c>
      <c r="I20" s="8">
        <f t="shared" si="7"/>
        <v>0.52054754747916387</v>
      </c>
      <c r="J20" s="8">
        <f t="shared" si="7"/>
        <v>0.51638546425621712</v>
      </c>
      <c r="K20" s="8">
        <f t="shared" si="7"/>
        <v>0.52</v>
      </c>
      <c r="L20" s="8">
        <f t="shared" si="7"/>
        <v>0.52</v>
      </c>
      <c r="M20" s="8">
        <f t="shared" si="7"/>
        <v>0.52</v>
      </c>
      <c r="N20" s="8">
        <f t="shared" si="7"/>
        <v>0.52</v>
      </c>
      <c r="Q20" s="8" t="e">
        <f t="shared" ref="Q20" si="8">+Q9/Q7</f>
        <v>#DIV/0!</v>
      </c>
      <c r="R20" s="8">
        <f t="shared" ref="R20:W20" si="9">+R9/R7</f>
        <v>0.52757211376805146</v>
      </c>
      <c r="S20" s="8">
        <f t="shared" si="9"/>
        <v>0.53333911929371647</v>
      </c>
      <c r="T20" s="8">
        <f t="shared" si="9"/>
        <v>0.54066306076649884</v>
      </c>
      <c r="U20" s="8">
        <f t="shared" si="9"/>
        <v>0.52717435311670346</v>
      </c>
      <c r="V20" s="8">
        <f t="shared" si="9"/>
        <v>0.52</v>
      </c>
      <c r="W20" s="8">
        <f t="shared" si="9"/>
        <v>0.52</v>
      </c>
    </row>
    <row r="23" spans="2:23" x14ac:dyDescent="0.25">
      <c r="B23" s="1" t="s">
        <v>36</v>
      </c>
      <c r="I23" s="3">
        <f>+I24-I40</f>
        <v>-1066.1519999999998</v>
      </c>
      <c r="J23" s="3">
        <f>+J24-J40</f>
        <v>-1013.164</v>
      </c>
      <c r="K23" s="3">
        <f>+J23+K15</f>
        <v>-869.90447199999994</v>
      </c>
      <c r="L23" s="3">
        <f>+K23+L15</f>
        <v>-722.93400799999995</v>
      </c>
      <c r="M23" s="3">
        <f>+L23+M15</f>
        <v>-567.74287200000003</v>
      </c>
      <c r="N23" s="3">
        <f>+M23+N15</f>
        <v>-423.84951200000006</v>
      </c>
    </row>
    <row r="24" spans="2:23" s="3" customFormat="1" x14ac:dyDescent="0.25">
      <c r="B24" s="3" t="s">
        <v>4</v>
      </c>
      <c r="I24" s="3">
        <f>356.361+7.684</f>
        <v>364.04500000000002</v>
      </c>
      <c r="J24" s="3">
        <f>337.651+17.445</f>
        <v>355.096</v>
      </c>
    </row>
    <row r="25" spans="2:23" s="3" customFormat="1" x14ac:dyDescent="0.25">
      <c r="B25" s="3" t="s">
        <v>28</v>
      </c>
      <c r="I25" s="3">
        <v>271.851</v>
      </c>
      <c r="J25" s="3">
        <v>270.68400000000003</v>
      </c>
    </row>
    <row r="26" spans="2:23" s="3" customFormat="1" x14ac:dyDescent="0.25">
      <c r="B26" s="3" t="s">
        <v>27</v>
      </c>
      <c r="I26" s="3">
        <f>63.534+61.048</f>
        <v>124.58199999999999</v>
      </c>
      <c r="J26" s="3">
        <f>33.6+70.379</f>
        <v>103.97900000000001</v>
      </c>
    </row>
    <row r="27" spans="2:23" s="3" customFormat="1" x14ac:dyDescent="0.25">
      <c r="B27" s="3" t="s">
        <v>26</v>
      </c>
      <c r="I27" s="3">
        <v>79.626999999999995</v>
      </c>
      <c r="J27" s="3">
        <v>85.203000000000003</v>
      </c>
    </row>
    <row r="28" spans="2:23" s="3" customFormat="1" x14ac:dyDescent="0.25">
      <c r="B28" s="3" t="s">
        <v>25</v>
      </c>
      <c r="I28" s="3">
        <f>1277.855+1931.21</f>
        <v>3209.0650000000001</v>
      </c>
      <c r="J28" s="3">
        <f>1284.706+1916.102</f>
        <v>3200.808</v>
      </c>
    </row>
    <row r="29" spans="2:23" s="3" customFormat="1" x14ac:dyDescent="0.25">
      <c r="B29" s="3" t="s">
        <v>24</v>
      </c>
      <c r="I29" s="3">
        <v>66.87</v>
      </c>
      <c r="J29" s="3">
        <v>61.225999999999999</v>
      </c>
    </row>
    <row r="30" spans="2:23" s="3" customFormat="1" x14ac:dyDescent="0.25">
      <c r="B30" s="3" t="s">
        <v>23</v>
      </c>
      <c r="I30" s="3">
        <v>119.191</v>
      </c>
      <c r="J30" s="3">
        <v>121.776</v>
      </c>
    </row>
    <row r="31" spans="2:23" s="3" customFormat="1" x14ac:dyDescent="0.25">
      <c r="B31" s="3" t="s">
        <v>22</v>
      </c>
      <c r="I31" s="3">
        <v>103.53100000000001</v>
      </c>
      <c r="J31" s="3">
        <v>105.498</v>
      </c>
    </row>
    <row r="32" spans="2:23" s="3" customFormat="1" x14ac:dyDescent="0.25">
      <c r="B32" s="3" t="s">
        <v>21</v>
      </c>
      <c r="I32" s="3">
        <f>SUM(I24:I31)</f>
        <v>4338.7619999999997</v>
      </c>
      <c r="J32" s="3">
        <f>SUM(J24:J31)</f>
        <v>4304.2699999999995</v>
      </c>
    </row>
    <row r="33" spans="2:20" s="3" customFormat="1" x14ac:dyDescent="0.25"/>
    <row r="34" spans="2:20" s="3" customFormat="1" x14ac:dyDescent="0.25">
      <c r="B34" s="3" t="s">
        <v>29</v>
      </c>
      <c r="I34" s="3">
        <v>144.48699999999999</v>
      </c>
      <c r="J34" s="3">
        <v>135.262</v>
      </c>
    </row>
    <row r="35" spans="2:20" s="3" customFormat="1" x14ac:dyDescent="0.25">
      <c r="B35" s="3" t="s">
        <v>23</v>
      </c>
      <c r="I35" s="3">
        <f>33.219+157.088</f>
        <v>190.30699999999999</v>
      </c>
      <c r="J35" s="3">
        <f>33.145+157.104</f>
        <v>190.24900000000002</v>
      </c>
    </row>
    <row r="36" spans="2:20" s="3" customFormat="1" x14ac:dyDescent="0.25">
      <c r="B36" s="3" t="s">
        <v>30</v>
      </c>
      <c r="I36" s="3">
        <v>98.131</v>
      </c>
      <c r="J36" s="3">
        <v>130.596</v>
      </c>
    </row>
    <row r="37" spans="2:20" s="3" customFormat="1" x14ac:dyDescent="0.25">
      <c r="B37" s="3" t="s">
        <v>31</v>
      </c>
      <c r="I37" s="3">
        <f>170.897+0.312</f>
        <v>171.209</v>
      </c>
      <c r="J37" s="3">
        <v>167.852</v>
      </c>
    </row>
    <row r="38" spans="2:20" s="3" customFormat="1" x14ac:dyDescent="0.25">
      <c r="B38" s="3" t="s">
        <v>17</v>
      </c>
      <c r="I38" s="3">
        <f>30.545+16.573+48.072</f>
        <v>95.19</v>
      </c>
      <c r="J38" s="3">
        <f>13.041+14.902+45.095</f>
        <v>73.037999999999997</v>
      </c>
    </row>
    <row r="39" spans="2:20" s="3" customFormat="1" x14ac:dyDescent="0.25">
      <c r="B39" s="3" t="s">
        <v>32</v>
      </c>
      <c r="I39" s="3">
        <v>41.643999999999998</v>
      </c>
      <c r="J39" s="3">
        <v>41.41</v>
      </c>
    </row>
    <row r="40" spans="2:20" s="3" customFormat="1" x14ac:dyDescent="0.25">
      <c r="B40" s="3" t="s">
        <v>5</v>
      </c>
      <c r="I40" s="3">
        <v>1430.1969999999999</v>
      </c>
      <c r="J40" s="3">
        <v>1368.26</v>
      </c>
    </row>
    <row r="41" spans="2:20" s="3" customFormat="1" x14ac:dyDescent="0.25">
      <c r="B41" s="3" t="s">
        <v>33</v>
      </c>
      <c r="I41" s="3">
        <v>12.414999999999999</v>
      </c>
      <c r="J41" s="3">
        <v>10.568</v>
      </c>
    </row>
    <row r="42" spans="2:20" s="3" customFormat="1" x14ac:dyDescent="0.25">
      <c r="B42" s="3" t="s">
        <v>34</v>
      </c>
      <c r="I42" s="3">
        <v>2155.1819999999998</v>
      </c>
      <c r="J42" s="3">
        <v>2186.413</v>
      </c>
    </row>
    <row r="43" spans="2:20" s="3" customFormat="1" x14ac:dyDescent="0.25">
      <c r="B43" s="3" t="s">
        <v>35</v>
      </c>
      <c r="I43" s="3">
        <f>SUM(I34:I42)</f>
        <v>4338.7619999999997</v>
      </c>
      <c r="J43" s="3">
        <f>SUM(J34:J42)</f>
        <v>4303.6480000000001</v>
      </c>
    </row>
    <row r="45" spans="2:20" x14ac:dyDescent="0.25">
      <c r="Q45" s="3">
        <v>538.27700000000004</v>
      </c>
      <c r="R45" s="3">
        <v>538.27700000000004</v>
      </c>
      <c r="S45" s="3">
        <v>645.57299999999998</v>
      </c>
      <c r="T45" s="3">
        <v>700.33799999999997</v>
      </c>
    </row>
    <row r="46" spans="2:20" x14ac:dyDescent="0.25">
      <c r="Q46" s="3">
        <v>51.155999999999999</v>
      </c>
      <c r="R46" s="3">
        <v>51.155999999999999</v>
      </c>
      <c r="S46" s="3">
        <v>60.786000000000001</v>
      </c>
      <c r="T46" s="3">
        <v>85.680999999999997</v>
      </c>
    </row>
    <row r="47" spans="2:20" x14ac:dyDescent="0.25">
      <c r="Q47" s="3">
        <f>+Q45-Q46</f>
        <v>487.12100000000004</v>
      </c>
      <c r="R47" s="3">
        <f>+R45-R46</f>
        <v>487.12100000000004</v>
      </c>
      <c r="S47" s="3">
        <f>+S45-S46</f>
        <v>584.78700000000003</v>
      </c>
      <c r="T47" s="3">
        <f>+T45-T46</f>
        <v>614.65699999999993</v>
      </c>
    </row>
  </sheetData>
  <hyperlinks>
    <hyperlink ref="A1" location="Main!A1" display="Main" xr:uid="{EBDB402E-B773-4480-AAA3-E27CF3523ADE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2025-09-02T21:17:02Z</dcterms:created>
  <dcterms:modified xsi:type="dcterms:W3CDTF">2025-11-17T19:22:30Z</dcterms:modified>
</cp:coreProperties>
</file>