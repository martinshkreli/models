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EF0A320-A2E6-48E9-8511-2EC3CE6C6BA6}" xr6:coauthVersionLast="47" xr6:coauthVersionMax="47" xr10:uidLastSave="{00000000-0000-0000-0000-000000000000}"/>
  <bookViews>
    <workbookView xWindow="39720" yWindow="940" windowWidth="22990" windowHeight="14710" xr2:uid="{BBA856EE-C4D3-4C8B-B073-7973A315109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7" i="1" l="1"/>
</calcChain>
</file>

<file path=xl/sharedStrings.xml><?xml version="1.0" encoding="utf-8"?>
<sst xmlns="http://schemas.openxmlformats.org/spreadsheetml/2006/main" count="37" uniqueCount="33">
  <si>
    <t>Price</t>
  </si>
  <si>
    <t>Shares</t>
  </si>
  <si>
    <t>MC</t>
  </si>
  <si>
    <t>Cash</t>
  </si>
  <si>
    <t>Debt</t>
  </si>
  <si>
    <t>EV</t>
  </si>
  <si>
    <t>Q324</t>
  </si>
  <si>
    <t>PIC</t>
  </si>
  <si>
    <t>AD</t>
  </si>
  <si>
    <t>Founded</t>
  </si>
  <si>
    <t>Name</t>
  </si>
  <si>
    <t>rosnilimab</t>
  </si>
  <si>
    <t>PD-1 agonist</t>
  </si>
  <si>
    <t>RA, UC</t>
  </si>
  <si>
    <t>ANB032</t>
  </si>
  <si>
    <t>BTLA agonist</t>
  </si>
  <si>
    <t>ANB033</t>
  </si>
  <si>
    <t>ANB101</t>
  </si>
  <si>
    <t>BDCA2</t>
  </si>
  <si>
    <t>imsidolimab</t>
  </si>
  <si>
    <t>IL36R</t>
  </si>
  <si>
    <t>etokimab</t>
  </si>
  <si>
    <t>IL-33</t>
  </si>
  <si>
    <t>cobolimab</t>
  </si>
  <si>
    <t>Q225</t>
  </si>
  <si>
    <t>Economics</t>
  </si>
  <si>
    <t>VNDA</t>
  </si>
  <si>
    <t>Jemperli</t>
  </si>
  <si>
    <t>GSK</t>
  </si>
  <si>
    <t>CD122 (IL-15, IL-2)</t>
  </si>
  <si>
    <t>I</t>
  </si>
  <si>
    <t>Approved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</si>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</sst>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C23308-53C4-4034-9F87-36510BB9AB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4F42-9412-421A-AF03-CAA28A769EE7}">
  <dimension ref="B2:L12"/>
  <sheetViews>
    <sheetView tabSelected="1" zoomScale="175" zoomScaleNormal="175" workbookViewId="0">
      <selection activeCell="F7" sqref="F7"/>
    </sheetView>
  </sheetViews>
  <sheetFormatPr defaultRowHeight="12.5" x14ac:dyDescent="0.25"/>
  <cols>
    <col min="1" max="1" width="3.54296875" customWidth="1"/>
    <col min="2" max="2" width="11.7265625" customWidth="1"/>
    <col min="3" max="3" width="16.7265625" bestFit="1" customWidth="1"/>
    <col min="5" max="5" width="10.81640625" customWidth="1"/>
  </cols>
  <sheetData>
    <row r="2" spans="2:12" x14ac:dyDescent="0.25">
      <c r="B2" s="5" t="s">
        <v>10</v>
      </c>
      <c r="C2" s="6"/>
      <c r="D2" s="15"/>
      <c r="E2" s="15" t="s">
        <v>25</v>
      </c>
      <c r="F2" s="15" t="s">
        <v>31</v>
      </c>
      <c r="G2" s="6"/>
      <c r="H2" s="7"/>
      <c r="J2" t="s">
        <v>0</v>
      </c>
      <c r="K2" s="1">
        <v>30.46</v>
      </c>
    </row>
    <row r="3" spans="2:12" x14ac:dyDescent="0.25">
      <c r="B3" s="8" t="s">
        <v>27</v>
      </c>
      <c r="C3" s="12"/>
      <c r="D3" s="16"/>
      <c r="E3" s="16" t="s">
        <v>28</v>
      </c>
      <c r="F3" s="16"/>
      <c r="G3" s="12"/>
      <c r="H3" s="9"/>
      <c r="J3" t="s">
        <v>1</v>
      </c>
      <c r="K3" s="2">
        <v>27.996963000000001</v>
      </c>
      <c r="L3" s="3" t="s">
        <v>24</v>
      </c>
    </row>
    <row r="4" spans="2:12" x14ac:dyDescent="0.25">
      <c r="B4" s="5"/>
      <c r="C4" s="6"/>
      <c r="D4" s="15"/>
      <c r="E4" s="15"/>
      <c r="F4" s="15" t="s">
        <v>32</v>
      </c>
      <c r="G4" s="6"/>
      <c r="H4" s="7"/>
      <c r="J4" t="s">
        <v>2</v>
      </c>
      <c r="K4" s="2">
        <f>+K2*K3</f>
        <v>852.78749298000002</v>
      </c>
    </row>
    <row r="5" spans="2:12" x14ac:dyDescent="0.25">
      <c r="B5" s="8" t="s">
        <v>11</v>
      </c>
      <c r="C5" t="s">
        <v>12</v>
      </c>
      <c r="D5" s="13" t="s">
        <v>13</v>
      </c>
      <c r="E5" s="13"/>
      <c r="F5" s="13"/>
      <c r="H5" s="9"/>
      <c r="J5" t="s">
        <v>3</v>
      </c>
      <c r="K5" s="2">
        <f>44.298+221.412+27.996</f>
        <v>293.70600000000002</v>
      </c>
      <c r="L5" s="3" t="s">
        <v>24</v>
      </c>
    </row>
    <row r="6" spans="2:12" x14ac:dyDescent="0.25">
      <c r="B6" s="8" t="s">
        <v>14</v>
      </c>
      <c r="C6" t="s">
        <v>15</v>
      </c>
      <c r="D6" s="13" t="s">
        <v>8</v>
      </c>
      <c r="E6" s="13"/>
      <c r="F6" s="13"/>
      <c r="H6" s="9"/>
      <c r="J6" t="s">
        <v>4</v>
      </c>
      <c r="K6" s="2">
        <v>0</v>
      </c>
      <c r="L6" s="3" t="s">
        <v>24</v>
      </c>
    </row>
    <row r="7" spans="2:12" x14ac:dyDescent="0.25">
      <c r="B7" s="8" t="s">
        <v>16</v>
      </c>
      <c r="C7" t="s">
        <v>29</v>
      </c>
      <c r="D7" s="13"/>
      <c r="E7" s="13"/>
      <c r="F7" s="13"/>
      <c r="H7" s="9"/>
      <c r="J7" t="s">
        <v>5</v>
      </c>
      <c r="K7" s="2">
        <f>+K4-K5+K6</f>
        <v>559.08149298000001</v>
      </c>
    </row>
    <row r="8" spans="2:12" x14ac:dyDescent="0.25">
      <c r="B8" s="8" t="s">
        <v>17</v>
      </c>
      <c r="C8" t="s">
        <v>18</v>
      </c>
      <c r="D8" s="13"/>
      <c r="E8" s="13"/>
      <c r="F8" s="13" t="s">
        <v>30</v>
      </c>
      <c r="H8" s="9"/>
    </row>
    <row r="9" spans="2:12" x14ac:dyDescent="0.25">
      <c r="B9" s="8" t="s">
        <v>19</v>
      </c>
      <c r="C9" t="s">
        <v>20</v>
      </c>
      <c r="D9" s="13"/>
      <c r="E9" s="13" t="s">
        <v>26</v>
      </c>
      <c r="F9" s="13"/>
      <c r="H9" s="9"/>
      <c r="J9" t="s">
        <v>7</v>
      </c>
      <c r="K9" s="2">
        <v>821.12099999999998</v>
      </c>
      <c r="L9" s="3" t="s">
        <v>6</v>
      </c>
    </row>
    <row r="10" spans="2:12" x14ac:dyDescent="0.25">
      <c r="B10" s="8" t="s">
        <v>21</v>
      </c>
      <c r="C10" t="s">
        <v>22</v>
      </c>
      <c r="D10" s="13"/>
      <c r="E10" s="13"/>
      <c r="F10" s="13"/>
      <c r="H10" s="9"/>
      <c r="J10" t="s">
        <v>8</v>
      </c>
      <c r="K10" s="2">
        <v>737.54300000000001</v>
      </c>
      <c r="L10" s="3" t="s">
        <v>6</v>
      </c>
    </row>
    <row r="11" spans="2:12" x14ac:dyDescent="0.25">
      <c r="B11" s="10" t="s">
        <v>23</v>
      </c>
      <c r="C11" s="4"/>
      <c r="D11" s="14"/>
      <c r="E11" s="14"/>
      <c r="F11" s="14"/>
      <c r="G11" s="4"/>
      <c r="H11" s="11"/>
    </row>
    <row r="12" spans="2:12" x14ac:dyDescent="0.25">
      <c r="J12" t="s">
        <v>9</v>
      </c>
      <c r="K12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2024-12-05T14:26:40Z</dcterms:created>
  <dcterms:modified xsi:type="dcterms:W3CDTF">2025-10-06T14:05:25Z</dcterms:modified>
</cp:coreProperties>
</file>