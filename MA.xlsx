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D87083E-0CB2-4490-ACA1-9C3D954D3484}" xr6:coauthVersionLast="47" xr6:coauthVersionMax="47" xr10:uidLastSave="{00000000-0000-0000-0000-000000000000}"/>
  <bookViews>
    <workbookView xWindow="52440" yWindow="2670" windowWidth="24340" windowHeight="16340" xr2:uid="{E7BFF71A-2904-4F34-A901-1B8DEA033D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H23" i="2"/>
  <c r="H22" i="2"/>
  <c r="D15" i="2"/>
  <c r="D14" i="2"/>
  <c r="D16" i="2" s="1"/>
  <c r="D18" i="2" s="1"/>
  <c r="D19" i="2" s="1"/>
  <c r="H19" i="2"/>
  <c r="H18" i="2"/>
  <c r="H16" i="2"/>
  <c r="H15" i="2"/>
  <c r="H14" i="2"/>
  <c r="J3" i="1"/>
  <c r="L27" i="2"/>
  <c r="L28" i="2" s="1"/>
  <c r="M27" i="2"/>
  <c r="M28" i="2" s="1"/>
  <c r="N27" i="2"/>
  <c r="N28" i="2" s="1"/>
  <c r="L15" i="2"/>
  <c r="M15" i="2"/>
  <c r="N15" i="2"/>
  <c r="N14" i="2"/>
  <c r="N23" i="2" s="1"/>
  <c r="M14" i="2"/>
  <c r="M23" i="2" s="1"/>
  <c r="L14" i="2"/>
  <c r="L23" i="2" s="1"/>
  <c r="J4" i="1"/>
  <c r="J7" i="1" s="1"/>
  <c r="M22" i="2"/>
  <c r="N22" i="2"/>
  <c r="N9" i="2"/>
  <c r="N16" i="2" l="1"/>
  <c r="N18" i="2" s="1"/>
  <c r="N19" i="2" s="1"/>
  <c r="L16" i="2"/>
  <c r="L18" i="2" s="1"/>
  <c r="L19" i="2" s="1"/>
  <c r="M16" i="2"/>
  <c r="M18" i="2" s="1"/>
  <c r="M19" i="2" s="1"/>
</calcChain>
</file>

<file path=xl/sharedStrings.xml><?xml version="1.0" encoding="utf-8"?>
<sst xmlns="http://schemas.openxmlformats.org/spreadsheetml/2006/main" count="39" uniqueCount="35">
  <si>
    <t>Price</t>
  </si>
  <si>
    <t>Shares</t>
  </si>
  <si>
    <t>MC</t>
  </si>
  <si>
    <t>Cash</t>
  </si>
  <si>
    <t>Debt</t>
  </si>
  <si>
    <t>EV</t>
  </si>
  <si>
    <t>Main</t>
  </si>
  <si>
    <t>Revenue</t>
  </si>
  <si>
    <t>GDV</t>
  </si>
  <si>
    <t>Switched</t>
  </si>
  <si>
    <t xml:space="preserve">  Consumer Credit</t>
  </si>
  <si>
    <t xml:space="preserve">  Consumer Debit/Prepaid</t>
  </si>
  <si>
    <t xml:space="preserve">  Commercial Credit/Debit</t>
  </si>
  <si>
    <t>Cards</t>
  </si>
  <si>
    <t>Revenue y/y</t>
  </si>
  <si>
    <t>G&amp;A</t>
  </si>
  <si>
    <t>A&amp;M</t>
  </si>
  <si>
    <t>Operating Income</t>
  </si>
  <si>
    <t>Operating Margin</t>
  </si>
  <si>
    <t>Interest</t>
  </si>
  <si>
    <t>Pretax Income</t>
  </si>
  <si>
    <t>Taxes</t>
  </si>
  <si>
    <t>Net Income</t>
  </si>
  <si>
    <t>EPS</t>
  </si>
  <si>
    <t>Q424</t>
  </si>
  <si>
    <t>CFFO</t>
  </si>
  <si>
    <t>CX</t>
  </si>
  <si>
    <t>FCF</t>
  </si>
  <si>
    <t>Q225</t>
  </si>
  <si>
    <t>Q124</t>
  </si>
  <si>
    <t>Q224</t>
  </si>
  <si>
    <t>Q324</t>
  </si>
  <si>
    <t>Q125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</si>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</sst>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29CF7AD-A73C-4665-B904-E32AA73B5E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05BA-E2E2-4BF2-B869-5C1F5041633C}">
  <dimension ref="I2:K7"/>
  <sheetViews>
    <sheetView tabSelected="1" zoomScale="205" zoomScaleNormal="205" workbookViewId="0"/>
  </sheetViews>
  <sheetFormatPr defaultRowHeight="12.5" x14ac:dyDescent="0.25"/>
  <sheetData>
    <row r="2" spans="9:11" x14ac:dyDescent="0.25">
      <c r="I2" t="s">
        <v>0</v>
      </c>
      <c r="J2" s="1">
        <v>552</v>
      </c>
    </row>
    <row r="3" spans="9:11" x14ac:dyDescent="0.25">
      <c r="I3" t="s">
        <v>1</v>
      </c>
      <c r="J3" s="3">
        <f>897.274172+6.737665</f>
        <v>904.01183700000001</v>
      </c>
      <c r="K3" s="5" t="s">
        <v>28</v>
      </c>
    </row>
    <row r="4" spans="9:11" x14ac:dyDescent="0.25">
      <c r="I4" t="s">
        <v>2</v>
      </c>
      <c r="J4" s="3">
        <f>+J2*J3</f>
        <v>499014.53402399999</v>
      </c>
    </row>
    <row r="5" spans="9:11" x14ac:dyDescent="0.25">
      <c r="I5" t="s">
        <v>3</v>
      </c>
      <c r="J5" s="3">
        <v>9031</v>
      </c>
      <c r="K5" s="5" t="s">
        <v>28</v>
      </c>
    </row>
    <row r="6" spans="9:11" x14ac:dyDescent="0.25">
      <c r="I6" t="s">
        <v>4</v>
      </c>
      <c r="J6" s="3">
        <v>18970</v>
      </c>
      <c r="K6" s="5" t="s">
        <v>28</v>
      </c>
    </row>
    <row r="7" spans="9:11" x14ac:dyDescent="0.25">
      <c r="I7" t="s">
        <v>5</v>
      </c>
      <c r="J7" s="3">
        <f>+J4-J5+J6</f>
        <v>508953.53402399999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91AB-6F07-4B83-AF2A-CD982404D2A5}">
  <dimension ref="A1:N28"/>
  <sheetViews>
    <sheetView zoomScale="205" zoomScaleNormal="205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G10" sqref="G10"/>
    </sheetView>
  </sheetViews>
  <sheetFormatPr defaultRowHeight="12.5" x14ac:dyDescent="0.25"/>
  <cols>
    <col min="1" max="1" width="5" bestFit="1" customWidth="1"/>
    <col min="2" max="2" width="22.7265625" bestFit="1" customWidth="1"/>
    <col min="3" max="10" width="8.7265625" style="5"/>
  </cols>
  <sheetData>
    <row r="1" spans="1:14" x14ac:dyDescent="0.25">
      <c r="A1" s="6" t="s">
        <v>6</v>
      </c>
    </row>
    <row r="2" spans="1:14" x14ac:dyDescent="0.25">
      <c r="C2" s="5" t="s">
        <v>29</v>
      </c>
      <c r="D2" s="5" t="s">
        <v>30</v>
      </c>
      <c r="E2" s="5" t="s">
        <v>31</v>
      </c>
      <c r="F2" s="5" t="s">
        <v>24</v>
      </c>
      <c r="G2" s="5" t="s">
        <v>32</v>
      </c>
      <c r="H2" s="5" t="s">
        <v>28</v>
      </c>
      <c r="I2" s="5" t="s">
        <v>33</v>
      </c>
      <c r="J2" s="5" t="s">
        <v>34</v>
      </c>
      <c r="L2">
        <v>2022</v>
      </c>
      <c r="M2">
        <v>2023</v>
      </c>
      <c r="N2">
        <v>2024</v>
      </c>
    </row>
    <row r="3" spans="1:14" s="3" customFormat="1" x14ac:dyDescent="0.25">
      <c r="B3" s="3" t="s">
        <v>8</v>
      </c>
      <c r="C3" s="7"/>
      <c r="D3" s="7"/>
      <c r="E3" s="7"/>
      <c r="F3" s="7"/>
      <c r="G3" s="7"/>
      <c r="H3" s="7"/>
      <c r="I3" s="7"/>
      <c r="J3" s="7"/>
      <c r="N3" s="3">
        <v>9800</v>
      </c>
    </row>
    <row r="4" spans="1:14" s="3" customFormat="1" x14ac:dyDescent="0.25">
      <c r="B4" s="3" t="s">
        <v>10</v>
      </c>
      <c r="C4" s="7"/>
      <c r="D4" s="7"/>
      <c r="E4" s="7"/>
      <c r="F4" s="7"/>
      <c r="G4" s="7"/>
      <c r="H4" s="7"/>
      <c r="I4" s="7"/>
      <c r="J4" s="7"/>
      <c r="N4" s="3">
        <v>3634</v>
      </c>
    </row>
    <row r="5" spans="1:14" s="3" customFormat="1" x14ac:dyDescent="0.25">
      <c r="B5" s="3" t="s">
        <v>11</v>
      </c>
      <c r="C5" s="7"/>
      <c r="D5" s="7"/>
      <c r="E5" s="7"/>
      <c r="F5" s="7"/>
      <c r="G5" s="7"/>
      <c r="H5" s="7"/>
      <c r="I5" s="7"/>
      <c r="J5" s="7"/>
      <c r="N5" s="3">
        <v>4865</v>
      </c>
    </row>
    <row r="6" spans="1:14" s="3" customFormat="1" x14ac:dyDescent="0.25">
      <c r="B6" s="3" t="s">
        <v>12</v>
      </c>
      <c r="C6" s="7"/>
      <c r="D6" s="7"/>
      <c r="E6" s="7"/>
      <c r="F6" s="7"/>
      <c r="G6" s="7"/>
      <c r="H6" s="7"/>
      <c r="I6" s="7"/>
      <c r="J6" s="7"/>
      <c r="N6" s="3">
        <v>1258</v>
      </c>
    </row>
    <row r="7" spans="1:14" s="3" customFormat="1" x14ac:dyDescent="0.25">
      <c r="B7" s="3" t="s">
        <v>9</v>
      </c>
      <c r="C7" s="7"/>
      <c r="D7" s="7"/>
      <c r="E7" s="7"/>
      <c r="F7" s="7"/>
      <c r="G7" s="7"/>
      <c r="H7" s="7"/>
      <c r="I7" s="7"/>
      <c r="J7" s="7"/>
      <c r="N7" s="3">
        <v>159.4</v>
      </c>
    </row>
    <row r="8" spans="1:14" s="3" customFormat="1" x14ac:dyDescent="0.25">
      <c r="C8" s="7"/>
      <c r="D8" s="7"/>
      <c r="E8" s="7"/>
      <c r="F8" s="7"/>
      <c r="G8" s="7"/>
      <c r="H8" s="7"/>
      <c r="I8" s="7"/>
      <c r="J8" s="7"/>
    </row>
    <row r="9" spans="1:14" s="3" customFormat="1" x14ac:dyDescent="0.25">
      <c r="B9" s="3" t="s">
        <v>13</v>
      </c>
      <c r="C9" s="7"/>
      <c r="D9" s="7"/>
      <c r="E9" s="7"/>
      <c r="F9" s="7"/>
      <c r="G9" s="7"/>
      <c r="H9" s="7"/>
      <c r="I9" s="7"/>
      <c r="J9" s="7"/>
      <c r="N9" s="3">
        <f>1070+1035+153</f>
        <v>2258</v>
      </c>
    </row>
    <row r="10" spans="1:14" s="3" customFormat="1" x14ac:dyDescent="0.25">
      <c r="C10" s="7"/>
      <c r="D10" s="7"/>
      <c r="E10" s="7"/>
      <c r="F10" s="7"/>
      <c r="G10" s="7"/>
      <c r="H10" s="7"/>
      <c r="I10" s="7"/>
      <c r="J10" s="7"/>
    </row>
    <row r="11" spans="1:14" s="4" customFormat="1" ht="13" x14ac:dyDescent="0.3">
      <c r="B11" s="4" t="s">
        <v>7</v>
      </c>
      <c r="C11" s="8"/>
      <c r="D11" s="8">
        <v>6961</v>
      </c>
      <c r="E11" s="8"/>
      <c r="F11" s="8"/>
      <c r="G11" s="8"/>
      <c r="H11" s="8">
        <v>8133</v>
      </c>
      <c r="I11" s="8"/>
      <c r="J11" s="8"/>
      <c r="L11" s="4">
        <v>22237</v>
      </c>
      <c r="M11" s="4">
        <v>25098</v>
      </c>
      <c r="N11" s="4">
        <v>28167</v>
      </c>
    </row>
    <row r="12" spans="1:14" s="3" customFormat="1" x14ac:dyDescent="0.25">
      <c r="B12" s="3" t="s">
        <v>15</v>
      </c>
      <c r="C12" s="7"/>
      <c r="D12" s="7">
        <v>2418</v>
      </c>
      <c r="E12" s="7"/>
      <c r="F12" s="7"/>
      <c r="G12" s="7"/>
      <c r="H12" s="7">
        <v>2766</v>
      </c>
      <c r="I12" s="7"/>
      <c r="J12" s="7"/>
      <c r="L12" s="3">
        <v>8078</v>
      </c>
      <c r="M12" s="3">
        <v>8927</v>
      </c>
      <c r="N12" s="3">
        <v>10193</v>
      </c>
    </row>
    <row r="13" spans="1:14" s="3" customFormat="1" x14ac:dyDescent="0.25">
      <c r="B13" s="3" t="s">
        <v>16</v>
      </c>
      <c r="C13" s="7"/>
      <c r="D13" s="7">
        <v>184</v>
      </c>
      <c r="E13" s="7"/>
      <c r="F13" s="7"/>
      <c r="G13" s="7"/>
      <c r="H13" s="7">
        <v>213</v>
      </c>
      <c r="I13" s="7"/>
      <c r="J13" s="7"/>
      <c r="L13" s="3">
        <v>789</v>
      </c>
      <c r="M13" s="3">
        <v>825</v>
      </c>
      <c r="N13" s="3">
        <v>815</v>
      </c>
    </row>
    <row r="14" spans="1:14" s="3" customFormat="1" x14ac:dyDescent="0.25">
      <c r="B14" s="3" t="s">
        <v>17</v>
      </c>
      <c r="C14" s="7"/>
      <c r="D14" s="7">
        <f>+D11-D12-D13</f>
        <v>4359</v>
      </c>
      <c r="E14" s="7"/>
      <c r="F14" s="7"/>
      <c r="G14" s="7"/>
      <c r="H14" s="7">
        <f>+H11-H12-H13</f>
        <v>5154</v>
      </c>
      <c r="I14" s="7"/>
      <c r="J14" s="7"/>
      <c r="L14" s="3">
        <f>+L11-L12-L13</f>
        <v>13370</v>
      </c>
      <c r="M14" s="3">
        <f>+M11-M12-M13</f>
        <v>15346</v>
      </c>
      <c r="N14" s="3">
        <f>+N11-N12-N13</f>
        <v>17159</v>
      </c>
    </row>
    <row r="15" spans="1:14" s="3" customFormat="1" x14ac:dyDescent="0.25">
      <c r="B15" s="3" t="s">
        <v>19</v>
      </c>
      <c r="C15" s="7"/>
      <c r="D15" s="7">
        <f>60-153+9</f>
        <v>-84</v>
      </c>
      <c r="E15" s="7"/>
      <c r="F15" s="7"/>
      <c r="G15" s="7"/>
      <c r="H15" s="7">
        <f>70-195+16</f>
        <v>-109</v>
      </c>
      <c r="I15" s="7"/>
      <c r="J15" s="7"/>
      <c r="L15" s="3">
        <f>61-471</f>
        <v>-410</v>
      </c>
      <c r="M15" s="3">
        <f>274-575</f>
        <v>-301</v>
      </c>
      <c r="N15" s="3">
        <f>327-646</f>
        <v>-319</v>
      </c>
    </row>
    <row r="16" spans="1:14" s="3" customFormat="1" x14ac:dyDescent="0.25">
      <c r="B16" s="3" t="s">
        <v>20</v>
      </c>
      <c r="C16" s="7"/>
      <c r="D16" s="7">
        <f>+D14+D15</f>
        <v>4275</v>
      </c>
      <c r="E16" s="7"/>
      <c r="F16" s="7"/>
      <c r="G16" s="7"/>
      <c r="H16" s="7">
        <f>+H14+H15</f>
        <v>5045</v>
      </c>
      <c r="I16" s="7"/>
      <c r="J16" s="7"/>
      <c r="L16" s="3">
        <f t="shared" ref="L16:M16" si="0">+L14+L15</f>
        <v>12960</v>
      </c>
      <c r="M16" s="3">
        <f t="shared" si="0"/>
        <v>15045</v>
      </c>
      <c r="N16" s="3">
        <f>+N14+N15</f>
        <v>16840</v>
      </c>
    </row>
    <row r="17" spans="2:14" s="3" customFormat="1" x14ac:dyDescent="0.25">
      <c r="B17" s="3" t="s">
        <v>21</v>
      </c>
      <c r="C17" s="7"/>
      <c r="D17" s="7">
        <v>681</v>
      </c>
      <c r="E17" s="7"/>
      <c r="F17" s="7"/>
      <c r="G17" s="7"/>
      <c r="H17" s="7">
        <v>971</v>
      </c>
      <c r="I17" s="7"/>
      <c r="J17" s="7"/>
      <c r="L17" s="3">
        <v>1802</v>
      </c>
      <c r="M17" s="3">
        <v>2444</v>
      </c>
      <c r="N17" s="3">
        <v>2380</v>
      </c>
    </row>
    <row r="18" spans="2:14" s="3" customFormat="1" x14ac:dyDescent="0.25">
      <c r="B18" s="3" t="s">
        <v>22</v>
      </c>
      <c r="C18" s="7"/>
      <c r="D18" s="7">
        <f>+D16-D17</f>
        <v>3594</v>
      </c>
      <c r="E18" s="7"/>
      <c r="F18" s="7"/>
      <c r="G18" s="7"/>
      <c r="H18" s="7">
        <f>+H16-H17</f>
        <v>4074</v>
      </c>
      <c r="I18" s="7"/>
      <c r="J18" s="7"/>
      <c r="L18" s="3">
        <f>+L16-L17</f>
        <v>11158</v>
      </c>
      <c r="M18" s="3">
        <f>+M16-M17</f>
        <v>12601</v>
      </c>
      <c r="N18" s="3">
        <f>+N16-N17</f>
        <v>14460</v>
      </c>
    </row>
    <row r="19" spans="2:14" x14ac:dyDescent="0.25">
      <c r="B19" s="3" t="s">
        <v>23</v>
      </c>
      <c r="C19" s="9"/>
      <c r="D19" s="9">
        <f>+D18/D20</f>
        <v>3.8645161290322583</v>
      </c>
      <c r="E19" s="9"/>
      <c r="F19" s="9"/>
      <c r="G19" s="9"/>
      <c r="H19" s="9">
        <f>+H18/H20</f>
        <v>4.4818481848184817</v>
      </c>
      <c r="I19" s="9"/>
      <c r="J19" s="9"/>
      <c r="K19" s="1"/>
      <c r="L19" s="1">
        <f t="shared" ref="L19:M19" si="1">+L18/L20</f>
        <v>11.49124613800206</v>
      </c>
      <c r="M19" s="1">
        <f t="shared" si="1"/>
        <v>13.32029598308668</v>
      </c>
      <c r="N19" s="1">
        <f>+N18/N20</f>
        <v>15.598705501618124</v>
      </c>
    </row>
    <row r="20" spans="2:14" x14ac:dyDescent="0.25">
      <c r="B20" s="3" t="s">
        <v>1</v>
      </c>
      <c r="C20" s="7"/>
      <c r="D20" s="7">
        <v>930</v>
      </c>
      <c r="E20" s="7"/>
      <c r="F20" s="7"/>
      <c r="G20" s="7"/>
      <c r="H20" s="7">
        <v>909</v>
      </c>
      <c r="I20" s="7"/>
      <c r="J20" s="7"/>
      <c r="K20" s="3"/>
      <c r="L20" s="3">
        <v>971</v>
      </c>
      <c r="M20" s="3">
        <v>946</v>
      </c>
      <c r="N20" s="3">
        <v>927</v>
      </c>
    </row>
    <row r="22" spans="2:14" x14ac:dyDescent="0.25">
      <c r="B22" t="s">
        <v>14</v>
      </c>
      <c r="H22" s="10">
        <f>+H11/D11-1</f>
        <v>0.1683666139922424</v>
      </c>
      <c r="M22" s="2">
        <f>+M11/L11-1</f>
        <v>0.1286594414714215</v>
      </c>
      <c r="N22" s="2">
        <f>+N11/M11-1</f>
        <v>0.12228065981353087</v>
      </c>
    </row>
    <row r="23" spans="2:14" x14ac:dyDescent="0.25">
      <c r="B23" s="3" t="s">
        <v>18</v>
      </c>
      <c r="C23" s="10"/>
      <c r="D23" s="10">
        <f>+D16/D11</f>
        <v>0.6141359000143658</v>
      </c>
      <c r="E23" s="10"/>
      <c r="F23" s="10"/>
      <c r="G23" s="10"/>
      <c r="H23" s="10">
        <f>+H16/H11</f>
        <v>0.62031230788147051</v>
      </c>
      <c r="I23" s="10"/>
      <c r="J23" s="10"/>
      <c r="K23" s="2"/>
      <c r="L23" s="2">
        <f>+L14/L11</f>
        <v>0.60125016863785585</v>
      </c>
      <c r="M23" s="2">
        <f>+M14/M11</f>
        <v>0.61144314287991075</v>
      </c>
      <c r="N23" s="2">
        <f>+N14/N11</f>
        <v>0.6091880569460717</v>
      </c>
    </row>
    <row r="26" spans="2:14" x14ac:dyDescent="0.25">
      <c r="B26" t="s">
        <v>25</v>
      </c>
      <c r="C26" s="7"/>
      <c r="D26" s="7"/>
      <c r="E26" s="7"/>
      <c r="F26" s="7"/>
      <c r="G26" s="7"/>
      <c r="H26" s="7"/>
      <c r="I26" s="7"/>
      <c r="J26" s="7"/>
      <c r="K26" s="3"/>
      <c r="L26" s="3">
        <v>11195</v>
      </c>
      <c r="M26" s="3">
        <v>11980</v>
      </c>
      <c r="N26" s="3">
        <v>14780</v>
      </c>
    </row>
    <row r="27" spans="2:14" x14ac:dyDescent="0.25">
      <c r="B27" t="s">
        <v>26</v>
      </c>
      <c r="C27" s="7"/>
      <c r="D27" s="7"/>
      <c r="E27" s="7"/>
      <c r="F27" s="7"/>
      <c r="G27" s="7"/>
      <c r="H27" s="7"/>
      <c r="I27" s="7"/>
      <c r="J27" s="7"/>
      <c r="K27" s="3"/>
      <c r="L27" s="3">
        <f>-442-655</f>
        <v>-1097</v>
      </c>
      <c r="M27" s="3">
        <f>-371-717</f>
        <v>-1088</v>
      </c>
      <c r="N27" s="3">
        <f>-474-720</f>
        <v>-1194</v>
      </c>
    </row>
    <row r="28" spans="2:14" x14ac:dyDescent="0.25">
      <c r="B28" t="s">
        <v>27</v>
      </c>
      <c r="C28" s="7"/>
      <c r="D28" s="7"/>
      <c r="E28" s="7"/>
      <c r="F28" s="7"/>
      <c r="G28" s="7"/>
      <c r="H28" s="7"/>
      <c r="I28" s="7"/>
      <c r="J28" s="7"/>
      <c r="K28" s="3"/>
      <c r="L28" s="3">
        <f>+L26+L27</f>
        <v>10098</v>
      </c>
      <c r="M28" s="3">
        <f>+M26+M27</f>
        <v>10892</v>
      </c>
      <c r="N28" s="3">
        <f>+N26+N27</f>
        <v>13586</v>
      </c>
    </row>
  </sheetData>
  <hyperlinks>
    <hyperlink ref="A1" location="Main!A1" display="Main" xr:uid="{692A3948-F9D8-491D-99DB-9365EE33A2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2025-03-07T18:04:39Z</dcterms:created>
  <dcterms:modified xsi:type="dcterms:W3CDTF">2025-11-01T20:49:14Z</dcterms:modified>
</cp:coreProperties>
</file>