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277E394-7CB2-4BE5-A0FE-5E2AC9256B54}" xr6:coauthVersionLast="47" xr6:coauthVersionMax="47" xr10:uidLastSave="{00000000-0000-0000-0000-000000000000}"/>
  <bookViews>
    <workbookView xWindow="43140" yWindow="3520" windowWidth="25080" windowHeight="16290" activeTab="1" xr2:uid="{820FA2AC-FE3A-4090-AB09-C53BED7D8C1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18" i="2"/>
  <c r="N18" i="2"/>
  <c r="N9" i="2"/>
  <c r="M9" i="2"/>
  <c r="L9" i="2"/>
  <c r="N8" i="2"/>
  <c r="M8" i="2"/>
  <c r="L8" i="2"/>
  <c r="N5" i="2"/>
  <c r="M5" i="2"/>
  <c r="L5" i="2"/>
  <c r="G18" i="2"/>
  <c r="H18" i="2"/>
  <c r="C8" i="2"/>
  <c r="C5" i="2"/>
  <c r="D8" i="2"/>
  <c r="D5" i="2"/>
  <c r="D9" i="2" s="1"/>
  <c r="G5" i="2"/>
  <c r="F5" i="2"/>
  <c r="E5" i="2"/>
  <c r="G8" i="2"/>
  <c r="F8" i="2"/>
  <c r="E8" i="2"/>
  <c r="H9" i="2"/>
  <c r="H8" i="2"/>
  <c r="H5" i="2"/>
  <c r="L4" i="1"/>
  <c r="L7" i="1" s="1"/>
  <c r="C9" i="2" l="1"/>
  <c r="G9" i="2"/>
  <c r="E9" i="2"/>
  <c r="F9" i="2"/>
</calcChain>
</file>

<file path=xl/sharedStrings.xml><?xml version="1.0" encoding="utf-8"?>
<sst xmlns="http://schemas.openxmlformats.org/spreadsheetml/2006/main" count="28" uniqueCount="24">
  <si>
    <t>Price</t>
  </si>
  <si>
    <t>Shares</t>
  </si>
  <si>
    <t>MC</t>
  </si>
  <si>
    <t>Cash</t>
  </si>
  <si>
    <t>Debt</t>
  </si>
  <si>
    <t>EV</t>
  </si>
  <si>
    <t>PPE</t>
  </si>
  <si>
    <t>Q225</t>
  </si>
  <si>
    <t>Main</t>
  </si>
  <si>
    <t>Revenue</t>
  </si>
  <si>
    <t>Q124</t>
  </si>
  <si>
    <t>Q224</t>
  </si>
  <si>
    <t>Q324</t>
  </si>
  <si>
    <t>Q424</t>
  </si>
  <si>
    <t>Q125</t>
  </si>
  <si>
    <t>Q325</t>
  </si>
  <si>
    <t>Q425</t>
  </si>
  <si>
    <t>OpEx</t>
  </si>
  <si>
    <t>OpInc</t>
  </si>
  <si>
    <t>SG&amp;A</t>
  </si>
  <si>
    <t>R&amp;D</t>
  </si>
  <si>
    <t>Gross Profit</t>
  </si>
  <si>
    <t>COGS</t>
  </si>
  <si>
    <t>Revenue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</si>
</sst>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2" fillId="0" borderId="0" xfId="1"/>
    <xf numFmtId="3" fontId="1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9" fontId="1" fillId="0" borderId="0" xfId="0" applyNumberFormat="1" applyFont="1"/>
    <xf numFmtId="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3A8A-DA65-48C1-83E3-BA3F58DB64E5}">
  <dimension ref="K2:P9"/>
  <sheetViews>
    <sheetView zoomScale="145" zoomScaleNormal="145" workbookViewId="0">
      <selection activeCell="K2" sqref="K2"/>
    </sheetView>
  </sheetViews>
  <sheetFormatPr defaultRowHeight="12.5" x14ac:dyDescent="0.25"/>
  <cols>
    <col min="1" max="16384" width="8.7265625" style="1"/>
  </cols>
  <sheetData>
    <row r="2" spans="11:16" x14ac:dyDescent="0.25">
      <c r="K2" s="1" t="s">
        <v>0</v>
      </c>
      <c r="L2" s="10">
        <v>10</v>
      </c>
    </row>
    <row r="3" spans="11:16" x14ac:dyDescent="0.25">
      <c r="K3" s="1" t="s">
        <v>1</v>
      </c>
      <c r="L3" s="2">
        <f>76.646+326.19037+200</f>
        <v>602.83636999999999</v>
      </c>
      <c r="M3" s="3" t="s">
        <v>7</v>
      </c>
    </row>
    <row r="4" spans="11:16" x14ac:dyDescent="0.25">
      <c r="K4" s="1" t="s">
        <v>2</v>
      </c>
      <c r="L4" s="2">
        <f>+L2*L3</f>
        <v>6028.3636999999999</v>
      </c>
    </row>
    <row r="5" spans="11:16" x14ac:dyDescent="0.25">
      <c r="K5" s="1" t="s">
        <v>3</v>
      </c>
      <c r="L5" s="2">
        <v>103.497</v>
      </c>
      <c r="M5" s="3" t="s">
        <v>7</v>
      </c>
    </row>
    <row r="6" spans="11:16" x14ac:dyDescent="0.25">
      <c r="K6" s="1" t="s">
        <v>4</v>
      </c>
      <c r="L6" s="2">
        <v>300</v>
      </c>
      <c r="M6" s="3" t="s">
        <v>7</v>
      </c>
      <c r="P6" s="10"/>
    </row>
    <row r="7" spans="11:16" x14ac:dyDescent="0.25">
      <c r="K7" s="1" t="s">
        <v>5</v>
      </c>
      <c r="L7" s="2">
        <f>+L4-L5+L6</f>
        <v>6224.8666999999996</v>
      </c>
    </row>
    <row r="9" spans="11:16" x14ac:dyDescent="0.25">
      <c r="K9" s="1" t="s">
        <v>6</v>
      </c>
      <c r="L9" s="1">
        <v>320.988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AD67-07A9-4EE6-A283-BDF4E5AD76C6}">
  <dimension ref="A1:N18"/>
  <sheetViews>
    <sheetView tabSelected="1" zoomScale="235" zoomScaleNormal="235" workbookViewId="0">
      <pane xSplit="2" ySplit="2" topLeftCell="G3" activePane="bottomRight" state="frozen"/>
      <selection pane="topRight" activeCell="C1" sqref="C1"/>
      <selection pane="bottomLeft" activeCell="A4" sqref="A4"/>
      <selection pane="bottomRight" activeCell="I4" sqref="I4"/>
    </sheetView>
  </sheetViews>
  <sheetFormatPr defaultRowHeight="12.5" x14ac:dyDescent="0.25"/>
  <cols>
    <col min="1" max="1" width="4.7265625" style="1" bestFit="1" customWidth="1"/>
    <col min="2" max="2" width="10.54296875" style="1" bestFit="1" customWidth="1"/>
    <col min="3" max="10" width="8.7265625" style="3"/>
    <col min="11" max="16384" width="8.7265625" style="1"/>
  </cols>
  <sheetData>
    <row r="1" spans="1:14" ht="14.5" x14ac:dyDescent="0.35">
      <c r="A1" s="5" t="s">
        <v>8</v>
      </c>
    </row>
    <row r="2" spans="1:14" x14ac:dyDescent="0.25"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7</v>
      </c>
      <c r="I2" s="3" t="s">
        <v>15</v>
      </c>
      <c r="J2" s="3" t="s">
        <v>16</v>
      </c>
      <c r="L2" s="1">
        <v>2022</v>
      </c>
      <c r="M2" s="1">
        <v>2023</v>
      </c>
      <c r="N2" s="1">
        <v>2024</v>
      </c>
    </row>
    <row r="3" spans="1:14" s="7" customFormat="1" ht="13" x14ac:dyDescent="0.3">
      <c r="B3" s="7" t="s">
        <v>9</v>
      </c>
      <c r="C3" s="8">
        <v>75.602999999999994</v>
      </c>
      <c r="D3" s="8">
        <v>93.185000000000002</v>
      </c>
      <c r="E3" s="8"/>
      <c r="F3" s="8"/>
      <c r="G3" s="8">
        <v>68.730999999999995</v>
      </c>
      <c r="H3" s="8">
        <v>74.957999999999998</v>
      </c>
      <c r="I3" s="8"/>
      <c r="J3" s="8"/>
      <c r="L3" s="7">
        <v>418.93299999999999</v>
      </c>
      <c r="M3" s="7">
        <v>343.37599999999998</v>
      </c>
      <c r="N3" s="7">
        <v>326.452</v>
      </c>
    </row>
    <row r="4" spans="1:14" s="2" customFormat="1" x14ac:dyDescent="0.25">
      <c r="B4" s="2" t="s">
        <v>22</v>
      </c>
      <c r="C4" s="6">
        <v>71.935000000000002</v>
      </c>
      <c r="D4" s="6">
        <v>79.468000000000004</v>
      </c>
      <c r="E4" s="6"/>
      <c r="F4" s="6"/>
      <c r="G4" s="6">
        <v>69.796000000000006</v>
      </c>
      <c r="H4" s="6">
        <v>66.367000000000004</v>
      </c>
      <c r="I4" s="6"/>
      <c r="J4" s="6"/>
      <c r="L4" s="2">
        <v>442.67599999999999</v>
      </c>
      <c r="M4" s="2">
        <v>426.03100000000001</v>
      </c>
      <c r="N4" s="2">
        <v>284.75299999999999</v>
      </c>
    </row>
    <row r="5" spans="1:14" s="2" customFormat="1" x14ac:dyDescent="0.25">
      <c r="B5" s="2" t="s">
        <v>21</v>
      </c>
      <c r="C5" s="6">
        <f t="shared" ref="C5:G5" si="0">+C3-C4</f>
        <v>3.6679999999999922</v>
      </c>
      <c r="D5" s="6">
        <f t="shared" si="0"/>
        <v>13.716999999999999</v>
      </c>
      <c r="E5" s="6">
        <f t="shared" si="0"/>
        <v>0</v>
      </c>
      <c r="F5" s="6">
        <f t="shared" si="0"/>
        <v>0</v>
      </c>
      <c r="G5" s="6">
        <f t="shared" si="0"/>
        <v>-1.0650000000000119</v>
      </c>
      <c r="H5" s="6">
        <f>+H3-H4</f>
        <v>8.590999999999994</v>
      </c>
      <c r="I5" s="6"/>
      <c r="J5" s="6"/>
      <c r="L5" s="2">
        <f>+L3-L4</f>
        <v>-23.742999999999995</v>
      </c>
      <c r="M5" s="2">
        <f>+M3-M4</f>
        <v>-82.65500000000003</v>
      </c>
      <c r="N5" s="2">
        <f>+N3-N4</f>
        <v>41.699000000000012</v>
      </c>
    </row>
    <row r="6" spans="1:14" s="2" customFormat="1" x14ac:dyDescent="0.25">
      <c r="B6" s="2" t="s">
        <v>20</v>
      </c>
      <c r="C6" s="6">
        <v>9.86</v>
      </c>
      <c r="D6" s="6">
        <v>5.4850000000000003</v>
      </c>
      <c r="E6" s="6"/>
      <c r="F6" s="6"/>
      <c r="G6" s="6">
        <v>7.4619999999999997</v>
      </c>
      <c r="H6" s="6">
        <v>5.8070000000000004</v>
      </c>
      <c r="I6" s="6"/>
      <c r="J6" s="6"/>
      <c r="L6" s="2">
        <v>62.264000000000003</v>
      </c>
      <c r="M6" s="2">
        <v>39.53</v>
      </c>
      <c r="N6" s="2">
        <v>41.698999999999998</v>
      </c>
    </row>
    <row r="7" spans="1:14" s="2" customFormat="1" x14ac:dyDescent="0.25">
      <c r="B7" s="2" t="s">
        <v>19</v>
      </c>
      <c r="C7" s="6">
        <v>47.281999999999996</v>
      </c>
      <c r="D7" s="6">
        <v>42.162999999999997</v>
      </c>
      <c r="E7" s="6"/>
      <c r="F7" s="6"/>
      <c r="G7" s="6">
        <v>47.671999999999997</v>
      </c>
      <c r="H7" s="6">
        <v>37.695999999999998</v>
      </c>
      <c r="I7" s="6"/>
      <c r="J7" s="6"/>
      <c r="L7" s="2">
        <v>239.505</v>
      </c>
      <c r="M7" s="2">
        <v>220.34399999999999</v>
      </c>
      <c r="N7" s="2">
        <v>169.67400000000001</v>
      </c>
    </row>
    <row r="8" spans="1:14" s="2" customFormat="1" x14ac:dyDescent="0.25">
      <c r="B8" s="2" t="s">
        <v>17</v>
      </c>
      <c r="C8" s="6">
        <f t="shared" ref="C8" si="1">+C6+C7</f>
        <v>57.141999999999996</v>
      </c>
      <c r="D8" s="6">
        <f t="shared" ref="C8:G8" si="2">+D6+D7</f>
        <v>47.647999999999996</v>
      </c>
      <c r="E8" s="6">
        <f t="shared" si="2"/>
        <v>0</v>
      </c>
      <c r="F8" s="6">
        <f t="shared" si="2"/>
        <v>0</v>
      </c>
      <c r="G8" s="6">
        <f t="shared" si="2"/>
        <v>55.134</v>
      </c>
      <c r="H8" s="6">
        <f>+H6+H7</f>
        <v>43.503</v>
      </c>
      <c r="I8" s="6"/>
      <c r="J8" s="6"/>
      <c r="L8" s="2">
        <f>+L7+L6</f>
        <v>301.76900000000001</v>
      </c>
      <c r="M8" s="2">
        <f>+M7+M6</f>
        <v>259.87400000000002</v>
      </c>
      <c r="N8" s="2">
        <f>+N7+N6</f>
        <v>211.37299999999999</v>
      </c>
    </row>
    <row r="9" spans="1:14" s="2" customFormat="1" x14ac:dyDescent="0.25">
      <c r="B9" s="2" t="s">
        <v>18</v>
      </c>
      <c r="C9" s="6">
        <f t="shared" ref="C9" si="3">+C5-C8</f>
        <v>-53.474000000000004</v>
      </c>
      <c r="D9" s="6">
        <f t="shared" ref="C9:G9" si="4">+D5-D8</f>
        <v>-33.930999999999997</v>
      </c>
      <c r="E9" s="6">
        <f t="shared" si="4"/>
        <v>0</v>
      </c>
      <c r="F9" s="6">
        <f t="shared" si="4"/>
        <v>0</v>
      </c>
      <c r="G9" s="6">
        <f t="shared" si="4"/>
        <v>-56.199000000000012</v>
      </c>
      <c r="H9" s="6">
        <f>+H5-H8</f>
        <v>-34.912000000000006</v>
      </c>
      <c r="I9" s="6"/>
      <c r="J9" s="6"/>
      <c r="L9" s="2">
        <f>+L5-L8</f>
        <v>-325.512</v>
      </c>
      <c r="M9" s="2">
        <f>+M5-M8</f>
        <v>-342.52900000000005</v>
      </c>
      <c r="N9" s="2">
        <f>+N5-N8</f>
        <v>-169.67399999999998</v>
      </c>
    </row>
    <row r="13" spans="1:14" s="2" customFormat="1" x14ac:dyDescent="0.25">
      <c r="B13" s="2" t="s">
        <v>1</v>
      </c>
      <c r="C13" s="6">
        <v>64.702248999999995</v>
      </c>
      <c r="D13" s="6">
        <v>64.901584</v>
      </c>
      <c r="E13" s="6"/>
      <c r="F13" s="6"/>
      <c r="G13" s="6">
        <v>76.194916000000006</v>
      </c>
      <c r="H13" s="6">
        <v>76.491594000000006</v>
      </c>
      <c r="I13" s="6"/>
      <c r="J13" s="6"/>
    </row>
    <row r="18" spans="2:14" x14ac:dyDescent="0.25">
      <c r="B18" s="1" t="s">
        <v>23</v>
      </c>
      <c r="G18" s="4">
        <f>+G3/C3-1</f>
        <v>-9.0895863920743891E-2</v>
      </c>
      <c r="H18" s="4">
        <f>+H3/D3-1</f>
        <v>-0.19560015023877242</v>
      </c>
      <c r="M18" s="9">
        <f>+M3/L3-1</f>
        <v>-0.18035580868539847</v>
      </c>
      <c r="N18" s="9">
        <f>+N3/M3-1</f>
        <v>-4.9287078887283897E-2</v>
      </c>
    </row>
  </sheetData>
  <hyperlinks>
    <hyperlink ref="A1" location="Main!A1" display="Main" xr:uid="{2C477D00-45B7-4958-BD35-F005DF61D1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2025-10-21T19:14:55Z</dcterms:created>
  <dcterms:modified xsi:type="dcterms:W3CDTF">2025-10-21T21:01:24Z</dcterms:modified>
</cp:coreProperties>
</file>