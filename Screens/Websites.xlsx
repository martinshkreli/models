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\code\models\Screens\"/>
    </mc:Choice>
  </mc:AlternateContent>
  <xr:revisionPtr revIDLastSave="0" documentId="13_ncr:1_{1AD4F36C-9A6D-4753-ADB4-492D09C3B907}" xr6:coauthVersionLast="47" xr6:coauthVersionMax="47" xr10:uidLastSave="{00000000-0000-0000-0000-000000000000}"/>
  <bookViews>
    <workbookView xWindow="17760" yWindow="0" windowWidth="20580" windowHeight="20970" xr2:uid="{0FFE2284-B972-4C79-A048-B8473BC23A4F}"/>
  </bookViews>
  <sheets>
    <sheet name="Main" sheetId="1" r:id="rId1"/>
    <sheet name="Finance" sheetId="3" r:id="rId2"/>
    <sheet name="User Minu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" i="3" l="1"/>
  <c r="AE5" i="3"/>
  <c r="AE4" i="3"/>
  <c r="AN601" i="1"/>
  <c r="AN600" i="1"/>
  <c r="AN599" i="1"/>
  <c r="AN597" i="1"/>
  <c r="AN596" i="1"/>
  <c r="AN592" i="1"/>
  <c r="AN156" i="1"/>
  <c r="AN590" i="1"/>
  <c r="AN589" i="1"/>
  <c r="AN587" i="1"/>
  <c r="AN585" i="1"/>
  <c r="AN581" i="1"/>
  <c r="AN580" i="1"/>
  <c r="AN578" i="1"/>
  <c r="AN574" i="1"/>
  <c r="AN562" i="1"/>
  <c r="AN530" i="1"/>
  <c r="AN560" i="1"/>
  <c r="AN552" i="1"/>
  <c r="AN163" i="1"/>
  <c r="AN542" i="1"/>
  <c r="AN540" i="1"/>
  <c r="AN538" i="1"/>
  <c r="AN537" i="1"/>
  <c r="AN536" i="1"/>
  <c r="AN165" i="1"/>
  <c r="AN535" i="1"/>
  <c r="AN518" i="1"/>
  <c r="AN531" i="1"/>
  <c r="AN517" i="1"/>
  <c r="AN512" i="1"/>
  <c r="AN511" i="1"/>
  <c r="AN503" i="1"/>
  <c r="AN493" i="1"/>
  <c r="AN486" i="1"/>
  <c r="AN480" i="1"/>
  <c r="AN475" i="1"/>
  <c r="AN473" i="1"/>
  <c r="AN472" i="1"/>
  <c r="AN470" i="1"/>
  <c r="AN454" i="1"/>
  <c r="AN448" i="1"/>
  <c r="AN447" i="1"/>
  <c r="AN441" i="1"/>
  <c r="AN439" i="1"/>
  <c r="AN431" i="1"/>
  <c r="AN426" i="1"/>
  <c r="AN410" i="1"/>
  <c r="AN373" i="1"/>
  <c r="AN359" i="1"/>
  <c r="AN338" i="1"/>
  <c r="AN275" i="1"/>
  <c r="AN272" i="1"/>
  <c r="AN245" i="1"/>
  <c r="AN134" i="1"/>
  <c r="AN211" i="1"/>
  <c r="AN93" i="1"/>
  <c r="AN84" i="1"/>
  <c r="AN89" i="1"/>
  <c r="AN27" i="1"/>
  <c r="AN94" i="1"/>
  <c r="AN768" i="1"/>
  <c r="AN767" i="1"/>
  <c r="AN90" i="1"/>
  <c r="AN120" i="1"/>
  <c r="AN598" i="1"/>
  <c r="AN889" i="1"/>
  <c r="AN718" i="1"/>
  <c r="AN883" i="1"/>
  <c r="AN630" i="1"/>
  <c r="AN594" i="1"/>
  <c r="AN662" i="1"/>
  <c r="AN485" i="1"/>
  <c r="AN887" i="1"/>
  <c r="AN885" i="1"/>
  <c r="AN882" i="1"/>
  <c r="AN627" i="1"/>
  <c r="AN888" i="1"/>
  <c r="AN1266" i="1"/>
  <c r="AN702" i="1"/>
  <c r="AN378" i="1"/>
  <c r="AN886" i="1"/>
  <c r="AN626" i="1"/>
  <c r="AN875" i="1"/>
  <c r="AN449" i="1"/>
  <c r="AN463" i="1"/>
  <c r="AN402" i="1"/>
  <c r="AN400" i="1"/>
  <c r="AN851" i="1"/>
  <c r="AN853" i="1"/>
  <c r="AN640" i="1"/>
  <c r="AN705" i="1"/>
  <c r="AN663" i="1"/>
  <c r="AN856" i="1"/>
  <c r="AN703" i="1"/>
  <c r="AN857" i="1"/>
  <c r="AN647" i="1"/>
  <c r="AN861" i="1"/>
  <c r="AN858" i="1"/>
  <c r="AN721" i="1"/>
  <c r="AN1402" i="1"/>
  <c r="AN859" i="1"/>
  <c r="AN860" i="1"/>
  <c r="AN862" i="1"/>
  <c r="AN863" i="1"/>
  <c r="AN865" i="1"/>
  <c r="AN866" i="1"/>
  <c r="AN868" i="1"/>
  <c r="AN874" i="1"/>
  <c r="AN869" i="1"/>
  <c r="AN870" i="1"/>
  <c r="AN872" i="1"/>
  <c r="AN878" i="1"/>
  <c r="AN879" i="1"/>
  <c r="AN880" i="1"/>
  <c r="AN881" i="1"/>
  <c r="AN781" i="1"/>
  <c r="AN741" i="1"/>
  <c r="AN719" i="1"/>
  <c r="AN479" i="1"/>
  <c r="AN519" i="1"/>
  <c r="AN344" i="1"/>
  <c r="AN824" i="1"/>
  <c r="AN451" i="1"/>
  <c r="AN384" i="1"/>
  <c r="AN584" i="1"/>
  <c r="AN674" i="1"/>
  <c r="AN575" i="1"/>
  <c r="AN620" i="1"/>
  <c r="AN783" i="1"/>
  <c r="AN276" i="1"/>
  <c r="AN481" i="1"/>
  <c r="AN679" i="1"/>
  <c r="AN265" i="1"/>
  <c r="AN273" i="1"/>
  <c r="AN231" i="1"/>
  <c r="AN334" i="1"/>
  <c r="AN227" i="1"/>
  <c r="AN102" i="1"/>
  <c r="AN98" i="1"/>
  <c r="AN137" i="1"/>
  <c r="AN469" i="1"/>
  <c r="AN433" i="1"/>
  <c r="AN145" i="1"/>
  <c r="AN820" i="1"/>
  <c r="AN483" i="1"/>
  <c r="AN559" i="1"/>
  <c r="AN849" i="1"/>
  <c r="AN425" i="1"/>
  <c r="AN428" i="1"/>
  <c r="AN621" i="1"/>
  <c r="AN403" i="1"/>
  <c r="AN499" i="1"/>
  <c r="AN813" i="1"/>
  <c r="AN724" i="1"/>
  <c r="AN370" i="1"/>
  <c r="AN583" i="1"/>
  <c r="AN639" i="1"/>
  <c r="AN379" i="1"/>
  <c r="AN779" i="1"/>
  <c r="AN778" i="1"/>
  <c r="AN847" i="1"/>
  <c r="O1092" i="1"/>
  <c r="O1162" i="1"/>
  <c r="O1205" i="1"/>
  <c r="O1114" i="1"/>
  <c r="O769" i="1"/>
  <c r="O204" i="1"/>
  <c r="O1156" i="1"/>
  <c r="O793" i="1"/>
  <c r="AN424" i="1"/>
  <c r="AN716" i="1"/>
  <c r="AN438" i="1"/>
  <c r="AN375" i="1"/>
  <c r="AN465" i="1"/>
  <c r="AN488" i="1"/>
  <c r="AN846" i="1"/>
  <c r="AN444" i="1"/>
  <c r="AN577" i="1"/>
  <c r="AN618" i="1"/>
  <c r="AN520" i="1"/>
  <c r="AN399" i="1"/>
  <c r="AN8" i="1"/>
  <c r="AN405" i="1"/>
  <c r="AN230" i="1"/>
  <c r="AN811" i="1"/>
  <c r="AN455" i="1"/>
  <c r="AN642" i="1"/>
  <c r="AN482" i="1"/>
  <c r="AN489" i="1"/>
  <c r="AN528" i="1"/>
  <c r="AN437" i="1"/>
  <c r="AN490" i="1"/>
  <c r="AN110" i="1"/>
  <c r="AN336" i="1"/>
  <c r="AN695" i="1"/>
  <c r="AN442" i="1"/>
  <c r="AN539" i="1"/>
  <c r="AN501" i="1"/>
  <c r="AN409" i="1"/>
  <c r="AN532" i="1"/>
  <c r="AN604" i="1"/>
  <c r="AN844" i="1"/>
  <c r="AN407" i="1"/>
  <c r="AN619" i="1"/>
  <c r="AN510" i="1"/>
  <c r="AN434" i="1"/>
  <c r="AN715" i="1"/>
  <c r="AN443" i="1"/>
  <c r="AN340" i="1"/>
  <c r="AN427" i="1"/>
  <c r="AN372" i="1"/>
  <c r="AN845" i="1"/>
  <c r="AN852" i="1"/>
  <c r="AN266" i="1"/>
  <c r="AN343" i="1"/>
  <c r="AN553" i="1"/>
  <c r="AN829" i="1"/>
  <c r="AN616" i="1"/>
  <c r="AN729" i="1"/>
  <c r="AN776" i="1"/>
  <c r="AN363" i="1"/>
  <c r="AT41" i="1" s="1"/>
  <c r="AN28" i="1"/>
  <c r="AT52" i="1" s="1"/>
  <c r="AN109" i="1"/>
  <c r="AN142" i="1"/>
  <c r="AN96" i="1"/>
  <c r="AN125" i="1"/>
  <c r="AN91" i="1"/>
  <c r="AN126" i="1"/>
  <c r="AN107" i="1"/>
  <c r="AN135" i="1"/>
  <c r="AN843" i="1"/>
  <c r="AN73" i="1"/>
  <c r="AN86" i="1"/>
  <c r="AN60" i="1"/>
  <c r="AN774" i="1"/>
  <c r="AN259" i="1"/>
  <c r="AN380" i="1"/>
  <c r="AN312" i="1"/>
  <c r="AN368" i="1"/>
  <c r="AN777" i="1"/>
  <c r="AN232" i="1"/>
  <c r="AN122" i="1"/>
  <c r="AN71" i="1"/>
  <c r="AN541" i="1"/>
  <c r="AN56" i="1"/>
  <c r="AT23" i="1" s="1"/>
  <c r="AN77" i="1"/>
  <c r="AN85" i="1"/>
  <c r="AN128" i="1"/>
  <c r="AN48" i="1"/>
  <c r="AN78" i="1"/>
  <c r="AN58" i="1"/>
  <c r="AN65" i="1"/>
  <c r="AN41" i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3" i="2"/>
  <c r="AN726" i="1"/>
  <c r="AN529" i="1"/>
  <c r="AN374" i="1"/>
  <c r="AN816" i="1"/>
  <c r="AN591" i="1"/>
  <c r="AN330" i="1"/>
  <c r="AN855" i="1"/>
  <c r="AN500" i="1"/>
  <c r="AN576" i="1"/>
  <c r="AN357" i="1"/>
  <c r="AN360" i="1"/>
  <c r="AN361" i="1"/>
  <c r="AN371" i="1"/>
  <c r="AN358" i="1"/>
  <c r="AN260" i="1"/>
  <c r="AN688" i="1"/>
  <c r="AN848" i="1"/>
  <c r="AN331" i="1"/>
  <c r="AN731" i="1"/>
  <c r="AN854" i="1"/>
  <c r="AN474" i="1"/>
  <c r="AN333" i="1"/>
  <c r="AN315" i="1"/>
  <c r="AN595" i="1"/>
  <c r="AN543" i="1"/>
  <c r="AN491" i="1"/>
  <c r="AN337" i="1"/>
  <c r="AN516" i="1"/>
  <c r="AN484" i="1"/>
  <c r="AN561" i="1"/>
  <c r="AN513" i="1"/>
  <c r="AN376" i="1"/>
  <c r="AN502" i="1"/>
  <c r="AN436" i="1"/>
  <c r="AN429" i="1"/>
  <c r="AN593" i="1"/>
  <c r="AN446" i="1"/>
  <c r="AN468" i="1"/>
  <c r="AN641" i="1"/>
  <c r="AN514" i="1"/>
  <c r="AN533" i="1"/>
  <c r="AN794" i="1"/>
  <c r="AN354" i="1"/>
  <c r="AN408" i="1"/>
  <c r="AN383" i="1"/>
  <c r="AN314" i="1"/>
  <c r="AN817" i="1"/>
  <c r="AN355" i="1"/>
  <c r="AN672" i="1"/>
  <c r="AN498" i="1"/>
  <c r="AN677" i="1"/>
  <c r="AN320" i="1"/>
  <c r="AN864" i="1"/>
  <c r="AN311" i="1"/>
  <c r="AN582" i="1"/>
  <c r="AN810" i="1"/>
  <c r="AN785" i="1"/>
  <c r="AN307" i="1"/>
  <c r="AN466" i="1"/>
  <c r="AN321" i="1"/>
  <c r="AN332" i="1"/>
  <c r="AN222" i="1"/>
  <c r="AN453" i="1"/>
  <c r="AN313" i="1"/>
  <c r="AN440" i="1"/>
  <c r="AN347" i="1"/>
  <c r="AN494" i="1"/>
  <c r="AN588" i="1"/>
  <c r="AN780" i="1"/>
  <c r="AN456" i="1"/>
  <c r="AJ263" i="1"/>
  <c r="AN263" i="1" s="1"/>
  <c r="AN850" i="1"/>
  <c r="AN631" i="1"/>
  <c r="AN717" i="1"/>
  <c r="AN319" i="1"/>
  <c r="AN369" i="1"/>
  <c r="AN450" i="1"/>
  <c r="AN382" i="1"/>
  <c r="AN348" i="1"/>
  <c r="AN308" i="1"/>
  <c r="AN141" i="1"/>
  <c r="AN435" i="1"/>
  <c r="AN339" i="1"/>
  <c r="AN228" i="1"/>
  <c r="AN329" i="1"/>
  <c r="AN280" i="1"/>
  <c r="AN268" i="1"/>
  <c r="AN362" i="1"/>
  <c r="AN264" i="1"/>
  <c r="AN55" i="1"/>
  <c r="AN274" i="1"/>
  <c r="AN256" i="1"/>
  <c r="AN464" i="1"/>
  <c r="AN471" i="1"/>
  <c r="AN808" i="1"/>
  <c r="AN492" i="1"/>
  <c r="AN318" i="1"/>
  <c r="AN401" i="1"/>
  <c r="AN487" i="1"/>
  <c r="AN345" i="1"/>
  <c r="AN186" i="1"/>
  <c r="AN247" i="1"/>
  <c r="AN377" i="1"/>
  <c r="AN609" i="1"/>
  <c r="AN121" i="1"/>
  <c r="AN213" i="1"/>
  <c r="AN199" i="1"/>
  <c r="AN226" i="1"/>
  <c r="AN775" i="1"/>
  <c r="AN75" i="1"/>
  <c r="AN51" i="1"/>
  <c r="AN229" i="1"/>
  <c r="AN207" i="1"/>
  <c r="AN346" i="1"/>
  <c r="AN262" i="1"/>
  <c r="AN53" i="1"/>
  <c r="AN246" i="1"/>
  <c r="AN579" i="1"/>
  <c r="AN432" i="1"/>
  <c r="AN271" i="1"/>
  <c r="AN261" i="1"/>
  <c r="AN257" i="1"/>
  <c r="AN445" i="1"/>
  <c r="AN404" i="1"/>
  <c r="AN406" i="1"/>
  <c r="AN209" i="1"/>
  <c r="AN210" i="1"/>
  <c r="AN197" i="1"/>
  <c r="AN220" i="1"/>
  <c r="AN269" i="1"/>
  <c r="AN212" i="1"/>
  <c r="AN335" i="1"/>
  <c r="AN185" i="1"/>
  <c r="AN217" i="1"/>
  <c r="AN233" i="1"/>
  <c r="AN193" i="1"/>
  <c r="AN187" i="1"/>
  <c r="AN136" i="1"/>
  <c r="AN216" i="1"/>
  <c r="AN270" i="1"/>
  <c r="AN206" i="1"/>
  <c r="AN191" i="1"/>
  <c r="AN54" i="1"/>
  <c r="AN198" i="1"/>
  <c r="AN113" i="1"/>
  <c r="AN201" i="1"/>
  <c r="AN111" i="1"/>
  <c r="AN15" i="1"/>
  <c r="AN189" i="1"/>
  <c r="AN173" i="1"/>
  <c r="AN218" i="1"/>
  <c r="AN205" i="1"/>
  <c r="AN200" i="1"/>
  <c r="AN147" i="1"/>
  <c r="AN164" i="1"/>
  <c r="AN194" i="1"/>
  <c r="AN82" i="1"/>
  <c r="AN195" i="1"/>
  <c r="AN117" i="1"/>
  <c r="AN154" i="1"/>
  <c r="AN766" i="1"/>
  <c r="AN155" i="1"/>
  <c r="AN221" i="1"/>
  <c r="AN127" i="1"/>
  <c r="AN152" i="1"/>
  <c r="AN167" i="1"/>
  <c r="AN92" i="1"/>
  <c r="AN148" i="1"/>
  <c r="AN174" i="1"/>
  <c r="AN112" i="1"/>
  <c r="AN123" i="1"/>
  <c r="AN97" i="1"/>
  <c r="AN129" i="1"/>
  <c r="AN108" i="1"/>
  <c r="AN64" i="1"/>
  <c r="AN144" i="1"/>
  <c r="AN162" i="1"/>
  <c r="AN114" i="1"/>
  <c r="AN30" i="1"/>
  <c r="AN115" i="1"/>
  <c r="AN3" i="1"/>
  <c r="AN19" i="1"/>
  <c r="AN21" i="1"/>
  <c r="AN32" i="1"/>
  <c r="AN52" i="1"/>
  <c r="AN25" i="1"/>
  <c r="AT8" i="1" s="1"/>
  <c r="AN23" i="1"/>
  <c r="AN49" i="1"/>
  <c r="AN31" i="1"/>
  <c r="AT25" i="1" s="1"/>
  <c r="AN104" i="1"/>
  <c r="AT32" i="1" s="1"/>
  <c r="AN67" i="1"/>
  <c r="AN99" i="1"/>
  <c r="AN57" i="1"/>
  <c r="AN124" i="1"/>
  <c r="AN773" i="1"/>
  <c r="AN138" i="1"/>
  <c r="AN132" i="1"/>
  <c r="AN69" i="1"/>
  <c r="AN105" i="1"/>
  <c r="AN40" i="1"/>
  <c r="AN119" i="1"/>
  <c r="AN76" i="1"/>
  <c r="A19" i="1"/>
  <c r="AQ3" i="1" l="1"/>
  <c r="AT21" i="1"/>
  <c r="AT56" i="1"/>
  <c r="AT19" i="1"/>
  <c r="AT4" i="1"/>
  <c r="AT6" i="1"/>
  <c r="AT3" i="1"/>
  <c r="AU56" i="1" l="1"/>
  <c r="AU4" i="1"/>
  <c r="AU41" i="1"/>
  <c r="AU52" i="1"/>
  <c r="AU32" i="1"/>
  <c r="AU25" i="1"/>
  <c r="AU23" i="1"/>
  <c r="AU8" i="1"/>
  <c r="AU19" i="1"/>
  <c r="AU6" i="1"/>
  <c r="AU21" i="1"/>
  <c r="AU3" i="1"/>
  <c r="A894" i="1" l="1"/>
  <c r="A896" i="1" l="1"/>
  <c r="A898" i="1" s="1"/>
  <c r="A899" i="1" s="1"/>
  <c r="A900" i="1" s="1"/>
  <c r="A902" i="1" s="1"/>
  <c r="A903" i="1" s="1"/>
  <c r="A915" i="1" s="1"/>
  <c r="A931" i="1" s="1"/>
  <c r="A932" i="1" s="1"/>
  <c r="A933" i="1" s="1"/>
  <c r="A934" i="1" s="1"/>
  <c r="A943" i="1" l="1"/>
  <c r="A9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tc={51D53592-7EE9-ED4F-89BF-D1020A63BC4A}</author>
    <author>tc={999F9F0B-A1D6-3244-82D9-C0A2E4188722}</author>
    <author>tc={9DBC7533-7AAF-442D-9090-E88EA8FB7282}</author>
  </authors>
  <commentList>
    <comment ref="AF25" authorId="0" shapeId="0" xr:uid="{51D53592-7EE9-ED4F-89BF-D1020A63BC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X.com 87.54M
</t>
      </text>
    </comment>
    <comment ref="AG25" authorId="1" shapeId="0" xr:uid="{999F9F0B-A1D6-3244-82D9-C0A2E4188722}">
      <text>
        <t>[Threaded comment]
Your version of Excel allows you to read this threaded comment; however, any edits to it will get removed if the file is opened in a newer version of Excel. Learn more: https://go.microsoft.com/fwlink/?linkid=870924
Comment:
    x.com 74.2m</t>
      </text>
    </comment>
    <comment ref="E759" authorId="2" shapeId="0" xr:uid="{9DBC7533-7AAF-442D-9090-E88EA8FB7282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590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tc={BCC7683A-9083-4660-8FB2-FADE3B62A88B}</author>
  </authors>
  <commentList>
    <comment ref="E38" authorId="0" shapeId="0" xr:uid="{BCC7683A-9083-4660-8FB2-FADE3B62A88B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590</t>
      </text>
    </comment>
  </commentList>
</comments>
</file>

<file path=xl/sharedStrings.xml><?xml version="1.0" encoding="utf-8"?>
<sst xmlns="http://schemas.openxmlformats.org/spreadsheetml/2006/main" count="5052" uniqueCount="1802">
  <si>
    <t>GOOG</t>
  </si>
  <si>
    <t>META</t>
  </si>
  <si>
    <t>AMZN</t>
  </si>
  <si>
    <t>YHOO</t>
  </si>
  <si>
    <t>Elon Musk</t>
  </si>
  <si>
    <t>NFP</t>
  </si>
  <si>
    <t>Private</t>
  </si>
  <si>
    <t>MSFT</t>
  </si>
  <si>
    <t>NYT</t>
  </si>
  <si>
    <t>DIS</t>
  </si>
  <si>
    <t>Subscriptions</t>
  </si>
  <si>
    <t>NO</t>
  </si>
  <si>
    <t>8/mo</t>
  </si>
  <si>
    <t>50/mo</t>
  </si>
  <si>
    <t>Some</t>
  </si>
  <si>
    <t>Ads</t>
  </si>
  <si>
    <t>YES</t>
  </si>
  <si>
    <t>15/mo</t>
  </si>
  <si>
    <t>20/mo</t>
  </si>
  <si>
    <t>google.com</t>
  </si>
  <si>
    <t>youtube.com</t>
  </si>
  <si>
    <t>facebook.com</t>
  </si>
  <si>
    <t>amazon.com</t>
  </si>
  <si>
    <t>yahoo.com</t>
  </si>
  <si>
    <t>twitter.com</t>
  </si>
  <si>
    <t>instagram.com</t>
  </si>
  <si>
    <t>wikipedia.org</t>
  </si>
  <si>
    <t>reddit.com</t>
  </si>
  <si>
    <t>pornhub.com</t>
  </si>
  <si>
    <t>discord.com</t>
  </si>
  <si>
    <t>xvideos.com</t>
  </si>
  <si>
    <t>office.com</t>
  </si>
  <si>
    <t>ebay.com</t>
  </si>
  <si>
    <t>xnxx.com</t>
  </si>
  <si>
    <t>linkedin.com</t>
  </si>
  <si>
    <t>nytimes.com</t>
  </si>
  <si>
    <t>microsoftonline.com</t>
  </si>
  <si>
    <t>cnn.com</t>
  </si>
  <si>
    <t>espn.com</t>
  </si>
  <si>
    <t>live.com</t>
  </si>
  <si>
    <t>duckduckgo.com</t>
  </si>
  <si>
    <t>bing.com</t>
  </si>
  <si>
    <t>instructure.com</t>
  </si>
  <si>
    <t>walmart.com</t>
  </si>
  <si>
    <t>netflix.com</t>
  </si>
  <si>
    <t>weather.com</t>
  </si>
  <si>
    <t>tiktok.com</t>
  </si>
  <si>
    <t>zillow.com</t>
  </si>
  <si>
    <t>foxnews.com</t>
  </si>
  <si>
    <t>quora.com</t>
  </si>
  <si>
    <t>pinterest.com</t>
  </si>
  <si>
    <t>msn.com</t>
  </si>
  <si>
    <t>roblox.com</t>
  </si>
  <si>
    <t>etsy.com</t>
  </si>
  <si>
    <t>fandom.com</t>
  </si>
  <si>
    <t>zoom.us</t>
  </si>
  <si>
    <t>indeed.com</t>
  </si>
  <si>
    <t>accuweather.com</t>
  </si>
  <si>
    <t>xhamster.com</t>
  </si>
  <si>
    <t>usps.com</t>
  </si>
  <si>
    <t>twitch.tv</t>
  </si>
  <si>
    <t>sharepoint.com</t>
  </si>
  <si>
    <t>chaturbate.com</t>
  </si>
  <si>
    <t>homedepot.com</t>
  </si>
  <si>
    <t>aol.com</t>
  </si>
  <si>
    <t>openai.com</t>
  </si>
  <si>
    <t>imdb.com</t>
  </si>
  <si>
    <t>t-mobile.com</t>
  </si>
  <si>
    <t>craigslist.org</t>
  </si>
  <si>
    <t>worldstar.com</t>
  </si>
  <si>
    <t>chase.com</t>
  </si>
  <si>
    <t>paypal.com</t>
  </si>
  <si>
    <t>hulu.com</t>
  </si>
  <si>
    <t>microsoft.com</t>
  </si>
  <si>
    <t>intuit.com</t>
  </si>
  <si>
    <t>archiveofourown.org</t>
  </si>
  <si>
    <t>spankbang.com</t>
  </si>
  <si>
    <t>stripchat.com</t>
  </si>
  <si>
    <t>onlyfans.com</t>
  </si>
  <si>
    <t>nextdoor.com</t>
  </si>
  <si>
    <t>att.com</t>
  </si>
  <si>
    <t>nypost.com</t>
  </si>
  <si>
    <t>target.com</t>
  </si>
  <si>
    <t>ups.com</t>
  </si>
  <si>
    <t>news.google.com</t>
  </si>
  <si>
    <t>spotify.com</t>
  </si>
  <si>
    <t>xfinity.com</t>
  </si>
  <si>
    <t>apple.com</t>
  </si>
  <si>
    <t>realtor.com</t>
  </si>
  <si>
    <t>finance.yahoo.com</t>
  </si>
  <si>
    <t>yelp.com</t>
  </si>
  <si>
    <t>lowes.com</t>
  </si>
  <si>
    <t>office365.com</t>
  </si>
  <si>
    <t>washingtonpost.com</t>
  </si>
  <si>
    <t>usatoday.com</t>
  </si>
  <si>
    <t>bbc.com</t>
  </si>
  <si>
    <t>fedex.com</t>
  </si>
  <si>
    <t>wellsfargo.com</t>
  </si>
  <si>
    <t>dailymail.co.uk</t>
  </si>
  <si>
    <t>mlb.com</t>
  </si>
  <si>
    <t>capitalone.com</t>
  </si>
  <si>
    <t>cnbc.com</t>
  </si>
  <si>
    <t>wayfair.com</t>
  </si>
  <si>
    <t>nih.gov</t>
  </si>
  <si>
    <t>people.com</t>
  </si>
  <si>
    <t>bankofamerica.com</t>
  </si>
  <si>
    <t>tripadvisor.com</t>
  </si>
  <si>
    <t>redfin.com</t>
  </si>
  <si>
    <t>irs.gov</t>
  </si>
  <si>
    <t>quizlet.com</t>
  </si>
  <si>
    <t>att.net</t>
  </si>
  <si>
    <t>ticketmaster.com</t>
  </si>
  <si>
    <t>tumblr.com</t>
  </si>
  <si>
    <t>healthline.com</t>
  </si>
  <si>
    <t>npr.org</t>
  </si>
  <si>
    <t>rumble.com</t>
  </si>
  <si>
    <t>okta.com</t>
  </si>
  <si>
    <t>news.yahoo.com</t>
  </si>
  <si>
    <t>macys.com</t>
  </si>
  <si>
    <t>narvar.com</t>
  </si>
  <si>
    <t>expedia.com</t>
  </si>
  <si>
    <t>bestbuy.com</t>
  </si>
  <si>
    <t>whatsapp.com</t>
  </si>
  <si>
    <t>temu.com</t>
  </si>
  <si>
    <t>hbomax.com</t>
  </si>
  <si>
    <t>duosecurity.com</t>
  </si>
  <si>
    <t>fidelity.com</t>
  </si>
  <si>
    <t>costco.com</t>
  </si>
  <si>
    <t>github.com</t>
  </si>
  <si>
    <t>the-sun.com</t>
  </si>
  <si>
    <t>theguardian.com</t>
  </si>
  <si>
    <t>shein.com</t>
  </si>
  <si>
    <t>airbnb.com</t>
  </si>
  <si>
    <t>forbes.com</t>
  </si>
  <si>
    <t>peacocktv.com</t>
  </si>
  <si>
    <t>cvs.com</t>
  </si>
  <si>
    <t>weather.gov</t>
  </si>
  <si>
    <t>gap.com</t>
  </si>
  <si>
    <t>samsung.com</t>
  </si>
  <si>
    <t>canva.com</t>
  </si>
  <si>
    <t>livejasmin.com</t>
  </si>
  <si>
    <t>booking.com</t>
  </si>
  <si>
    <t>adobe.com</t>
  </si>
  <si>
    <t>nbcnews.com</t>
  </si>
  <si>
    <t>attn.tv</t>
  </si>
  <si>
    <t>wsj.com</t>
  </si>
  <si>
    <t>go.com</t>
  </si>
  <si>
    <t>cbssports.com</t>
  </si>
  <si>
    <t>imgur.io</t>
  </si>
  <si>
    <t>si.com</t>
  </si>
  <si>
    <t>mayoclinic.org</t>
  </si>
  <si>
    <t>soap2day.to</t>
  </si>
  <si>
    <t>force.com</t>
  </si>
  <si>
    <t>adp.com</t>
  </si>
  <si>
    <t>sports.yahoo.com</t>
  </si>
  <si>
    <t>doordash.com</t>
  </si>
  <si>
    <t>creditkarma.com</t>
  </si>
  <si>
    <t>realsrv.com</t>
  </si>
  <si>
    <t>kohls.com</t>
  </si>
  <si>
    <t>chess.com</t>
  </si>
  <si>
    <t>apnews.com</t>
  </si>
  <si>
    <t>americanexpress.com</t>
  </si>
  <si>
    <t>nike.com</t>
  </si>
  <si>
    <t>redd.it</t>
  </si>
  <si>
    <t>webmd.com</t>
  </si>
  <si>
    <t>youporn.com</t>
  </si>
  <si>
    <t>disneyplus.com</t>
  </si>
  <si>
    <t>allrecipes.com</t>
  </si>
  <si>
    <t>brave.com</t>
  </si>
  <si>
    <t>imgur.com</t>
  </si>
  <si>
    <t>buzzfeed.com</t>
  </si>
  <si>
    <t>businessinsider.com</t>
  </si>
  <si>
    <t>nba.com</t>
  </si>
  <si>
    <t>slickdeals.net</t>
  </si>
  <si>
    <t>clever.com</t>
  </si>
  <si>
    <t>9animetv.to</t>
  </si>
  <si>
    <t>insider.com</t>
  </si>
  <si>
    <t>southwest.com</t>
  </si>
  <si>
    <t>eporner.com</t>
  </si>
  <si>
    <t>zoro.to</t>
  </si>
  <si>
    <t>messenger.com</t>
  </si>
  <si>
    <t>chapmanganato.com</t>
  </si>
  <si>
    <t>list-manage.com</t>
  </si>
  <si>
    <t>wordpress.com</t>
  </si>
  <si>
    <t>cbsnews.com</t>
  </si>
  <si>
    <t>wunderground.com</t>
  </si>
  <si>
    <t>screenrant.com</t>
  </si>
  <si>
    <t>trulia.com</t>
  </si>
  <si>
    <t>biblegateway.com</t>
  </si>
  <si>
    <t>citi.com</t>
  </si>
  <si>
    <t>poshmark.com</t>
  </si>
  <si>
    <t>dropbox.com</t>
  </si>
  <si>
    <t>rule34.xxx</t>
  </si>
  <si>
    <t>linktr.ee</t>
  </si>
  <si>
    <t>aa.com</t>
  </si>
  <si>
    <t>blackboard.com</t>
  </si>
  <si>
    <t>music.youtube.com</t>
  </si>
  <si>
    <t>nfl.com</t>
  </si>
  <si>
    <t>247sports.com</t>
  </si>
  <si>
    <t>verizon.com</t>
  </si>
  <si>
    <t>fandomwire.com</t>
  </si>
  <si>
    <t>walgreens.com</t>
  </si>
  <si>
    <t>boredpanda.com</t>
  </si>
  <si>
    <t>tmz.com</t>
  </si>
  <si>
    <t>fanfiction.net</t>
  </si>
  <si>
    <t>genius.com</t>
  </si>
  <si>
    <t>schoology.com</t>
  </si>
  <si>
    <t>apartments.com</t>
  </si>
  <si>
    <t>nordstrom.com</t>
  </si>
  <si>
    <t>goodreads.com</t>
  </si>
  <si>
    <t>spectrum.net</t>
  </si>
  <si>
    <t>kick.com</t>
  </si>
  <si>
    <t>qualtrics.com</t>
  </si>
  <si>
    <t>snapchat.com</t>
  </si>
  <si>
    <t>stackoverflow.com</t>
  </si>
  <si>
    <t>eventbrite.com</t>
  </si>
  <si>
    <t>legacy.com</t>
  </si>
  <si>
    <t>character.ai</t>
  </si>
  <si>
    <t>merriam-webster.com</t>
  </si>
  <si>
    <t>ign.com</t>
  </si>
  <si>
    <t>huffpost.com</t>
  </si>
  <si>
    <t>politico.com</t>
  </si>
  <si>
    <t>cargurus.com</t>
  </si>
  <si>
    <t>rottentomatoes.com</t>
  </si>
  <si>
    <t>medium.com</t>
  </si>
  <si>
    <t>foodnetwork.com</t>
  </si>
  <si>
    <t>usnews.com</t>
  </si>
  <si>
    <t>delta.com</t>
  </si>
  <si>
    <t>foxbusiness.com</t>
  </si>
  <si>
    <t>sephora.com</t>
  </si>
  <si>
    <t>reuters.com</t>
  </si>
  <si>
    <t>deviantart.com</t>
  </si>
  <si>
    <t>discover.com</t>
  </si>
  <si>
    <t>clevelandclinic.org</t>
  </si>
  <si>
    <t>nbcsports.com</t>
  </si>
  <si>
    <t>flirt4free.com</t>
  </si>
  <si>
    <t>app.link</t>
  </si>
  <si>
    <t>nhentai.net</t>
  </si>
  <si>
    <t>myshopify.com</t>
  </si>
  <si>
    <t>marca.com</t>
  </si>
  <si>
    <t>ancestry.com</t>
  </si>
  <si>
    <t>onelink.me</t>
  </si>
  <si>
    <t>drudgereport.com</t>
  </si>
  <si>
    <t>united.com</t>
  </si>
  <si>
    <t>marriott.com</t>
  </si>
  <si>
    <t>myworkdayjobs.com</t>
  </si>
  <si>
    <t>toasttab.com</t>
  </si>
  <si>
    <t>medicalnewstoday.com</t>
  </si>
  <si>
    <t>abcnews.go.com</t>
  </si>
  <si>
    <t>cricketwireless.com</t>
  </si>
  <si>
    <t>chewy.com</t>
  </si>
  <si>
    <t>marketwatch.com</t>
  </si>
  <si>
    <t>chegg.com</t>
  </si>
  <si>
    <t>shop.app</t>
  </si>
  <si>
    <t>docusign.net</t>
  </si>
  <si>
    <t>classlink.com</t>
  </si>
  <si>
    <t>dickssportinggoods.com</t>
  </si>
  <si>
    <t>vrbo.com</t>
  </si>
  <si>
    <t>outlook.com</t>
  </si>
  <si>
    <t>crunchyroll.com</t>
  </si>
  <si>
    <t>pch.com</t>
  </si>
  <si>
    <t>tnaflix.com</t>
  </si>
  <si>
    <t>wikihow.com</t>
  </si>
  <si>
    <t>thehill.com</t>
  </si>
  <si>
    <t>collegeboard.org</t>
  </si>
  <si>
    <t>jw.org</t>
  </si>
  <si>
    <t>redtube.com</t>
  </si>
  <si>
    <t>carfax.com</t>
  </si>
  <si>
    <t>harborfreight.com</t>
  </si>
  <si>
    <t>newsweek.com</t>
  </si>
  <si>
    <t>predictiondexchange.com</t>
  </si>
  <si>
    <t>goodhousekeeping.com</t>
  </si>
  <si>
    <t>samsclub.com</t>
  </si>
  <si>
    <t>revcontent.com</t>
  </si>
  <si>
    <t>experian.com</t>
  </si>
  <si>
    <t>archive.org</t>
  </si>
  <si>
    <t>slack.com</t>
  </si>
  <si>
    <t>latimes.com</t>
  </si>
  <si>
    <t>patreon.com</t>
  </si>
  <si>
    <t>opentable.com</t>
  </si>
  <si>
    <t>bovada.lv</t>
  </si>
  <si>
    <t>aarp.org</t>
  </si>
  <si>
    <t>jerkmate.com</t>
  </si>
  <si>
    <t>adultfriendfinder.com</t>
  </si>
  <si>
    <t>cdc.gov</t>
  </si>
  <si>
    <t>gamespot.com</t>
  </si>
  <si>
    <t>smart.link</t>
  </si>
  <si>
    <t>paramountplus.com</t>
  </si>
  <si>
    <t>salesforce.com</t>
  </si>
  <si>
    <t>t.me</t>
  </si>
  <si>
    <t>jcpenney.com</t>
  </si>
  <si>
    <t>literotica.com</t>
  </si>
  <si>
    <t>syf.com</t>
  </si>
  <si>
    <t>stackexchange.com</t>
  </si>
  <si>
    <t>fetlife.com</t>
  </si>
  <si>
    <t>aliexpress.com</t>
  </si>
  <si>
    <t>ziprecruiter.com</t>
  </si>
  <si>
    <t>synchrony.com</t>
  </si>
  <si>
    <t>soundcloud.com</t>
  </si>
  <si>
    <t>definition.org</t>
  </si>
  <si>
    <t>cars.com</t>
  </si>
  <si>
    <t>ulta.com</t>
  </si>
  <si>
    <t>gamerant.com</t>
  </si>
  <si>
    <t>ny.gov</t>
  </si>
  <si>
    <t>page.link</t>
  </si>
  <si>
    <t>icloud.com</t>
  </si>
  <si>
    <t>schwab.com</t>
  </si>
  <si>
    <t>bleacherreport.com</t>
  </si>
  <si>
    <t>fmovies.to</t>
  </si>
  <si>
    <t>9anime.to</t>
  </si>
  <si>
    <t>myworkday.com</t>
  </si>
  <si>
    <t>steamcommunity.com</t>
  </si>
  <si>
    <t>dsw.com</t>
  </si>
  <si>
    <t>xhamsterlive.com</t>
  </si>
  <si>
    <t>evite.com</t>
  </si>
  <si>
    <t>squareup.com</t>
  </si>
  <si>
    <t>gmail.com</t>
  </si>
  <si>
    <t>zendesk.com</t>
  </si>
  <si>
    <t>kayak.com</t>
  </si>
  <si>
    <t>sfgate.com</t>
  </si>
  <si>
    <t>listcrawler.eu</t>
  </si>
  <si>
    <t>dominos.com</t>
  </si>
  <si>
    <t>erome.com</t>
  </si>
  <si>
    <t>bloomberg.com</t>
  </si>
  <si>
    <t>priceline.com</t>
  </si>
  <si>
    <t>tsyndicate.com</t>
  </si>
  <si>
    <t>ssa.gov</t>
  </si>
  <si>
    <t>gofundme.com</t>
  </si>
  <si>
    <t>glassdoor.com</t>
  </si>
  <si>
    <t>breitbart.com</t>
  </si>
  <si>
    <t>instacart.com</t>
  </si>
  <si>
    <t>sportskeeda.com</t>
  </si>
  <si>
    <t>pearson.com</t>
  </si>
  <si>
    <t>thedailybeast.com</t>
  </si>
  <si>
    <t>autozone.com</t>
  </si>
  <si>
    <t>athenahealth.com</t>
  </si>
  <si>
    <t>state.gov</t>
  </si>
  <si>
    <t>hilton.com</t>
  </si>
  <si>
    <t>nhl.com</t>
  </si>
  <si>
    <t>kroger.com</t>
  </si>
  <si>
    <t>cbr.com</t>
  </si>
  <si>
    <t>churchofjesuschrist.org</t>
  </si>
  <si>
    <t>mercari.com</t>
  </si>
  <si>
    <t>worldstarhiphop.com</t>
  </si>
  <si>
    <t>nerdwallet.com</t>
  </si>
  <si>
    <t>food.google.com</t>
  </si>
  <si>
    <t>ameritrade.com</t>
  </si>
  <si>
    <t>britannica.com</t>
  </si>
  <si>
    <t>substack.com</t>
  </si>
  <si>
    <t>autotrader.com</t>
  </si>
  <si>
    <t>grammarly.com</t>
  </si>
  <si>
    <t>variety.com</t>
  </si>
  <si>
    <t>shopify.com</t>
  </si>
  <si>
    <t>skipthegames.com</t>
  </si>
  <si>
    <t>ikea.com</t>
  </si>
  <si>
    <t>steampowered.com</t>
  </si>
  <si>
    <t>nutaku.net</t>
  </si>
  <si>
    <t>homes.com</t>
  </si>
  <si>
    <t>theatlantic.com</t>
  </si>
  <si>
    <t>tasteofhome.com</t>
  </si>
  <si>
    <t>kmail-lists.com</t>
  </si>
  <si>
    <t>sendgrid.net</t>
  </si>
  <si>
    <t>wattpad.com</t>
  </si>
  <si>
    <t>kaiserpermanente.org</t>
  </si>
  <si>
    <t>uscis.gov</t>
  </si>
  <si>
    <t>usbank.com</t>
  </si>
  <si>
    <t>collider.com</t>
  </si>
  <si>
    <t>stubhub.com</t>
  </si>
  <si>
    <t>activebeat.com</t>
  </si>
  <si>
    <t>texas.gov</t>
  </si>
  <si>
    <t>myfreecams.com</t>
  </si>
  <si>
    <t>id.me</t>
  </si>
  <si>
    <t>redgifs.com</t>
  </si>
  <si>
    <t>iheart.com</t>
  </si>
  <si>
    <t>motorbiscuit.com</t>
  </si>
  <si>
    <t>jobcase.com</t>
  </si>
  <si>
    <t>pnc.com</t>
  </si>
  <si>
    <t>hanime.tv</t>
  </si>
  <si>
    <t>brainly.com</t>
  </si>
  <si>
    <t>hotels.com</t>
  </si>
  <si>
    <t>on3.com</t>
  </si>
  <si>
    <t>ultipro.com</t>
  </si>
  <si>
    <t>amctheatres.com</t>
  </si>
  <si>
    <t>harvard.edu</t>
  </si>
  <si>
    <t>patch.com</t>
  </si>
  <si>
    <t>thestreameast.to</t>
  </si>
  <si>
    <t>rakuten.com</t>
  </si>
  <si>
    <t>youjizz.com</t>
  </si>
  <si>
    <t>investopedia.com</t>
  </si>
  <si>
    <t>manganato.com</t>
  </si>
  <si>
    <t>stake.us</t>
  </si>
  <si>
    <t>thestreet.com</t>
  </si>
  <si>
    <t>wcostream.net</t>
  </si>
  <si>
    <t>tickets-center.com</t>
  </si>
  <si>
    <t>va.gov</t>
  </si>
  <si>
    <t>noaa.gov</t>
  </si>
  <si>
    <t>independent.co.uk</t>
  </si>
  <si>
    <t>dsplsm.com</t>
  </si>
  <si>
    <t>facebookuserprivacysettlement.com</t>
  </si>
  <si>
    <t>theknot.com</t>
  </si>
  <si>
    <t>vimeo.com</t>
  </si>
  <si>
    <t>uber.com</t>
  </si>
  <si>
    <t>tractorsupply.com</t>
  </si>
  <si>
    <t>maps.google.com</t>
  </si>
  <si>
    <t>traffic.name</t>
  </si>
  <si>
    <t>acehardware.com</t>
  </si>
  <si>
    <t>atlassian.net</t>
  </si>
  <si>
    <t>thespruce.com</t>
  </si>
  <si>
    <t>hrblock.com</t>
  </si>
  <si>
    <t>mheducation.com</t>
  </si>
  <si>
    <t>k12.com</t>
  </si>
  <si>
    <t>zappos.com</t>
  </si>
  <si>
    <t>nordstromrack.com</t>
  </si>
  <si>
    <t>noodlemagazine.com</t>
  </si>
  <si>
    <t>bilibili.com</t>
  </si>
  <si>
    <t>icims.com</t>
  </si>
  <si>
    <t>getadblock.com</t>
  </si>
  <si>
    <t>delish.com</t>
  </si>
  <si>
    <t>mentalbits.com</t>
  </si>
  <si>
    <t>tdameritrade.com</t>
  </si>
  <si>
    <t>sex.com</t>
  </si>
  <si>
    <t>rei.com</t>
  </si>
  <si>
    <t>movoto.com</t>
  </si>
  <si>
    <t>powerschool.com</t>
  </si>
  <si>
    <t>victoriassecret.com</t>
  </si>
  <si>
    <t>sniffies.com</t>
  </si>
  <si>
    <t>mangago.me</t>
  </si>
  <si>
    <t>menards.com</t>
  </si>
  <si>
    <t>driftstreams.com</t>
  </si>
  <si>
    <t>insidethemagic.net</t>
  </si>
  <si>
    <t>pagesix.com</t>
  </si>
  <si>
    <t>word.tips</t>
  </si>
  <si>
    <t>capitaloneshopping.com</t>
  </si>
  <si>
    <t>bet365.com</t>
  </si>
  <si>
    <t>thesaurus.com</t>
  </si>
  <si>
    <t>healthy.kaiserpermanente.org</t>
  </si>
  <si>
    <t>khanacademy.org</t>
  </si>
  <si>
    <t>ksl.com</t>
  </si>
  <si>
    <t>aliexpress.us</t>
  </si>
  <si>
    <t>fandango.com</t>
  </si>
  <si>
    <t>today.com</t>
  </si>
  <si>
    <t>tubitv.com</t>
  </si>
  <si>
    <t>kbb.com</t>
  </si>
  <si>
    <t>4chan.org</t>
  </si>
  <si>
    <t>ssyoutube.com</t>
  </si>
  <si>
    <t>medallia.com</t>
  </si>
  <si>
    <t>naver.com</t>
  </si>
  <si>
    <t>nyc.gov</t>
  </si>
  <si>
    <t>slate.com</t>
  </si>
  <si>
    <t>overstock.com</t>
  </si>
  <si>
    <t>bathandbodyworks.com</t>
  </si>
  <si>
    <t>service-now.com</t>
  </si>
  <si>
    <t>fashionnova.com</t>
  </si>
  <si>
    <t>heywise.com</t>
  </si>
  <si>
    <t>grubhub.com</t>
  </si>
  <si>
    <t>groupon.com</t>
  </si>
  <si>
    <t>ecosia.org</t>
  </si>
  <si>
    <t>bangbros.com</t>
  </si>
  <si>
    <t>proton.me</t>
  </si>
  <si>
    <t>signupgenius.com</t>
  </si>
  <si>
    <t>citibankonline.com</t>
  </si>
  <si>
    <t>theverge.com</t>
  </si>
  <si>
    <t>hgtv.com</t>
  </si>
  <si>
    <t>newsmax.com</t>
  </si>
  <si>
    <t>truist.com</t>
  </si>
  <si>
    <t>bongacams.com</t>
  </si>
  <si>
    <t>audible.com</t>
  </si>
  <si>
    <t>thaudray.com</t>
  </si>
  <si>
    <t>sciencedirect.com</t>
  </si>
  <si>
    <t>securecafe.com</t>
  </si>
  <si>
    <t>href.li</t>
  </si>
  <si>
    <t>fapello.com</t>
  </si>
  <si>
    <t>motherless.com</t>
  </si>
  <si>
    <t>docusign.com</t>
  </si>
  <si>
    <t>aws.amazon.com</t>
  </si>
  <si>
    <t>cosmopolitan.com</t>
  </si>
  <si>
    <t>office.net</t>
  </si>
  <si>
    <t>usaa.com</t>
  </si>
  <si>
    <t>thegatewaypundit.com</t>
  </si>
  <si>
    <t>simpcity.su</t>
  </si>
  <si>
    <t>waicaiwhosha.com</t>
  </si>
  <si>
    <t>adidas.com</t>
  </si>
  <si>
    <t>square.site</t>
  </si>
  <si>
    <t>escortbabylon.net</t>
  </si>
  <si>
    <t>essentiallysports.com</t>
  </si>
  <si>
    <t>ixxx.com</t>
  </si>
  <si>
    <t>yourtango.com</t>
  </si>
  <si>
    <t>pandora.com</t>
  </si>
  <si>
    <t>surveymonkey.com</t>
  </si>
  <si>
    <t>theathletic.com</t>
  </si>
  <si>
    <t>discordapp.com</t>
  </si>
  <si>
    <t>notion.so</t>
  </si>
  <si>
    <t>comenity.net</t>
  </si>
  <si>
    <t>drugs.com</t>
  </si>
  <si>
    <t>baidu.com</t>
  </si>
  <si>
    <t>outkick.com</t>
  </si>
  <si>
    <t>goodrx.com</t>
  </si>
  <si>
    <t>pornpics.com</t>
  </si>
  <si>
    <t>americascardroom.eu</t>
  </si>
  <si>
    <t>box.com</t>
  </si>
  <si>
    <t>fubo.tv</t>
  </si>
  <si>
    <t>jerkmate.net</t>
  </si>
  <si>
    <t>rivals.com</t>
  </si>
  <si>
    <t>dailywire.com</t>
  </si>
  <si>
    <t>carmax.com</t>
  </si>
  <si>
    <t>progressive.com</t>
  </si>
  <si>
    <t>fool.com</t>
  </si>
  <si>
    <t>ask.com</t>
  </si>
  <si>
    <t>ok.ru</t>
  </si>
  <si>
    <t>deadline.com</t>
  </si>
  <si>
    <t>bbc.co.uk</t>
  </si>
  <si>
    <t>dillards.com</t>
  </si>
  <si>
    <t>disney.go.com</t>
  </si>
  <si>
    <t>cengage.com</t>
  </si>
  <si>
    <t>tpbid.com</t>
  </si>
  <si>
    <t>starbucks.com</t>
  </si>
  <si>
    <t>womenshealthmag.com</t>
  </si>
  <si>
    <t>ew.com</t>
  </si>
  <si>
    <t>WMT</t>
  </si>
  <si>
    <t>NFLX</t>
  </si>
  <si>
    <t>FOX</t>
  </si>
  <si>
    <t>RBLX</t>
  </si>
  <si>
    <t>ETSY</t>
  </si>
  <si>
    <t>ZM</t>
  </si>
  <si>
    <t>HD</t>
  </si>
  <si>
    <t>TMUS</t>
  </si>
  <si>
    <t>PYPL</t>
  </si>
  <si>
    <t>JPM</t>
  </si>
  <si>
    <t>EBAY</t>
  </si>
  <si>
    <t>INST</t>
  </si>
  <si>
    <t>ZG</t>
  </si>
  <si>
    <t>PINS</t>
  </si>
  <si>
    <t>Recruit</t>
  </si>
  <si>
    <t>WBD</t>
  </si>
  <si>
    <t>INTU</t>
  </si>
  <si>
    <t>AAPL</t>
  </si>
  <si>
    <t>WFC</t>
  </si>
  <si>
    <t>COF</t>
  </si>
  <si>
    <t>CMCSA</t>
  </si>
  <si>
    <t>BAC</t>
  </si>
  <si>
    <t>Government</t>
  </si>
  <si>
    <t>T</t>
  </si>
  <si>
    <t>FDX</t>
  </si>
  <si>
    <t>COST</t>
  </si>
  <si>
    <t>ABNB</t>
  </si>
  <si>
    <t>BKNG</t>
  </si>
  <si>
    <t>ADBE</t>
  </si>
  <si>
    <t>AXP</t>
  </si>
  <si>
    <t>NKE</t>
  </si>
  <si>
    <t>C</t>
  </si>
  <si>
    <t>VZ</t>
  </si>
  <si>
    <t>TGT</t>
  </si>
  <si>
    <t>UPS</t>
  </si>
  <si>
    <t>SPOT</t>
  </si>
  <si>
    <t>OKTA</t>
  </si>
  <si>
    <t>EXPE</t>
  </si>
  <si>
    <t>BBY</t>
  </si>
  <si>
    <t>CVS</t>
  </si>
  <si>
    <t>GPS</t>
  </si>
  <si>
    <t>DASH</t>
  </si>
  <si>
    <t>KSS</t>
  </si>
  <si>
    <t>SNAP</t>
  </si>
  <si>
    <t>SHOP</t>
  </si>
  <si>
    <t>CRM</t>
  </si>
  <si>
    <t>BIDU</t>
  </si>
  <si>
    <t>SBUX</t>
  </si>
  <si>
    <t>TEAM</t>
  </si>
  <si>
    <t>Google Sites</t>
  </si>
  <si>
    <t>koyfin.com</t>
  </si>
  <si>
    <t>finviz.com</t>
  </si>
  <si>
    <t>tradingview.com</t>
  </si>
  <si>
    <t>opensea.io</t>
  </si>
  <si>
    <t>gawker.com</t>
  </si>
  <si>
    <t>drgupta.ai</t>
  </si>
  <si>
    <t>gizmodo.com</t>
  </si>
  <si>
    <t>coinmarketcap.com</t>
  </si>
  <si>
    <t>binance.com</t>
  </si>
  <si>
    <t>statnews.com</t>
  </si>
  <si>
    <t>NOW</t>
  </si>
  <si>
    <t>vice.com</t>
  </si>
  <si>
    <t>Valnet</t>
  </si>
  <si>
    <t>pfizer.com</t>
  </si>
  <si>
    <t>merck.com</t>
  </si>
  <si>
    <t>seekingalpha.com</t>
  </si>
  <si>
    <t>benzinga.com</t>
  </si>
  <si>
    <t>coindesk.com</t>
  </si>
  <si>
    <t>coinbase.com</t>
  </si>
  <si>
    <t>coingecko.com</t>
  </si>
  <si>
    <t>brazzers.com</t>
  </si>
  <si>
    <t>eveonline.com</t>
  </si>
  <si>
    <t>runescape.com</t>
  </si>
  <si>
    <t>rollingstone.com</t>
  </si>
  <si>
    <t>care.com</t>
  </si>
  <si>
    <t>casper.com</t>
  </si>
  <si>
    <t>parler.com</t>
  </si>
  <si>
    <t>stocktwits.com</t>
  </si>
  <si>
    <t>nasdaq.com</t>
  </si>
  <si>
    <t>investing.com</t>
  </si>
  <si>
    <t>etrade.com</t>
  </si>
  <si>
    <t>MS</t>
  </si>
  <si>
    <t>robinhood.com</t>
  </si>
  <si>
    <t>vanguard.com</t>
  </si>
  <si>
    <t>etherscan.io</t>
  </si>
  <si>
    <t>slither.io</t>
  </si>
  <si>
    <t>agar.io</t>
  </si>
  <si>
    <t>jnj.com</t>
  </si>
  <si>
    <t>LOW</t>
  </si>
  <si>
    <t>YELP</t>
  </si>
  <si>
    <t>pitchfork.com</t>
  </si>
  <si>
    <t>brooklynvegan.com</t>
  </si>
  <si>
    <t>jira.com</t>
  </si>
  <si>
    <t>huggingface.co</t>
  </si>
  <si>
    <t>sec.gov</t>
  </si>
  <si>
    <t>law360.com</t>
  </si>
  <si>
    <t>lilly.com</t>
  </si>
  <si>
    <t>tidal.com</t>
  </si>
  <si>
    <t>discogs.com</t>
  </si>
  <si>
    <t>last.fm</t>
  </si>
  <si>
    <t>okcupid.com</t>
  </si>
  <si>
    <t>tinder.com</t>
  </si>
  <si>
    <t>MTCH</t>
  </si>
  <si>
    <t>match.com</t>
  </si>
  <si>
    <t>HOOD</t>
  </si>
  <si>
    <t>COIN</t>
  </si>
  <si>
    <t>pof.com</t>
  </si>
  <si>
    <t>pastebin.com</t>
  </si>
  <si>
    <t>asurascans.com</t>
  </si>
  <si>
    <t>knowyourmeme.com</t>
  </si>
  <si>
    <t>seventeen.com</t>
  </si>
  <si>
    <t>avclub.com</t>
  </si>
  <si>
    <t>bankrate.com</t>
  </si>
  <si>
    <t>spin.com</t>
  </si>
  <si>
    <t>nme.com</t>
  </si>
  <si>
    <t>stereogum.com</t>
  </si>
  <si>
    <t>songlyrics.com</t>
  </si>
  <si>
    <t>lyrics.com</t>
  </si>
  <si>
    <t>azlyrics.com</t>
  </si>
  <si>
    <t>complex.com</t>
  </si>
  <si>
    <t>patient.info</t>
  </si>
  <si>
    <t>jamanetwork.com</t>
  </si>
  <si>
    <t>plos.org</t>
  </si>
  <si>
    <t>elle.com</t>
  </si>
  <si>
    <t>newegg.com</t>
  </si>
  <si>
    <t>usmagazine.com</t>
  </si>
  <si>
    <t>vogue.com</t>
  </si>
  <si>
    <t>roku.com</t>
  </si>
  <si>
    <t>ring.com</t>
  </si>
  <si>
    <t>esquire.com</t>
  </si>
  <si>
    <t>newyorker.com</t>
  </si>
  <si>
    <t>nymag.com</t>
  </si>
  <si>
    <t>glamour.com</t>
  </si>
  <si>
    <t>prezi.com</t>
  </si>
  <si>
    <t>justanswer.com</t>
  </si>
  <si>
    <t>yourmechanic.com</t>
  </si>
  <si>
    <t>carparts.com</t>
  </si>
  <si>
    <t>carid.com</t>
  </si>
  <si>
    <t>bmj.com</t>
  </si>
  <si>
    <t>comicbook.com</t>
  </si>
  <si>
    <t>food.com</t>
  </si>
  <si>
    <t>caranddriver.com</t>
  </si>
  <si>
    <t>tesla.com</t>
  </si>
  <si>
    <t>edmunds.com</t>
  </si>
  <si>
    <t>weddingwire.com</t>
  </si>
  <si>
    <t>decider.com</t>
  </si>
  <si>
    <t>travelandleisure.com</t>
  </si>
  <si>
    <t>ranker.com</t>
  </si>
  <si>
    <t>vox.com</t>
  </si>
  <si>
    <t>arstechnica.com</t>
  </si>
  <si>
    <t>uptodown.com</t>
  </si>
  <si>
    <t>uptobox.com</t>
  </si>
  <si>
    <t>uptodate.com</t>
  </si>
  <si>
    <t>columbia.edu</t>
  </si>
  <si>
    <t>hotelplanner.com</t>
  </si>
  <si>
    <t>howstuffworks.com</t>
  </si>
  <si>
    <t>NWSA</t>
  </si>
  <si>
    <t>KIND</t>
  </si>
  <si>
    <t>Microsoft Sites</t>
  </si>
  <si>
    <t>Allen Media</t>
  </si>
  <si>
    <t>W</t>
  </si>
  <si>
    <t>TRIP</t>
  </si>
  <si>
    <t>RDFN</t>
  </si>
  <si>
    <t>IAC</t>
  </si>
  <si>
    <t>LYV</t>
  </si>
  <si>
    <t>Automattic</t>
  </si>
  <si>
    <t>ComScore</t>
  </si>
  <si>
    <t>Red Ventures</t>
  </si>
  <si>
    <t>Originally YourDoctor.com. &gt;$100m revenue in 2019</t>
  </si>
  <si>
    <t>M</t>
  </si>
  <si>
    <t>PDD</t>
  </si>
  <si>
    <t>CSCO</t>
  </si>
  <si>
    <t>McClatchy</t>
  </si>
  <si>
    <t>Guardian Media</t>
  </si>
  <si>
    <t>5935</t>
  </si>
  <si>
    <t>PARA</t>
  </si>
  <si>
    <t>ADP</t>
  </si>
  <si>
    <t>Piracy</t>
  </si>
  <si>
    <t>Media Lab</t>
  </si>
  <si>
    <t>35420</t>
  </si>
  <si>
    <t>DBX</t>
  </si>
  <si>
    <t>AAL</t>
  </si>
  <si>
    <t>Anthology</t>
  </si>
  <si>
    <t>WBA</t>
  </si>
  <si>
    <t>PWSC</t>
  </si>
  <si>
    <t>Ed Craven</t>
  </si>
  <si>
    <t>XM</t>
  </si>
  <si>
    <t>EB</t>
  </si>
  <si>
    <t>Prosus</t>
  </si>
  <si>
    <t>CHGG</t>
  </si>
  <si>
    <t>DOCU</t>
  </si>
  <si>
    <t>JCP</t>
  </si>
  <si>
    <t>AZO</t>
  </si>
  <si>
    <t>NRDS</t>
  </si>
  <si>
    <t>USB</t>
  </si>
  <si>
    <t>AMC</t>
  </si>
  <si>
    <t>UBER</t>
  </si>
  <si>
    <t>BILI</t>
  </si>
  <si>
    <t>BABA</t>
  </si>
  <si>
    <t>gamestop.com</t>
  </si>
  <si>
    <t>GME</t>
  </si>
  <si>
    <t>playstation.com</t>
  </si>
  <si>
    <t>Z</t>
  </si>
  <si>
    <t>Visits</t>
  </si>
  <si>
    <t>APO</t>
  </si>
  <si>
    <t>techcrunch.com</t>
  </si>
  <si>
    <t>wired.com</t>
  </si>
  <si>
    <t>engadget.com</t>
  </si>
  <si>
    <t>instyle.com</t>
  </si>
  <si>
    <t>harpersbazaar.com</t>
  </si>
  <si>
    <t>wwd.com</t>
  </si>
  <si>
    <t>whowhatwear.com</t>
  </si>
  <si>
    <t>vanityfair.com</t>
  </si>
  <si>
    <t>tenor.com</t>
  </si>
  <si>
    <t>giphy.com</t>
  </si>
  <si>
    <t>Daily Visits</t>
  </si>
  <si>
    <t>Monthly</t>
  </si>
  <si>
    <t>50/mo+</t>
  </si>
  <si>
    <t>20/mo+</t>
  </si>
  <si>
    <t>DUniqueVs</t>
  </si>
  <si>
    <t>WW</t>
  </si>
  <si>
    <t>WWAvg</t>
  </si>
  <si>
    <t>WW28-day</t>
  </si>
  <si>
    <t>MC</t>
  </si>
  <si>
    <t>Unique Vs</t>
  </si>
  <si>
    <t>Yes</t>
  </si>
  <si>
    <t>Last 28 days TVs</t>
  </si>
  <si>
    <t>Duration</t>
  </si>
  <si>
    <t>1:27</t>
  </si>
  <si>
    <t>1:00</t>
  </si>
  <si>
    <t>pubmed.ncbi.nlm.nih.gov</t>
  </si>
  <si>
    <t>1:09</t>
  </si>
  <si>
    <t>5:11</t>
  </si>
  <si>
    <t>3:45</t>
  </si>
  <si>
    <t>5:08</t>
  </si>
  <si>
    <t>facty.com</t>
  </si>
  <si>
    <t>10faq.com</t>
  </si>
  <si>
    <t>gq.com</t>
  </si>
  <si>
    <t>mensjournal.com</t>
  </si>
  <si>
    <t>ycombinator.com</t>
  </si>
  <si>
    <t>logitech.com</t>
  </si>
  <si>
    <t>asus.com</t>
  </si>
  <si>
    <t>tradingeconomics.com</t>
  </si>
  <si>
    <t>macrotrends.net</t>
  </si>
  <si>
    <t>CHTR</t>
  </si>
  <si>
    <t>JWN</t>
  </si>
  <si>
    <t>CSGP</t>
  </si>
  <si>
    <t>User Minutes</t>
  </si>
  <si>
    <t>29:20</t>
  </si>
  <si>
    <t>Global</t>
  </si>
  <si>
    <t>Prior</t>
  </si>
  <si>
    <t>US</t>
  </si>
  <si>
    <t>Est</t>
  </si>
  <si>
    <t>yandex.ru</t>
  </si>
  <si>
    <t>-</t>
  </si>
  <si>
    <t>yahoo.co.jp</t>
  </si>
  <si>
    <t>docomo.ne.jp</t>
  </si>
  <si>
    <t>dzen.ru</t>
  </si>
  <si>
    <t>vk.com</t>
  </si>
  <si>
    <t>TSLA</t>
  </si>
  <si>
    <t>nvidia.com</t>
  </si>
  <si>
    <t>palantir.com</t>
  </si>
  <si>
    <t>databricks.com</t>
  </si>
  <si>
    <t>getcruise.com</t>
  </si>
  <si>
    <t>waymo.com</t>
  </si>
  <si>
    <t>iflytek.com</t>
  </si>
  <si>
    <t>nice.com</t>
  </si>
  <si>
    <t>sensetime.com</t>
  </si>
  <si>
    <t>pony.ai</t>
  </si>
  <si>
    <t>nuro.ai</t>
  </si>
  <si>
    <t>scale.com</t>
  </si>
  <si>
    <t>gong.io</t>
  </si>
  <si>
    <t>datarobot.com</t>
  </si>
  <si>
    <t>sambanova.ai</t>
  </si>
  <si>
    <t>ubtrobot.com</t>
  </si>
  <si>
    <t>anthropic.com</t>
  </si>
  <si>
    <t>thoughtspot.com</t>
  </si>
  <si>
    <t>inflection.ai</t>
  </si>
  <si>
    <t>heypi.com</t>
  </si>
  <si>
    <t>Inflection</t>
  </si>
  <si>
    <t>cerebras.net</t>
  </si>
  <si>
    <t>dataminr.com</t>
  </si>
  <si>
    <t>vastdata.com</t>
  </si>
  <si>
    <t>megvii.com</t>
  </si>
  <si>
    <t>dataiku.com</t>
  </si>
  <si>
    <t>c3.ai</t>
  </si>
  <si>
    <t>4paradigm.com</t>
  </si>
  <si>
    <t>appliedintuition.com</t>
  </si>
  <si>
    <t>symphonyai.com</t>
  </si>
  <si>
    <t>stability.ai</t>
  </si>
  <si>
    <t>momenta.cn</t>
  </si>
  <si>
    <t>graphcore.ai</t>
  </si>
  <si>
    <t>shield.ai</t>
  </si>
  <si>
    <t>janitorai.com</t>
  </si>
  <si>
    <t>24:30</t>
  </si>
  <si>
    <t>uniphore.com</t>
  </si>
  <si>
    <t>moveworks.com</t>
  </si>
  <si>
    <t>moveworks.ai</t>
  </si>
  <si>
    <t>cohere.com</t>
  </si>
  <si>
    <t>plus.ai</t>
  </si>
  <si>
    <t>skydio.com</t>
  </si>
  <si>
    <t>wayve.ai</t>
  </si>
  <si>
    <t>eightfold.ai</t>
  </si>
  <si>
    <t>h2o.ai</t>
  </si>
  <si>
    <t>dominodatalab.com</t>
  </si>
  <si>
    <t>builder.ai</t>
  </si>
  <si>
    <t>paradox.ai</t>
  </si>
  <si>
    <t>spicychat.ai</t>
  </si>
  <si>
    <t>replika.com</t>
  </si>
  <si>
    <t>nastia.ai</t>
  </si>
  <si>
    <t>jasper.ai</t>
  </si>
  <si>
    <t>runwayml.com</t>
  </si>
  <si>
    <t>khealth.com</t>
  </si>
  <si>
    <t>enflame-tech.com</t>
  </si>
  <si>
    <t>soterea.cn</t>
  </si>
  <si>
    <t>squirrelai.com</t>
  </si>
  <si>
    <t>ada.cx</t>
  </si>
  <si>
    <t>wandb.ai</t>
  </si>
  <si>
    <t>paperswithcode.com</t>
  </si>
  <si>
    <t>openreview.net</t>
  </si>
  <si>
    <t>adept.ai</t>
  </si>
  <si>
    <t>arxiv.org</t>
  </si>
  <si>
    <t>overleaf.com</t>
  </si>
  <si>
    <t>theaicore.com</t>
  </si>
  <si>
    <t>midjourney.com</t>
  </si>
  <si>
    <t>deeproute.ai</t>
  </si>
  <si>
    <t>vastaitech.com</t>
  </si>
  <si>
    <t>oosto.com</t>
  </si>
  <si>
    <t>glean.ai</t>
  </si>
  <si>
    <t>people.ai</t>
  </si>
  <si>
    <t>tecton.ai</t>
  </si>
  <si>
    <t>anyscale.com</t>
  </si>
  <si>
    <t>synthesia.io</t>
  </si>
  <si>
    <t>snorkel.ai</t>
  </si>
  <si>
    <t>typeface.ai</t>
  </si>
  <si>
    <t>observe.ai</t>
  </si>
  <si>
    <t>openspace.ai</t>
  </si>
  <si>
    <t>shift-technology.com</t>
  </si>
  <si>
    <t>labelbox.com</t>
  </si>
  <si>
    <t>meero.com</t>
  </si>
  <si>
    <t>pinecone.io</t>
  </si>
  <si>
    <t>octoml.ai</t>
  </si>
  <si>
    <t>groq.com</t>
  </si>
  <si>
    <t>sanity.io</t>
  </si>
  <si>
    <t>nextplatform.com</t>
  </si>
  <si>
    <t>weka.io</t>
  </si>
  <si>
    <t>rackspace.com</t>
  </si>
  <si>
    <t>rescale.com</t>
  </si>
  <si>
    <t>ai21.com</t>
  </si>
  <si>
    <t>the-good-ai.com</t>
  </si>
  <si>
    <t>descript.com</t>
  </si>
  <si>
    <t>speechify.com</t>
  </si>
  <si>
    <t>lalal.ai</t>
  </si>
  <si>
    <t>otter.ai</t>
  </si>
  <si>
    <t>riverside.fm</t>
  </si>
  <si>
    <t>vian.ai</t>
  </si>
  <si>
    <t>petuum.com</t>
  </si>
  <si>
    <t>amprobotics.com</t>
  </si>
  <si>
    <t>aisera.com</t>
  </si>
  <si>
    <t>covariant.ai</t>
  </si>
  <si>
    <t>primer.ai</t>
  </si>
  <si>
    <t>cloudfactory.com</t>
  </si>
  <si>
    <t>artera.ai</t>
  </si>
  <si>
    <t>ada.com</t>
  </si>
  <si>
    <t>climavision.com</t>
  </si>
  <si>
    <t>rossum.ai</t>
  </si>
  <si>
    <t>poly.ai</t>
  </si>
  <si>
    <t>tome.app</t>
  </si>
  <si>
    <t>vedrai.com</t>
  </si>
  <si>
    <t>abacus.ai</t>
  </si>
  <si>
    <t>fetch.ai</t>
  </si>
  <si>
    <t>infinitus.ai</t>
  </si>
  <si>
    <t>mistral.ai</t>
  </si>
  <si>
    <t>ascertain.com</t>
  </si>
  <si>
    <t>reka.ai</t>
  </si>
  <si>
    <t>artera.io</t>
  </si>
  <si>
    <t>playgroundai.com</t>
  </si>
  <si>
    <t>syllable.ai</t>
  </si>
  <si>
    <t>ambirobotics.com</t>
  </si>
  <si>
    <t>d-id.com</t>
  </si>
  <si>
    <t>johnsnowlabs.com</t>
  </si>
  <si>
    <t>tryswivl.com</t>
  </si>
  <si>
    <t>metatext.io</t>
  </si>
  <si>
    <t>autonlp.ai</t>
  </si>
  <si>
    <t>langchain.com</t>
  </si>
  <si>
    <t>pypi.org</t>
  </si>
  <si>
    <t>towardsdatascience.com</t>
  </si>
  <si>
    <t>deepl.com</t>
  </si>
  <si>
    <t>perplexity.ai</t>
  </si>
  <si>
    <t>weaviate.io</t>
  </si>
  <si>
    <t>airudder.com</t>
  </si>
  <si>
    <t>harvey.ai</t>
  </si>
  <si>
    <t>kumo.ai</t>
  </si>
  <si>
    <t>assemblyai.com</t>
  </si>
  <si>
    <t>lightning.ai</t>
  </si>
  <si>
    <t>skan.ai</t>
  </si>
  <si>
    <t>sima.ai</t>
  </si>
  <si>
    <t>seekr.com</t>
  </si>
  <si>
    <t>landing.ai</t>
  </si>
  <si>
    <t>d-matrix.ai</t>
  </si>
  <si>
    <t>fiddler.ai</t>
  </si>
  <si>
    <t>generallyintelligent.com</t>
  </si>
  <si>
    <t>arize.com</t>
  </si>
  <si>
    <t>hippocraticai.com</t>
  </si>
  <si>
    <t>datagen.tech</t>
  </si>
  <si>
    <t>inworld.ai</t>
  </si>
  <si>
    <t>wizard.com</t>
  </si>
  <si>
    <t>unsupervised.com</t>
  </si>
  <si>
    <t>aaico.com</t>
  </si>
  <si>
    <t>irreverentlabs.com</t>
  </si>
  <si>
    <t>capacity.com</t>
  </si>
  <si>
    <t>v7labs.com</t>
  </si>
  <si>
    <t>magic.dev</t>
  </si>
  <si>
    <t>eigentech.com</t>
  </si>
  <si>
    <t>modular.com</t>
  </si>
  <si>
    <t>robustintelligence.com</t>
  </si>
  <si>
    <t>imagen-ai.com</t>
  </si>
  <si>
    <t>befunky.com</t>
  </si>
  <si>
    <t>jina.ai</t>
  </si>
  <si>
    <t>generativeai.pub</t>
  </si>
  <si>
    <t>elevenlabs.io</t>
  </si>
  <si>
    <t>mem.ai</t>
  </si>
  <si>
    <t>figma.com</t>
  </si>
  <si>
    <t>producthunt.com</t>
  </si>
  <si>
    <t>neocybernetica.com</t>
  </si>
  <si>
    <t>merlyn.org</t>
  </si>
  <si>
    <t>upstage.ai</t>
  </si>
  <si>
    <t>radai.com</t>
  </si>
  <si>
    <t>aleph-alpha.com</t>
  </si>
  <si>
    <t>play.ht</t>
  </si>
  <si>
    <t>aible.com</t>
  </si>
  <si>
    <t>surgehq.ai</t>
  </si>
  <si>
    <t>predibase.com</t>
  </si>
  <si>
    <t>speak.com</t>
  </si>
  <si>
    <t>curaihealth.com</t>
  </si>
  <si>
    <t>humansignal.com</t>
  </si>
  <si>
    <t>exafunction.com</t>
  </si>
  <si>
    <t>kili-technology.com</t>
  </si>
  <si>
    <t>aporia.com</t>
  </si>
  <si>
    <t>truera.com</t>
  </si>
  <si>
    <t>aiola.com</t>
  </si>
  <si>
    <t>fotor.com</t>
  </si>
  <si>
    <t>photofunia.com</t>
  </si>
  <si>
    <t>picsart.com</t>
  </si>
  <si>
    <t>ipiccy.com</t>
  </si>
  <si>
    <t>gameforge.com</t>
  </si>
  <si>
    <t>diep.io</t>
  </si>
  <si>
    <t>sigmally.com</t>
  </si>
  <si>
    <t>minijuegos.com</t>
  </si>
  <si>
    <t>kaggle.com</t>
  </si>
  <si>
    <t>geeksforgeeks.org</t>
  </si>
  <si>
    <t>analyticsvidhya.com</t>
  </si>
  <si>
    <t>serverfault.com</t>
  </si>
  <si>
    <t>cyberciti.biz</t>
  </si>
  <si>
    <t>superuser.com</t>
  </si>
  <si>
    <t>techtarget.com</t>
  </si>
  <si>
    <t>essaywriter.org</t>
  </si>
  <si>
    <t>essaygenius.ai</t>
  </si>
  <si>
    <t>studycrumb.com</t>
  </si>
  <si>
    <t>essaybot.com</t>
  </si>
  <si>
    <t>hpcwire.com</t>
  </si>
  <si>
    <t>insidehpc.com</t>
  </si>
  <si>
    <t>top500.org</t>
  </si>
  <si>
    <t>siliconangle.com</t>
  </si>
  <si>
    <t>datacenterdynamics.com</t>
  </si>
  <si>
    <t>contentful.com</t>
  </si>
  <si>
    <t>strapi.io</t>
  </si>
  <si>
    <t>jamstack.org</t>
  </si>
  <si>
    <t>nextjs.org</t>
  </si>
  <si>
    <t>papertyper.net</t>
  </si>
  <si>
    <t>essaytyper.com</t>
  </si>
  <si>
    <t>essayailab.com</t>
  </si>
  <si>
    <t>essaypro.com</t>
  </si>
  <si>
    <t>essayservice.com</t>
  </si>
  <si>
    <t>venturebeat.com</t>
  </si>
  <si>
    <t>sdxcentral.com</t>
  </si>
  <si>
    <t>hyperwriteai.com</t>
  </si>
  <si>
    <t>mashable.com</t>
  </si>
  <si>
    <t>techmeme.com</t>
  </si>
  <si>
    <t>kdnuggets.com</t>
  </si>
  <si>
    <t>lablab.ai</t>
  </si>
  <si>
    <t>allstarcharts.com</t>
  </si>
  <si>
    <t>ycharts.com</t>
  </si>
  <si>
    <t>boingboing.net</t>
  </si>
  <si>
    <t>gothamist.com</t>
  </si>
  <si>
    <t>mediaite.com</t>
  </si>
  <si>
    <t>gettr.com</t>
  </si>
  <si>
    <t>gab.com</t>
  </si>
  <si>
    <t>truthsocial.com</t>
  </si>
  <si>
    <t>mewe.com</t>
  </si>
  <si>
    <t>bms.com</t>
  </si>
  <si>
    <t>gsk.com</t>
  </si>
  <si>
    <t>abbott.com</t>
  </si>
  <si>
    <t>rss.com</t>
  </si>
  <si>
    <t>namechk.com</t>
  </si>
  <si>
    <t>zencastr.com</t>
  </si>
  <si>
    <t>sonix.ai</t>
  </si>
  <si>
    <t>calendly.com</t>
  </si>
  <si>
    <t>krisp.ai</t>
  </si>
  <si>
    <t>media.io</t>
  </si>
  <si>
    <t>moises.ai</t>
  </si>
  <si>
    <t>npmjs.com</t>
  </si>
  <si>
    <t>codepen.io</t>
  </si>
  <si>
    <t>dribbble.com</t>
  </si>
  <si>
    <t>naturalreaders.com</t>
  </si>
  <si>
    <t>readspeaker.com</t>
  </si>
  <si>
    <t>narakeet.com</t>
  </si>
  <si>
    <t>wellsaidlabs.com</t>
  </si>
  <si>
    <t>veed.io</t>
  </si>
  <si>
    <t>kapwing.com</t>
  </si>
  <si>
    <t>freeconvert.com</t>
  </si>
  <si>
    <t>flixier.com</t>
  </si>
  <si>
    <t>bitbucket.org</t>
  </si>
  <si>
    <t>msd.com</t>
  </si>
  <si>
    <t>merckgroup.com</t>
  </si>
  <si>
    <t>astrazeneca.com</t>
  </si>
  <si>
    <t>eveworkbench.com</t>
  </si>
  <si>
    <t>zkillboard.com</t>
  </si>
  <si>
    <t>boehringer-ingelheim.com</t>
  </si>
  <si>
    <t>abbottnutrition.com</t>
  </si>
  <si>
    <t>novartis.com</t>
  </si>
  <si>
    <t>sandoz.com</t>
  </si>
  <si>
    <t>roche.com</t>
  </si>
  <si>
    <t>abbottstore.com</t>
  </si>
  <si>
    <t>pediasure.com</t>
  </si>
  <si>
    <t>pedialyte.com</t>
  </si>
  <si>
    <t>bayer.com</t>
  </si>
  <si>
    <t>emdgroup.com</t>
  </si>
  <si>
    <t>carewell.com</t>
  </si>
  <si>
    <t>family.abbott</t>
  </si>
  <si>
    <t>bayern.de</t>
  </si>
  <si>
    <t>1fichier.com</t>
  </si>
  <si>
    <t>ouo.io</t>
  </si>
  <si>
    <t>ouo.press</t>
  </si>
  <si>
    <t>nitroflare.com</t>
  </si>
  <si>
    <t>medline.com</t>
  </si>
  <si>
    <t>scoop.it</t>
  </si>
  <si>
    <t>simplecast.com</t>
  </si>
  <si>
    <t>launchpad.net</t>
  </si>
  <si>
    <t>rapidgator.net</t>
  </si>
  <si>
    <t>henryschein.com</t>
  </si>
  <si>
    <t>mckesson.com</t>
  </si>
  <si>
    <t>nyaa.si</t>
  </si>
  <si>
    <t>mediafire.com</t>
  </si>
  <si>
    <t>mega.nz</t>
  </si>
  <si>
    <t>turbobit.net</t>
  </si>
  <si>
    <t>feeder.co</t>
  </si>
  <si>
    <t>deepai.org</t>
  </si>
  <si>
    <t>keras.io</t>
  </si>
  <si>
    <t>iclr.cc</t>
  </si>
  <si>
    <t>icml.cc</t>
  </si>
  <si>
    <t>netlify.app</t>
  </si>
  <si>
    <t>w3schools.com</t>
  </si>
  <si>
    <t>freecodecamp.org</t>
  </si>
  <si>
    <t>cartoonize.net</t>
  </si>
  <si>
    <t>petapixel.com</t>
  </si>
  <si>
    <t>jobs.apple.com</t>
  </si>
  <si>
    <t>stryker.com</t>
  </si>
  <si>
    <t>casetext.com</t>
  </si>
  <si>
    <t>pacermonitor.com</t>
  </si>
  <si>
    <t>jdsupra.com</t>
  </si>
  <si>
    <t>news.bloomberglaw.com</t>
  </si>
  <si>
    <t>iogames.space</t>
  </si>
  <si>
    <t>crazygames.com</t>
  </si>
  <si>
    <t>silvergames.com</t>
  </si>
  <si>
    <t>govinfo.gov</t>
  </si>
  <si>
    <t>casemine.com</t>
  </si>
  <si>
    <t>courtlistener.com</t>
  </si>
  <si>
    <t>lexisnexis.com</t>
  </si>
  <si>
    <t>unicourt.com</t>
  </si>
  <si>
    <t>natlawreview.com</t>
  </si>
  <si>
    <t>lexology.com</t>
  </si>
  <si>
    <t>bitchute.com</t>
  </si>
  <si>
    <t>x22report.com</t>
  </si>
  <si>
    <t>chirper.ai</t>
  </si>
  <si>
    <t>gofile.io</t>
  </si>
  <si>
    <t>anonfiles.com</t>
  </si>
  <si>
    <t>bayfiles.com</t>
  </si>
  <si>
    <t>coolmathgames.com</t>
  </si>
  <si>
    <t>agame.com</t>
  </si>
  <si>
    <t>programiz.com</t>
  </si>
  <si>
    <t>cloudconvert.com</t>
  </si>
  <si>
    <t>iloveimg.com</t>
  </si>
  <si>
    <t>hole-io.com</t>
  </si>
  <si>
    <t>tensorflow.org</t>
  </si>
  <si>
    <t>machinelearningmastery.com</t>
  </si>
  <si>
    <t>justice.gov</t>
  </si>
  <si>
    <t>hotpot.ai</t>
  </si>
  <si>
    <t>deepdreamgenerator.com</t>
  </si>
  <si>
    <t>paper-io.com</t>
  </si>
  <si>
    <t>responsivevoice.org</t>
  </si>
  <si>
    <t>textfromtospeech.com</t>
  </si>
  <si>
    <t>speechelo.com</t>
  </si>
  <si>
    <t>typecast.ai</t>
  </si>
  <si>
    <t>cardinalhealth.com</t>
  </si>
  <si>
    <t>neural.love</t>
  </si>
  <si>
    <t>hypotenuse.ai</t>
  </si>
  <si>
    <t>vanceai.com</t>
  </si>
  <si>
    <t>pytorch.org</t>
  </si>
  <si>
    <t>nhs.uk</t>
  </si>
  <si>
    <t>patientaccess.com</t>
  </si>
  <si>
    <t>everydayhealth.com</t>
  </si>
  <si>
    <t>poki.com</t>
  </si>
  <si>
    <t>friv.com</t>
  </si>
  <si>
    <t>medtronic.com</t>
  </si>
  <si>
    <t>openart.ai</t>
  </si>
  <si>
    <t>simplified.com</t>
  </si>
  <si>
    <t>neuraltext.com</t>
  </si>
  <si>
    <t>contentbot.ai</t>
  </si>
  <si>
    <t>rytr.me</t>
  </si>
  <si>
    <t>writerly.ai</t>
  </si>
  <si>
    <t>nichesss.com</t>
  </si>
  <si>
    <t>wordtune.com</t>
  </si>
  <si>
    <t>copy.ai</t>
  </si>
  <si>
    <t>england.nhs.uk</t>
  </si>
  <si>
    <t>ideanote.io</t>
  </si>
  <si>
    <t>tutorialspoint.com</t>
  </si>
  <si>
    <t>fbi.gov</t>
  </si>
  <si>
    <t>careers.google.com</t>
  </si>
  <si>
    <t>careers.microsoft.com</t>
  </si>
  <si>
    <t>amazon.jobs</t>
  </si>
  <si>
    <t>jobs.lever.co</t>
  </si>
  <si>
    <t>clova.ai</t>
  </si>
  <si>
    <t>fiercepharma.com</t>
  </si>
  <si>
    <t>fiercehealthcare.com</t>
  </si>
  <si>
    <t>medpagetoday.com</t>
  </si>
  <si>
    <t>beckershospitalreview</t>
  </si>
  <si>
    <t>tinypng.com</t>
  </si>
  <si>
    <t>convertio.co</t>
  </si>
  <si>
    <t>scikit-learn.org</t>
  </si>
  <si>
    <t>nature.com</t>
  </si>
  <si>
    <t>pnas.org</t>
  </si>
  <si>
    <t>frontiersin.org</t>
  </si>
  <si>
    <t>mdpi.com</t>
  </si>
  <si>
    <t>medscape.com</t>
  </si>
  <si>
    <t>medlineplus.gov</t>
  </si>
  <si>
    <t>dell.com</t>
  </si>
  <si>
    <t>corsair.com</t>
  </si>
  <si>
    <t>gurufocus.com</t>
  </si>
  <si>
    <t>companiesmarketcap.com</t>
  </si>
  <si>
    <t>writesonic.com</t>
  </si>
  <si>
    <t>frase.io</t>
  </si>
  <si>
    <t>researchgate.net</t>
  </si>
  <si>
    <t>cell.com</t>
  </si>
  <si>
    <t>science.org</t>
  </si>
  <si>
    <t>biorxiv.org</t>
  </si>
  <si>
    <t>academia.edu</t>
  </si>
  <si>
    <t>semanticscholar.org</t>
  </si>
  <si>
    <t>flowcode.com</t>
  </si>
  <si>
    <t>gitlab.com</t>
  </si>
  <si>
    <t>choicehotels.com</t>
  </si>
  <si>
    <t>trivago.com</t>
  </si>
  <si>
    <t>vercel.app</t>
  </si>
  <si>
    <t>python.org</t>
  </si>
  <si>
    <t>nejm.org</t>
  </si>
  <si>
    <t>thelancet.com</t>
  </si>
  <si>
    <t>forexfactory.com</t>
  </si>
  <si>
    <t>deezer.com</t>
  </si>
  <si>
    <t>wynk.in</t>
  </si>
  <si>
    <t>ubuntu.com</t>
  </si>
  <si>
    <t>sourceforge.net</t>
  </si>
  <si>
    <t>cloud.google.com</t>
  </si>
  <si>
    <t>ttsreader.com</t>
  </si>
  <si>
    <t>voicemaker.in</t>
  </si>
  <si>
    <t>who.int</t>
  </si>
  <si>
    <t>ahajournals.org</t>
  </si>
  <si>
    <t>heart.org</t>
  </si>
  <si>
    <t>bybit.com</t>
  </si>
  <si>
    <t>kucoin.com</t>
  </si>
  <si>
    <t>dpreview.com</t>
  </si>
  <si>
    <t>digitalocean.com</t>
  </si>
  <si>
    <t>justpaste.it</t>
  </si>
  <si>
    <t>mui.com</t>
  </si>
  <si>
    <t>shazam.com</t>
  </si>
  <si>
    <t>teenvogue.com</t>
  </si>
  <si>
    <t>allure.com</t>
  </si>
  <si>
    <t>askubuntu.com</t>
  </si>
  <si>
    <t>marieclaire.com</t>
  </si>
  <si>
    <t>freetts.com</t>
  </si>
  <si>
    <t>codesandbox.io</t>
  </si>
  <si>
    <t>claraanalytics.com</t>
  </si>
  <si>
    <t>cointelegraph.com</t>
  </si>
  <si>
    <t>deci.ai</t>
  </si>
  <si>
    <t>dextools.io</t>
  </si>
  <si>
    <t>dexscreener.com</t>
  </si>
  <si>
    <t>accounts.google.com</t>
  </si>
  <si>
    <t>Yandex</t>
  </si>
  <si>
    <t>docs.google.com</t>
  </si>
  <si>
    <t>drive.google.com</t>
  </si>
  <si>
    <t>outlook.live.com</t>
  </si>
  <si>
    <t>outlook.office.com</t>
  </si>
  <si>
    <t>workera.ai</t>
  </si>
  <si>
    <t>conjecture.dev</t>
  </si>
  <si>
    <t>lesswrong.com</t>
  </si>
  <si>
    <t>alignmentforum.org</t>
  </si>
  <si>
    <t>yudkowsky.net</t>
  </si>
  <si>
    <t>overcomingbias.com</t>
  </si>
  <si>
    <t>fhi.ox.ac.uk</t>
  </si>
  <si>
    <t>phadra.ai</t>
  </si>
  <si>
    <t>nabla.com</t>
  </si>
  <si>
    <t>enlitic.com</t>
  </si>
  <si>
    <t>quantiphi.com</t>
  </si>
  <si>
    <t>protex.ai</t>
  </si>
  <si>
    <t>4689 JP</t>
  </si>
  <si>
    <t>max.com</t>
  </si>
  <si>
    <t>turbopages.org</t>
  </si>
  <si>
    <t>mail.ru</t>
  </si>
  <si>
    <t>qq.com</t>
  </si>
  <si>
    <t>Tencent</t>
  </si>
  <si>
    <t>Telegram</t>
  </si>
  <si>
    <t>globo.com</t>
  </si>
  <si>
    <t>news.yahoo.co.jp</t>
  </si>
  <si>
    <t>amazon.co.jp</t>
  </si>
  <si>
    <t>Google</t>
  </si>
  <si>
    <t>Meta</t>
  </si>
  <si>
    <t>Porn</t>
  </si>
  <si>
    <t>Reddit</t>
  </si>
  <si>
    <t>Discord</t>
  </si>
  <si>
    <t>News</t>
  </si>
  <si>
    <t>OAI</t>
  </si>
  <si>
    <t>CAI</t>
  </si>
  <si>
    <t>aajtak.in</t>
  </si>
  <si>
    <t>SYF</t>
  </si>
  <si>
    <t>ZIP</t>
  </si>
  <si>
    <t>PRX NA</t>
  </si>
  <si>
    <t>SCHW</t>
  </si>
  <si>
    <t>9432 JP</t>
  </si>
  <si>
    <t>VK</t>
  </si>
  <si>
    <t>X</t>
  </si>
  <si>
    <t>replcate.com</t>
  </si>
  <si>
    <t>replit.com</t>
  </si>
  <si>
    <t>pi.ai</t>
  </si>
  <si>
    <t>No</t>
  </si>
  <si>
    <t>BX</t>
  </si>
  <si>
    <t>ZD</t>
  </si>
  <si>
    <t>BZFD</t>
  </si>
  <si>
    <t>TOST</t>
  </si>
  <si>
    <t>DKS</t>
  </si>
  <si>
    <t>Translation</t>
  </si>
  <si>
    <t>Video Game News</t>
  </si>
  <si>
    <t>Email by Microsoft</t>
  </si>
  <si>
    <t>Political News</t>
  </si>
  <si>
    <t>Self-publishing platform</t>
  </si>
  <si>
    <t>Medical News</t>
  </si>
  <si>
    <t>Bank</t>
  </si>
  <si>
    <t>Airline</t>
  </si>
  <si>
    <t>Dictionary</t>
  </si>
  <si>
    <t>thehindu.com</t>
  </si>
  <si>
    <t>Jehovah's Witnesses religion</t>
  </si>
  <si>
    <t>Home Improvement</t>
  </si>
  <si>
    <t>Sports news</t>
  </si>
  <si>
    <t>Business News</t>
  </si>
  <si>
    <t>Finance News</t>
  </si>
  <si>
    <t>SaaS service</t>
  </si>
  <si>
    <t>Makeup and perfume</t>
  </si>
  <si>
    <t>Gambling</t>
  </si>
  <si>
    <t>Cable television</t>
  </si>
  <si>
    <t>SaaS CRM</t>
  </si>
  <si>
    <t>Retailer</t>
  </si>
  <si>
    <t>Erotic literature</t>
  </si>
  <si>
    <t>Upscale Retailer</t>
  </si>
  <si>
    <t>Ecommerce</t>
  </si>
  <si>
    <t>Telegram messaging service</t>
  </si>
  <si>
    <t>Synchrony financial</t>
  </si>
  <si>
    <t>K-12 software</t>
  </si>
  <si>
    <t>Health information</t>
  </si>
  <si>
    <t>Lyrics</t>
  </si>
  <si>
    <t>Indepenent music</t>
  </si>
  <si>
    <t>Hollywood news and gossip</t>
  </si>
  <si>
    <t>tmall.com</t>
  </si>
  <si>
    <t>Game news</t>
  </si>
  <si>
    <t>Entertainment</t>
  </si>
  <si>
    <t>Phone service</t>
  </si>
  <si>
    <t>Apple service</t>
  </si>
  <si>
    <t>Movie pirating</t>
  </si>
  <si>
    <t>Anime pirating</t>
  </si>
  <si>
    <t>Educational software</t>
  </si>
  <si>
    <t>Shoe ecommerce</t>
  </si>
  <si>
    <t>SQ</t>
  </si>
  <si>
    <t>Credit card processing</t>
  </si>
  <si>
    <t>Pizza</t>
  </si>
  <si>
    <t>6:08</t>
  </si>
  <si>
    <t>Social Security</t>
  </si>
  <si>
    <t>3:09</t>
  </si>
  <si>
    <t>Anime streaming</t>
  </si>
  <si>
    <t>Learning software</t>
  </si>
  <si>
    <t>zara.com</t>
  </si>
  <si>
    <t>Brokerage</t>
  </si>
  <si>
    <t>Real estate listings</t>
  </si>
  <si>
    <t>Trip booking</t>
  </si>
  <si>
    <t>Baseball</t>
  </si>
  <si>
    <t>Shipping</t>
  </si>
  <si>
    <t>Restaurant reviews</t>
  </si>
  <si>
    <t>Music</t>
  </si>
  <si>
    <t>Religious content</t>
  </si>
  <si>
    <t>Football</t>
  </si>
  <si>
    <t>Streaming</t>
  </si>
  <si>
    <t>Ancestry</t>
  </si>
  <si>
    <t>SaaS</t>
  </si>
  <si>
    <t>Travel</t>
  </si>
  <si>
    <t>Apparel</t>
  </si>
  <si>
    <t>skipthedishes.com</t>
  </si>
  <si>
    <t>ubereats.com</t>
  </si>
  <si>
    <t>Furniture company</t>
  </si>
  <si>
    <t>Post office</t>
  </si>
  <si>
    <t>Social Media</t>
  </si>
  <si>
    <t>Chatbot</t>
  </si>
  <si>
    <t>SaaS storage</t>
  </si>
  <si>
    <t>Hotel alternative</t>
  </si>
  <si>
    <t>Valve</t>
  </si>
  <si>
    <t>Video game portal</t>
  </si>
  <si>
    <t>SaaS for restaurants</t>
  </si>
  <si>
    <t>Donation hub</t>
  </si>
  <si>
    <t>Sem</t>
  </si>
  <si>
    <t>SW</t>
  </si>
  <si>
    <t>x.com</t>
  </si>
  <si>
    <t>msnbc.com</t>
  </si>
  <si>
    <t>Marketing</t>
  </si>
  <si>
    <t>Reading</t>
  </si>
  <si>
    <t>Food</t>
  </si>
  <si>
    <t>Invites</t>
  </si>
  <si>
    <t>brainly.in</t>
  </si>
  <si>
    <t>rakuten.co.jp</t>
  </si>
  <si>
    <t>chatgpt.com</t>
  </si>
  <si>
    <t>fmovies24.to</t>
  </si>
  <si>
    <t>studentaid.gov</t>
  </si>
  <si>
    <t>aniwave.to</t>
  </si>
  <si>
    <t>hiainme.to</t>
  </si>
  <si>
    <t>login.gov</t>
  </si>
  <si>
    <t>pemsrv.com</t>
  </si>
  <si>
    <t>site.com</t>
  </si>
  <si>
    <t>asuracomic.net</t>
  </si>
  <si>
    <t>oraclecloud.com</t>
  </si>
  <si>
    <t>blurbreimbursetrombone.com</t>
  </si>
  <si>
    <t>adsmoloco.com</t>
  </si>
  <si>
    <t>qvc.com</t>
  </si>
  <si>
    <t>navyfederal.org</t>
  </si>
  <si>
    <t>paycomonline.net</t>
  </si>
  <si>
    <t>faphouse.com</t>
  </si>
  <si>
    <t>fextralife.com</t>
  </si>
  <si>
    <t>statefarm.com</t>
  </si>
  <si>
    <t>appfolio.com</t>
  </si>
  <si>
    <t>carvana.com</t>
  </si>
  <si>
    <t>holahupa.com</t>
  </si>
  <si>
    <t>squarespace.com</t>
  </si>
  <si>
    <t>adblockplus.org</t>
  </si>
  <si>
    <t>clips4sale.com</t>
  </si>
  <si>
    <t>rockauto.com</t>
  </si>
  <si>
    <t>michaels.com</t>
  </si>
  <si>
    <t>lululemon.com</t>
  </si>
  <si>
    <t>kaliscan.com</t>
  </si>
  <si>
    <t>espncricinfo.com</t>
  </si>
  <si>
    <t>bedbathandbeyond.com</t>
  </si>
  <si>
    <t>uhaul.com</t>
  </si>
  <si>
    <t>foxsports.com</t>
  </si>
  <si>
    <t>shop.lululemon.com</t>
  </si>
  <si>
    <t>pornzog.com</t>
  </si>
  <si>
    <t>calculator.net</t>
  </si>
  <si>
    <t>swagbucks.com</t>
  </si>
  <si>
    <t>magsrv.com</t>
  </si>
  <si>
    <t>Audiobooks</t>
  </si>
  <si>
    <t>publix.com</t>
  </si>
  <si>
    <t>phreesia.net</t>
  </si>
  <si>
    <t>paylocity.com</t>
  </si>
  <si>
    <t>lipstickalley.com</t>
  </si>
  <si>
    <t>0123movie.net</t>
  </si>
  <si>
    <t>tomsguide.com</t>
  </si>
  <si>
    <t>seatgeek.com</t>
  </si>
  <si>
    <t>oreillyauto.com</t>
  </si>
  <si>
    <t>stripe.com</t>
  </si>
  <si>
    <t>chumbacasino.com</t>
  </si>
  <si>
    <t>baseball-reference.com</t>
  </si>
  <si>
    <t>mapquest.com</t>
  </si>
  <si>
    <t>gtp.fyi</t>
  </si>
  <si>
    <t>siriusxm.com</t>
  </si>
  <si>
    <t>livenation.com</t>
  </si>
  <si>
    <t>athlonsports.com</t>
  </si>
  <si>
    <t>stockx.com</t>
  </si>
  <si>
    <t>answers.microsoft.com</t>
  </si>
  <si>
    <t>eatingwell.com</t>
  </si>
  <si>
    <t>flightaware.com</t>
  </si>
  <si>
    <t>adjust.com</t>
  </si>
  <si>
    <t>onehome.com</t>
  </si>
  <si>
    <t>xbox.com</t>
  </si>
  <si>
    <t>nps.gov</t>
  </si>
  <si>
    <t>streameast.app</t>
  </si>
  <si>
    <t>pokerogue.net</t>
  </si>
  <si>
    <t>mediago.io</t>
  </si>
  <si>
    <t>nj.com</t>
  </si>
  <si>
    <t>axios.com</t>
  </si>
  <si>
    <t>rawstory.com</t>
  </si>
  <si>
    <t>zerohedge.com</t>
  </si>
  <si>
    <t>mnaspm.com</t>
  </si>
  <si>
    <t>newsbreak.com</t>
  </si>
  <si>
    <t>pinimg.com</t>
  </si>
  <si>
    <t>microsoft365.com</t>
  </si>
  <si>
    <t>fortune.com</t>
  </si>
  <si>
    <t>cnet.com</t>
  </si>
  <si>
    <t>moneycontrol.com</t>
  </si>
  <si>
    <t>economictimes.com</t>
  </si>
  <si>
    <t>poste.it</t>
  </si>
  <si>
    <t>hdfcbank.com</t>
  </si>
  <si>
    <t>zerodha.com</t>
  </si>
  <si>
    <t>rakuten-sec.com</t>
  </si>
  <si>
    <t>tinkoff.ru</t>
  </si>
  <si>
    <t>sbisec.co.jp</t>
  </si>
  <si>
    <t>caixa.gov.br</t>
  </si>
  <si>
    <t>exness.com</t>
  </si>
  <si>
    <t>trustpilot.com</t>
  </si>
  <si>
    <t>alipay.com</t>
  </si>
  <si>
    <t>klarna.com</t>
  </si>
  <si>
    <t>groww.in</t>
  </si>
  <si>
    <t>sberbank.ru</t>
  </si>
  <si>
    <t>icicibank.com</t>
  </si>
  <si>
    <t>mufg.jp</t>
  </si>
  <si>
    <t>td.com</t>
  </si>
  <si>
    <t>bancoestado.cl</t>
  </si>
  <si>
    <t>kontur.ru</t>
  </si>
  <si>
    <t>credit-agricole.fr</t>
  </si>
  <si>
    <t>moneyforward.com</t>
  </si>
  <si>
    <t>royalbank.com</t>
  </si>
  <si>
    <t>angelone.in</t>
  </si>
  <si>
    <t>cash.app</t>
  </si>
  <si>
    <t>healthsafe-id.com</t>
  </si>
  <si>
    <t>uhc.com</t>
  </si>
  <si>
    <t>UNH</t>
  </si>
  <si>
    <t>affirm.com</t>
  </si>
  <si>
    <t>sofi.com</t>
  </si>
  <si>
    <t>cox.com</t>
  </si>
  <si>
    <t>ally.com</t>
  </si>
  <si>
    <t>mysynchrony.com</t>
  </si>
  <si>
    <t>ml.com</t>
  </si>
  <si>
    <t>firstdata.com</t>
  </si>
  <si>
    <t>geico.com</t>
  </si>
  <si>
    <t>venmo.com</t>
  </si>
  <si>
    <t>allstate.com</t>
  </si>
  <si>
    <t>barclaycardus.com</t>
  </si>
  <si>
    <t>tdbank.com</t>
  </si>
  <si>
    <t>paychex.com</t>
  </si>
  <si>
    <t>creditonebank.com</t>
  </si>
  <si>
    <t>aetna.com</t>
  </si>
  <si>
    <t>cigna.com</t>
  </si>
  <si>
    <t>regions.com</t>
  </si>
  <si>
    <t>online-banking-services.com</t>
  </si>
  <si>
    <t>clover.com</t>
  </si>
  <si>
    <t>paymentus.com</t>
  </si>
  <si>
    <t>huntington.com</t>
  </si>
  <si>
    <t>afterpay.com</t>
  </si>
  <si>
    <t>ibanking-services.com</t>
  </si>
  <si>
    <t>mtb.com</t>
  </si>
  <si>
    <t>53.com</t>
  </si>
  <si>
    <t>progressivedirect.com</t>
  </si>
  <si>
    <t>zacks.com</t>
  </si>
  <si>
    <t>morningstar.com</t>
  </si>
  <si>
    <t>investorplace.com</t>
  </si>
  <si>
    <t>cody.md</t>
  </si>
  <si>
    <t>OpenAI</t>
  </si>
  <si>
    <t>SOME</t>
  </si>
  <si>
    <t>Recruiting</t>
  </si>
  <si>
    <t>bet.br</t>
  </si>
  <si>
    <t>xhamster43.desi</t>
  </si>
  <si>
    <t>telegram.org</t>
  </si>
  <si>
    <t>ya.ru</t>
  </si>
  <si>
    <t>godelterminal.com</t>
  </si>
  <si>
    <t>finchat.io</t>
  </si>
  <si>
    <t>fiscal.ai</t>
  </si>
  <si>
    <t>finchat</t>
  </si>
  <si>
    <t>polymarket.com</t>
  </si>
  <si>
    <t>insidermonkey.com</t>
  </si>
  <si>
    <t>advfn.com</t>
  </si>
  <si>
    <t>phantom.com</t>
  </si>
  <si>
    <t>goldmansachs.com</t>
  </si>
  <si>
    <t>hedgeye.com</t>
  </si>
  <si>
    <t>devin.ai</t>
  </si>
  <si>
    <t>tradezero.com</t>
  </si>
  <si>
    <t>dilutiontracker.com</t>
  </si>
  <si>
    <t>vaneck.com</t>
  </si>
  <si>
    <t>bookmap.com</t>
  </si>
  <si>
    <t>liquidbrokers.com</t>
  </si>
  <si>
    <t>tradingcharts.com</t>
  </si>
  <si>
    <t>tradier.com</t>
  </si>
  <si>
    <t>interactivebrokers.com</t>
  </si>
  <si>
    <t>tradestation.com</t>
  </si>
  <si>
    <t>waterstechnology.com</t>
  </si>
  <si>
    <t>gorillaterminal.com</t>
  </si>
  <si>
    <t>pionline.com</t>
  </si>
  <si>
    <t>institutionalinvestor.com</t>
  </si>
  <si>
    <t>ai-cio.com</t>
  </si>
  <si>
    <t>ipe.com</t>
  </si>
  <si>
    <t>hfr.com</t>
  </si>
  <si>
    <t>preqin.com</t>
  </si>
  <si>
    <t>cluely.com</t>
  </si>
  <si>
    <t>stockanalysis.com</t>
  </si>
  <si>
    <t>tipranks.com</t>
  </si>
  <si>
    <t>marketbeat.com</t>
  </si>
  <si>
    <t>ilovepdf.com</t>
  </si>
  <si>
    <t>ozon.ru</t>
  </si>
  <si>
    <t>amazon.in</t>
  </si>
  <si>
    <t>rutube.ru</t>
  </si>
  <si>
    <t>amazon.de</t>
  </si>
  <si>
    <t>deepseek.com</t>
  </si>
  <si>
    <t>daum.net</t>
  </si>
  <si>
    <t>friend.com</t>
  </si>
  <si>
    <t>RDDT</t>
  </si>
  <si>
    <t>wellsaid.io</t>
  </si>
  <si>
    <t>vellum.ai</t>
  </si>
  <si>
    <t>livebench.ai</t>
  </si>
  <si>
    <t>noiz.io</t>
  </si>
  <si>
    <t>NICE</t>
  </si>
  <si>
    <t>scconline.com</t>
  </si>
  <si>
    <t>MRK GR</t>
  </si>
  <si>
    <t>BAY GR</t>
  </si>
  <si>
    <t>AZN</t>
  </si>
  <si>
    <t>PLTR</t>
  </si>
  <si>
    <t>GSK</t>
  </si>
  <si>
    <t>ROG VX</t>
  </si>
  <si>
    <t>ABT</t>
  </si>
  <si>
    <t>lichess.org</t>
  </si>
  <si>
    <t>Education</t>
  </si>
  <si>
    <t>Business</t>
  </si>
  <si>
    <t>Weather</t>
  </si>
  <si>
    <t>Banking</t>
  </si>
  <si>
    <t>Search</t>
  </si>
  <si>
    <t>Sector</t>
  </si>
  <si>
    <t>Social</t>
  </si>
  <si>
    <t>Software</t>
  </si>
  <si>
    <t>gemini.google.com</t>
  </si>
  <si>
    <t>AI</t>
  </si>
  <si>
    <t>prn.fyi</t>
  </si>
  <si>
    <t>share.google</t>
  </si>
  <si>
    <t>pixiv.net</t>
  </si>
  <si>
    <t>wildberries.ru</t>
  </si>
  <si>
    <t>amazon.co.uk</t>
  </si>
  <si>
    <t>douyin.com</t>
  </si>
  <si>
    <t>namu.wiki</t>
  </si>
  <si>
    <t>indiatimes.com</t>
  </si>
  <si>
    <t>xhamster.desi</t>
  </si>
  <si>
    <t>chat.deepseek.com</t>
  </si>
  <si>
    <t>coupang.com</t>
  </si>
  <si>
    <t>CPNG</t>
  </si>
  <si>
    <t>zhihu.com</t>
  </si>
  <si>
    <t>wplace.live</t>
  </si>
  <si>
    <t>uol.com.br</t>
  </si>
  <si>
    <t>dcinside.com</t>
  </si>
  <si>
    <t>infobae.com</t>
  </si>
  <si>
    <t>primevideo.com</t>
  </si>
  <si>
    <t>ameblo.jp</t>
  </si>
  <si>
    <t>note.com</t>
  </si>
  <si>
    <t>hianime.to</t>
  </si>
  <si>
    <t>kemono.cr</t>
  </si>
  <si>
    <t>scribd.com</t>
  </si>
  <si>
    <t>onet.pl</t>
  </si>
  <si>
    <t>threads.com</t>
  </si>
  <si>
    <t>dmm.co.jp</t>
  </si>
  <si>
    <t>google.co.jp</t>
  </si>
  <si>
    <t>dailymotion.com</t>
  </si>
  <si>
    <t>simpcity.cr</t>
  </si>
  <si>
    <t>amazon.it</t>
  </si>
  <si>
    <t>rcdn-web.com</t>
  </si>
  <si>
    <t>google.co.id</t>
  </si>
  <si>
    <t>seznam.cz</t>
  </si>
  <si>
    <t>wp.pl</t>
  </si>
  <si>
    <t>news.naver.com</t>
  </si>
  <si>
    <t>hashmicro.co</t>
  </si>
  <si>
    <t>ebay.co.uk</t>
  </si>
  <si>
    <t>amazon.fr</t>
  </si>
  <si>
    <t>amazon.ca</t>
  </si>
  <si>
    <t>cricbuzz.com</t>
  </si>
  <si>
    <t>auone.jp</t>
  </si>
  <si>
    <t>flipkart.com</t>
  </si>
  <si>
    <t>hindustantimes.com</t>
  </si>
  <si>
    <t>taobao.com</t>
  </si>
  <si>
    <t>line.me</t>
  </si>
  <si>
    <t>missav.ws</t>
  </si>
  <si>
    <t>grok.com</t>
  </si>
  <si>
    <t>bild.de</t>
  </si>
  <si>
    <t>kinopoisk.ru</t>
  </si>
  <si>
    <t>kindred.co</t>
  </si>
  <si>
    <t>yandex.com</t>
  </si>
  <si>
    <t>kakao.com</t>
  </si>
  <si>
    <t>liftoff.io</t>
  </si>
  <si>
    <t>vkvideo.ru</t>
  </si>
  <si>
    <t>trilltrill.jp</t>
  </si>
  <si>
    <t>livedoor.jp</t>
  </si>
  <si>
    <t>orange.fr</t>
  </si>
  <si>
    <t>kwai.com</t>
  </si>
  <si>
    <t>amazon.com.br</t>
  </si>
  <si>
    <t>xvideos.es</t>
  </si>
  <si>
    <t>allegro.pl</t>
  </si>
  <si>
    <t>detik.com</t>
  </si>
  <si>
    <t>weibo.com</t>
  </si>
  <si>
    <t>acesso.gov.br</t>
  </si>
  <si>
    <t>market.yandex.ru</t>
  </si>
  <si>
    <t>t-online.de</t>
  </si>
  <si>
    <t>xnxx.es</t>
  </si>
  <si>
    <t>as.com</t>
  </si>
  <si>
    <t>shopee.com.br</t>
  </si>
  <si>
    <t>claude.ai</t>
  </si>
  <si>
    <t>xhamster19.com</t>
  </si>
  <si>
    <t>gismeteo.ru</t>
  </si>
  <si>
    <t>bsky.app</t>
  </si>
  <si>
    <t>tistory.com</t>
  </si>
  <si>
    <t>cityheaven.net</t>
  </si>
  <si>
    <t>news18.com</t>
  </si>
  <si>
    <t>tenki.jp</t>
  </si>
  <si>
    <t>xham.live</t>
  </si>
  <si>
    <t>interia.pl</t>
  </si>
  <si>
    <t>pornhub.org</t>
  </si>
  <si>
    <t>vnexpress.net</t>
  </si>
  <si>
    <t>gosuslugi.ru</t>
  </si>
  <si>
    <t>shopee.vn</t>
  </si>
  <si>
    <t>xvv1deos.com</t>
  </si>
  <si>
    <t>leboncoin.fr</t>
  </si>
  <si>
    <t>xnxx.health</t>
  </si>
  <si>
    <t>hotstar.com</t>
  </si>
  <si>
    <t>ebay.de</t>
  </si>
  <si>
    <t>indianexpress.com</t>
  </si>
  <si>
    <t>pikabu.ru</t>
  </si>
  <si>
    <t>sahibinden.com</t>
  </si>
  <si>
    <t>alibaba.com</t>
  </si>
  <si>
    <t>trendyol.com</t>
  </si>
  <si>
    <t>gamewith.jp</t>
  </si>
  <si>
    <t>xsmn.mobi</t>
  </si>
  <si>
    <t>nhk.or.jp</t>
  </si>
  <si>
    <t>bojel.com</t>
  </si>
  <si>
    <t>dmm.com</t>
  </si>
  <si>
    <t>fmkorea.com</t>
  </si>
  <si>
    <t>savefrom.net</t>
  </si>
  <si>
    <t>kleinanzeigen.de</t>
  </si>
  <si>
    <t>shopee.co.id</t>
  </si>
  <si>
    <t>syosetu.com</t>
  </si>
  <si>
    <t>stripchatgirls.com</t>
  </si>
  <si>
    <t>yandex.com.tr</t>
  </si>
  <si>
    <t>meta.me</t>
  </si>
  <si>
    <t>xiaohongshu.com</t>
  </si>
  <si>
    <t>comick.io</t>
  </si>
  <si>
    <t>ssstik.io</t>
  </si>
  <si>
    <t>cybozu.com</t>
  </si>
  <si>
    <t>missav123.com</t>
  </si>
  <si>
    <t>163.com</t>
  </si>
  <si>
    <t>amazon.es</t>
  </si>
  <si>
    <t>turkiye.gov.tr</t>
  </si>
  <si>
    <t>rbc.ru</t>
  </si>
  <si>
    <t>n-tv.de</t>
  </si>
  <si>
    <t>cookpad.com</t>
  </si>
  <si>
    <t>bakusai.com</t>
  </si>
  <si>
    <t>tableog.com</t>
  </si>
  <si>
    <t>ndtv.com</t>
  </si>
  <si>
    <t>gov.br</t>
  </si>
  <si>
    <t>coomer.st</t>
  </si>
  <si>
    <t>fc2.com</t>
  </si>
  <si>
    <t>xhaccess.com</t>
  </si>
  <si>
    <t>aniwatchtv.to</t>
  </si>
  <si>
    <t>moloco.com</t>
  </si>
  <si>
    <t>blog.jp</t>
  </si>
  <si>
    <t>qorno.com</t>
  </si>
  <si>
    <t>nate.com</t>
  </si>
  <si>
    <t>chat.openai.com</t>
  </si>
  <si>
    <t>xbato.com</t>
  </si>
  <si>
    <t>elpais.com</t>
  </si>
  <si>
    <t>pornhat.com</t>
  </si>
  <si>
    <t>google.de</t>
  </si>
  <si>
    <t>bunkr.cr</t>
  </si>
  <si>
    <t>shopee.co.th</t>
  </si>
  <si>
    <t>speedtest.net</t>
  </si>
  <si>
    <t>corriere.it</t>
  </si>
  <si>
    <t>livehindustan.com</t>
  </si>
  <si>
    <t>repubblica.it</t>
  </si>
  <si>
    <t>nicovideo.jp</t>
  </si>
  <si>
    <t>nya2.com</t>
  </si>
  <si>
    <t>clarosva.com</t>
  </si>
  <si>
    <t>amazonaws.com</t>
  </si>
  <si>
    <t>justdial.com</t>
  </si>
  <si>
    <t>xgroovy.com</t>
  </si>
  <si>
    <t>mundodeportivo.com</t>
  </si>
  <si>
    <t>ea.com</t>
  </si>
  <si>
    <t>bingoplus.com</t>
  </si>
  <si>
    <t>google.com.br</t>
  </si>
  <si>
    <t>cmoa.jp</t>
  </si>
  <si>
    <t>diagramjawline.com</t>
  </si>
  <si>
    <t>newtoki468.com</t>
  </si>
  <si>
    <t>trip.com</t>
  </si>
  <si>
    <t>nikkansports.com</t>
  </si>
  <si>
    <t>myntra.com</t>
  </si>
  <si>
    <t>premierleague.com</t>
  </si>
  <si>
    <t>elmundo.es</t>
  </si>
  <si>
    <t>mercadolivre.com</t>
  </si>
  <si>
    <t>mercadolibre.com</t>
  </si>
  <si>
    <t>2345.com</t>
  </si>
  <si>
    <t>franceinfo.fr</t>
  </si>
  <si>
    <t>rambler.ru</t>
  </si>
  <si>
    <t>freepik.com</t>
  </si>
  <si>
    <t>agoda.com</t>
  </si>
  <si>
    <t>clickadu.net</t>
  </si>
  <si>
    <t>gov.uk</t>
  </si>
  <si>
    <t>service.gov.uk</t>
  </si>
  <si>
    <t>sp.gov.br</t>
  </si>
  <si>
    <t>cnnbrasil.com</t>
  </si>
  <si>
    <t>weathernews.jp</t>
  </si>
  <si>
    <t>gazzetta.it</t>
  </si>
  <si>
    <t>tbank.ru</t>
  </si>
  <si>
    <t>gamer.com.tw</t>
  </si>
  <si>
    <t>amazon.com.mx</t>
  </si>
  <si>
    <t>dlsite.com</t>
  </si>
  <si>
    <t>cloud.mail.ru</t>
  </si>
  <si>
    <t>nikkei.com</t>
  </si>
  <si>
    <t>bookmyshow.com</t>
  </si>
  <si>
    <t>copilot.microsoft.com</t>
  </si>
  <si>
    <t>novinky.cz</t>
  </si>
  <si>
    <t>eenadu.net</t>
  </si>
  <si>
    <t>3bmeteo.com</t>
  </si>
  <si>
    <t>nu.nl</t>
  </si>
  <si>
    <t>web.de</t>
  </si>
  <si>
    <t>pages.dev</t>
  </si>
  <si>
    <t>melbetegypt.com</t>
  </si>
  <si>
    <t>livedoor.com</t>
  </si>
  <si>
    <t>faphouse2.com</t>
  </si>
  <si>
    <t>shopping.naver.com</t>
  </si>
  <si>
    <t>opera.com</t>
  </si>
  <si>
    <t>lanacion.com</t>
  </si>
  <si>
    <t>xhamster2.com</t>
  </si>
  <si>
    <t>linklist.bio</t>
  </si>
  <si>
    <t>5ch.net</t>
  </si>
  <si>
    <t>protothema.gr</t>
  </si>
  <si>
    <t>news.sportsbox.ru</t>
  </si>
  <si>
    <t>sportsbox.ru</t>
  </si>
  <si>
    <t>dns-shop.ru</t>
  </si>
  <si>
    <t>skysports.com</t>
  </si>
  <si>
    <t>missav.ai</t>
  </si>
  <si>
    <t>hm.com</t>
  </si>
  <si>
    <t>liteapks.com</t>
  </si>
  <si>
    <t>itmedia.co.jp</t>
  </si>
  <si>
    <t>game8.jp</t>
  </si>
  <si>
    <t>wetter.com</t>
  </si>
  <si>
    <t>lenta.ru</t>
  </si>
  <si>
    <t>news.mail.ru</t>
  </si>
  <si>
    <t>sxyprn.com</t>
  </si>
  <si>
    <t>hao123.com</t>
  </si>
  <si>
    <t>xnxx.tv</t>
  </si>
  <si>
    <t>sport.es</t>
  </si>
  <si>
    <t>quark.cn</t>
  </si>
  <si>
    <t>japanpost.jp</t>
  </si>
  <si>
    <t>lefigaro.fr</t>
  </si>
  <si>
    <t>9gag.com</t>
  </si>
  <si>
    <t>rightmove.com</t>
  </si>
  <si>
    <t>ouest-france.fr</t>
  </si>
  <si>
    <t>ukr.net</t>
  </si>
  <si>
    <t>olx.pl</t>
  </si>
  <si>
    <t>sozcu.com.tr</t>
  </si>
  <si>
    <t>lequipe.fr</t>
  </si>
  <si>
    <t>map.naver.com</t>
  </si>
  <si>
    <t>vg.no</t>
  </si>
  <si>
    <t>ludicroustable.com</t>
  </si>
  <si>
    <t>d-s.io</t>
  </si>
  <si>
    <t>ascentomega.com</t>
  </si>
  <si>
    <t>olx.com.br</t>
  </si>
  <si>
    <t>hotpepper.jp</t>
  </si>
  <si>
    <t>hdfilmcehenn</t>
  </si>
  <si>
    <t>google.co.in</t>
  </si>
  <si>
    <t>google.it</t>
  </si>
  <si>
    <t>iporntv.net</t>
  </si>
  <si>
    <t>bulldozerefficiency</t>
  </si>
  <si>
    <t>nos.nl</t>
  </si>
  <si>
    <t>huawei.com</t>
  </si>
  <si>
    <t>hitomi.la</t>
  </si>
  <si>
    <t>dhl.de</t>
  </si>
  <si>
    <t>meteofrance.com</t>
  </si>
  <si>
    <t>mat6tube.com</t>
  </si>
  <si>
    <t>trello.com</t>
  </si>
  <si>
    <t>udemy.com</t>
  </si>
  <si>
    <t>bilibili.tv</t>
  </si>
  <si>
    <t>zalo.me</t>
  </si>
  <si>
    <t>yandex.by</t>
  </si>
  <si>
    <t>hh.ru</t>
  </si>
  <si>
    <t>jd.com</t>
  </si>
  <si>
    <t>kinogo.ec</t>
  </si>
  <si>
    <t>ca.gov</t>
  </si>
  <si>
    <t>google.fr</t>
  </si>
  <si>
    <t>ria.ru</t>
  </si>
  <si>
    <t>pw.live</t>
  </si>
  <si>
    <t>ad.nl</t>
  </si>
  <si>
    <t>theporndude.com</t>
  </si>
  <si>
    <t>douyu.com</t>
  </si>
  <si>
    <t>music.yandex.ru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</si>
</sst>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.000"/>
    <numFmt numFmtId="165" formatCode="0.000"/>
    <numFmt numFmtId="166" formatCode="0.0"/>
    <numFmt numFmtId="167" formatCode="#,##0.0"/>
    <numFmt numFmtId="168" formatCode="[$-409]mmmm\-yy;@"/>
  </numFmts>
  <fonts count="1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i/>
      <sz val="10"/>
      <color theme="1"/>
      <name val="Arial"/>
      <family val="2"/>
    </font>
    <font>
      <i/>
      <sz val="10"/>
      <color theme="2" tint="-0.249977111117893"/>
      <name val="Arial"/>
      <family val="2"/>
    </font>
    <font>
      <b/>
      <i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i/>
      <sz val="10"/>
      <color theme="2" tint="-9.9978637043366805E-2"/>
      <name val="Arial"/>
      <family val="2"/>
    </font>
    <font>
      <sz val="10"/>
      <color theme="2" tint="-9.9978637043366805E-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/>
    <xf numFmtId="3" fontId="1" fillId="0" borderId="0" xfId="0" applyNumberFormat="1" applyFont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0" fillId="0" borderId="0" xfId="0" applyNumberFormat="1"/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quotePrefix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4" fontId="0" fillId="0" borderId="0" xfId="0" applyNumberFormat="1"/>
    <xf numFmtId="20" fontId="0" fillId="0" borderId="0" xfId="0" applyNumberFormat="1"/>
    <xf numFmtId="0" fontId="0" fillId="0" borderId="0" xfId="0" quotePrefix="1" applyAlignment="1">
      <alignment horizontal="right"/>
    </xf>
    <xf numFmtId="20" fontId="0" fillId="0" borderId="0" xfId="0" quotePrefix="1" applyNumberFormat="1" applyAlignment="1">
      <alignment horizontal="right"/>
    </xf>
    <xf numFmtId="20" fontId="1" fillId="0" borderId="0" xfId="0" applyNumberFormat="1" applyFont="1"/>
    <xf numFmtId="14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20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6" fillId="0" borderId="0" xfId="0" applyFont="1"/>
    <xf numFmtId="3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46" fontId="0" fillId="0" borderId="0" xfId="0" quotePrefix="1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/>
    <xf numFmtId="20" fontId="1" fillId="0" borderId="0" xfId="0" quotePrefix="1" applyNumberFormat="1" applyFont="1" applyAlignment="1">
      <alignment horizontal="right"/>
    </xf>
    <xf numFmtId="9" fontId="0" fillId="0" borderId="0" xfId="0" applyNumberFormat="1"/>
    <xf numFmtId="164" fontId="2" fillId="0" borderId="0" xfId="0" applyNumberFormat="1" applyFont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20" fontId="2" fillId="0" borderId="0" xfId="0" applyNumberFormat="1" applyFont="1"/>
    <xf numFmtId="3" fontId="2" fillId="0" borderId="0" xfId="0" applyNumberFormat="1" applyFont="1"/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3" fontId="0" fillId="2" borderId="0" xfId="0" applyNumberFormat="1" applyFill="1"/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2" borderId="0" xfId="0" applyNumberFormat="1" applyFont="1" applyFill="1"/>
    <xf numFmtId="3" fontId="8" fillId="0" borderId="0" xfId="0" applyNumberFormat="1" applyFont="1" applyAlignment="1">
      <alignment horizontal="right"/>
    </xf>
    <xf numFmtId="3" fontId="2" fillId="2" borderId="0" xfId="0" applyNumberFormat="1" applyFont="1" applyFill="1"/>
    <xf numFmtId="9" fontId="1" fillId="0" borderId="0" xfId="0" applyNumberFormat="1" applyFont="1"/>
    <xf numFmtId="3" fontId="9" fillId="0" borderId="0" xfId="0" applyNumberFormat="1" applyFont="1" applyAlignment="1">
      <alignment horizontal="right"/>
    </xf>
    <xf numFmtId="0" fontId="9" fillId="0" borderId="0" xfId="0" applyFont="1"/>
    <xf numFmtId="165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3" fontId="9" fillId="0" borderId="0" xfId="0" applyNumberFormat="1" applyFont="1"/>
    <xf numFmtId="164" fontId="9" fillId="0" borderId="0" xfId="0" applyNumberFormat="1" applyFont="1" applyAlignment="1">
      <alignment horizontal="right"/>
    </xf>
    <xf numFmtId="20" fontId="9" fillId="0" borderId="0" xfId="0" applyNumberFormat="1" applyFont="1"/>
    <xf numFmtId="3" fontId="10" fillId="0" borderId="0" xfId="0" applyNumberFormat="1" applyFont="1" applyAlignment="1">
      <alignment horizontal="right"/>
    </xf>
    <xf numFmtId="0" fontId="10" fillId="0" borderId="0" xfId="0" applyFont="1"/>
    <xf numFmtId="165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" fontId="10" fillId="0" borderId="0" xfId="0" applyNumberFormat="1" applyFont="1" applyAlignment="1">
      <alignment horizontal="right"/>
    </xf>
    <xf numFmtId="20" fontId="10" fillId="0" borderId="0" xfId="0" applyNumberFormat="1" applyFont="1"/>
    <xf numFmtId="3" fontId="10" fillId="0" borderId="0" xfId="0" applyNumberFormat="1" applyFont="1"/>
    <xf numFmtId="0" fontId="11" fillId="0" borderId="0" xfId="0" applyFont="1"/>
    <xf numFmtId="1" fontId="9" fillId="0" borderId="0" xfId="0" applyNumberFormat="1" applyFont="1" applyAlignment="1">
      <alignment horizontal="right"/>
    </xf>
    <xf numFmtId="3" fontId="9" fillId="2" borderId="0" xfId="0" applyNumberFormat="1" applyFont="1" applyFill="1"/>
    <xf numFmtId="9" fontId="9" fillId="0" borderId="0" xfId="0" applyNumberFormat="1" applyFont="1"/>
    <xf numFmtId="20" fontId="9" fillId="0" borderId="0" xfId="0" applyNumberFormat="1" applyFont="1" applyAlignment="1">
      <alignment horizontal="right"/>
    </xf>
    <xf numFmtId="3" fontId="9" fillId="2" borderId="0" xfId="0" applyNumberFormat="1" applyFont="1" applyFill="1" applyAlignment="1">
      <alignment horizontal="right"/>
    </xf>
    <xf numFmtId="3" fontId="11" fillId="0" borderId="0" xfId="0" applyNumberFormat="1" applyFont="1"/>
    <xf numFmtId="9" fontId="11" fillId="0" borderId="0" xfId="0" applyNumberFormat="1" applyFont="1"/>
    <xf numFmtId="20" fontId="9" fillId="0" borderId="0" xfId="0" quotePrefix="1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165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64" fontId="11" fillId="0" borderId="0" xfId="0" applyNumberFormat="1" applyFont="1" applyAlignment="1">
      <alignment horizontal="right"/>
    </xf>
    <xf numFmtId="20" fontId="11" fillId="0" borderId="0" xfId="0" applyNumberFormat="1" applyFont="1"/>
    <xf numFmtId="1" fontId="11" fillId="0" borderId="0" xfId="0" applyNumberFormat="1" applyFont="1" applyAlignment="1">
      <alignment horizontal="right"/>
    </xf>
    <xf numFmtId="3" fontId="11" fillId="2" borderId="0" xfId="0" applyNumberFormat="1" applyFont="1" applyFill="1"/>
    <xf numFmtId="167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3" fontId="1" fillId="3" borderId="0" xfId="0" applyNumberFormat="1" applyFont="1" applyFill="1" applyAlignment="1">
      <alignment horizontal="right"/>
    </xf>
    <xf numFmtId="0" fontId="1" fillId="3" borderId="0" xfId="0" applyFont="1" applyFill="1"/>
    <xf numFmtId="165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/>
    <xf numFmtId="20" fontId="1" fillId="3" borderId="0" xfId="0" quotePrefix="1" applyNumberFormat="1" applyFont="1" applyFill="1" applyAlignment="1">
      <alignment horizontal="right"/>
    </xf>
    <xf numFmtId="3" fontId="1" fillId="4" borderId="0" xfId="0" applyNumberFormat="1" applyFont="1" applyFill="1" applyAlignment="1">
      <alignment horizontal="right"/>
    </xf>
    <xf numFmtId="0" fontId="1" fillId="4" borderId="0" xfId="0" applyFont="1" applyFill="1"/>
    <xf numFmtId="165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3" fontId="0" fillId="5" borderId="0" xfId="0" applyNumberFormat="1" applyFill="1" applyAlignment="1">
      <alignment horizontal="right"/>
    </xf>
    <xf numFmtId="0" fontId="0" fillId="5" borderId="0" xfId="0" applyFill="1"/>
    <xf numFmtId="165" fontId="0" fillId="5" borderId="0" xfId="0" applyNumberFormat="1" applyFill="1" applyAlignment="1">
      <alignment horizontal="right"/>
    </xf>
    <xf numFmtId="165" fontId="1" fillId="5" borderId="0" xfId="0" applyNumberFormat="1" applyFont="1" applyFill="1" applyAlignment="1">
      <alignment horizontal="right"/>
    </xf>
    <xf numFmtId="0" fontId="0" fillId="5" borderId="0" xfId="0" applyFill="1" applyAlignment="1">
      <alignment horizontal="right"/>
    </xf>
    <xf numFmtId="164" fontId="0" fillId="5" borderId="0" xfId="0" applyNumberFormat="1" applyFill="1" applyAlignment="1">
      <alignment horizontal="right"/>
    </xf>
    <xf numFmtId="164" fontId="0" fillId="5" borderId="0" xfId="0" applyNumberFormat="1" applyFill="1"/>
    <xf numFmtId="20" fontId="0" fillId="5" borderId="0" xfId="0" applyNumberFormat="1" applyFill="1"/>
    <xf numFmtId="3" fontId="0" fillId="6" borderId="0" xfId="0" applyNumberFormat="1" applyFill="1" applyAlignment="1">
      <alignment horizontal="right"/>
    </xf>
    <xf numFmtId="0" fontId="0" fillId="6" borderId="0" xfId="0" applyFill="1"/>
    <xf numFmtId="165" fontId="0" fillId="6" borderId="0" xfId="0" applyNumberFormat="1" applyFill="1" applyAlignment="1">
      <alignment horizontal="right"/>
    </xf>
    <xf numFmtId="165" fontId="1" fillId="6" borderId="0" xfId="0" applyNumberFormat="1" applyFont="1" applyFill="1" applyAlignment="1">
      <alignment horizontal="right"/>
    </xf>
    <xf numFmtId="0" fontId="0" fillId="6" borderId="0" xfId="0" applyFill="1" applyAlignment="1">
      <alignment horizontal="right"/>
    </xf>
    <xf numFmtId="164" fontId="0" fillId="6" borderId="0" xfId="0" applyNumberFormat="1" applyFill="1" applyAlignment="1">
      <alignment horizontal="right"/>
    </xf>
    <xf numFmtId="164" fontId="0" fillId="6" borderId="0" xfId="0" applyNumberFormat="1" applyFill="1"/>
    <xf numFmtId="20" fontId="0" fillId="6" borderId="0" xfId="0" applyNumberFormat="1" applyFill="1"/>
    <xf numFmtId="9" fontId="0" fillId="6" borderId="0" xfId="0" applyNumberFormat="1" applyFill="1" applyAlignment="1">
      <alignment horizontal="right"/>
    </xf>
    <xf numFmtId="3" fontId="1" fillId="7" borderId="0" xfId="0" applyNumberFormat="1" applyFont="1" applyFill="1" applyAlignment="1">
      <alignment horizontal="right"/>
    </xf>
    <xf numFmtId="0" fontId="1" fillId="7" borderId="0" xfId="0" applyFont="1" applyFill="1"/>
    <xf numFmtId="165" fontId="1" fillId="7" borderId="0" xfId="0" applyNumberFormat="1" applyFont="1" applyFill="1" applyAlignment="1">
      <alignment horizontal="right"/>
    </xf>
    <xf numFmtId="0" fontId="1" fillId="7" borderId="0" xfId="0" applyFont="1" applyFill="1" applyAlignment="1">
      <alignment horizontal="right"/>
    </xf>
    <xf numFmtId="167" fontId="1" fillId="7" borderId="0" xfId="0" applyNumberFormat="1" applyFont="1" applyFill="1" applyAlignment="1">
      <alignment horizontal="right"/>
    </xf>
    <xf numFmtId="164" fontId="1" fillId="7" borderId="0" xfId="0" applyNumberFormat="1" applyFont="1" applyFill="1" applyAlignment="1">
      <alignment horizontal="right"/>
    </xf>
    <xf numFmtId="20" fontId="1" fillId="7" borderId="0" xfId="0" applyNumberFormat="1" applyFont="1" applyFill="1"/>
    <xf numFmtId="3" fontId="1" fillId="7" borderId="0" xfId="0" applyNumberFormat="1" applyFont="1" applyFill="1"/>
    <xf numFmtId="1" fontId="1" fillId="7" borderId="0" xfId="0" applyNumberFormat="1" applyFont="1" applyFill="1" applyAlignment="1">
      <alignment horizontal="right"/>
    </xf>
    <xf numFmtId="0" fontId="0" fillId="8" borderId="0" xfId="0" applyFill="1"/>
    <xf numFmtId="0" fontId="1" fillId="8" borderId="0" xfId="0" applyFont="1" applyFill="1"/>
    <xf numFmtId="0" fontId="2" fillId="8" borderId="0" xfId="0" applyFont="1" applyFill="1"/>
    <xf numFmtId="0" fontId="11" fillId="8" borderId="0" xfId="0" applyFont="1" applyFill="1"/>
    <xf numFmtId="3" fontId="0" fillId="8" borderId="0" xfId="0" applyNumberFormat="1" applyFill="1" applyAlignment="1">
      <alignment horizontal="left"/>
    </xf>
    <xf numFmtId="3" fontId="2" fillId="8" borderId="0" xfId="0" applyNumberFormat="1" applyFont="1" applyFill="1" applyAlignment="1">
      <alignment horizontal="left"/>
    </xf>
    <xf numFmtId="3" fontId="1" fillId="9" borderId="0" xfId="0" applyNumberFormat="1" applyFont="1" applyFill="1" applyAlignment="1">
      <alignment horizontal="right"/>
    </xf>
    <xf numFmtId="0" fontId="1" fillId="9" borderId="0" xfId="0" applyFont="1" applyFill="1"/>
    <xf numFmtId="165" fontId="1" fillId="9" borderId="0" xfId="0" applyNumberFormat="1" applyFont="1" applyFill="1" applyAlignment="1">
      <alignment horizontal="right"/>
    </xf>
    <xf numFmtId="0" fontId="1" fillId="9" borderId="0" xfId="0" applyFont="1" applyFill="1" applyAlignment="1">
      <alignment horizontal="right"/>
    </xf>
    <xf numFmtId="164" fontId="1" fillId="9" borderId="0" xfId="0" applyNumberFormat="1" applyFont="1" applyFill="1" applyAlignment="1">
      <alignment horizontal="right"/>
    </xf>
    <xf numFmtId="3" fontId="0" fillId="9" borderId="0" xfId="0" applyNumberFormat="1" applyFill="1" applyAlignment="1">
      <alignment horizontal="right"/>
    </xf>
    <xf numFmtId="164" fontId="1" fillId="9" borderId="0" xfId="0" applyNumberFormat="1" applyFont="1" applyFill="1"/>
    <xf numFmtId="166" fontId="1" fillId="9" borderId="0" xfId="0" applyNumberFormat="1" applyFont="1" applyFill="1" applyAlignment="1">
      <alignment horizontal="right"/>
    </xf>
    <xf numFmtId="20" fontId="1" fillId="9" borderId="0" xfId="0" quotePrefix="1" applyNumberFormat="1" applyFont="1" applyFill="1" applyAlignment="1">
      <alignment horizontal="right"/>
    </xf>
    <xf numFmtId="3" fontId="1" fillId="9" borderId="0" xfId="0" applyNumberFormat="1" applyFont="1" applyFill="1"/>
    <xf numFmtId="167" fontId="1" fillId="9" borderId="0" xfId="0" applyNumberFormat="1" applyFont="1" applyFill="1" applyAlignment="1">
      <alignment horizontal="right"/>
    </xf>
    <xf numFmtId="1" fontId="1" fillId="9" borderId="0" xfId="0" applyNumberFormat="1" applyFont="1" applyFill="1" applyAlignment="1">
      <alignment horizontal="right"/>
    </xf>
    <xf numFmtId="20" fontId="1" fillId="9" borderId="0" xfId="0" applyNumberFormat="1" applyFont="1" applyFill="1"/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8" fontId="0" fillId="0" borderId="0" xfId="0" applyNumberFormat="1" applyAlignment="1">
      <alignment horizontal="right"/>
    </xf>
    <xf numFmtId="3" fontId="0" fillId="10" borderId="0" xfId="0" applyNumberFormat="1" applyFill="1" applyAlignment="1">
      <alignment horizontal="right"/>
    </xf>
    <xf numFmtId="3" fontId="9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/>
    <xf numFmtId="3" fontId="12" fillId="0" borderId="0" xfId="0" applyNumberFormat="1" applyFont="1" applyAlignment="1">
      <alignment horizontal="right"/>
    </xf>
    <xf numFmtId="0" fontId="13" fillId="0" borderId="0" xfId="0" applyFont="1" applyFill="1"/>
    <xf numFmtId="0" fontId="12" fillId="0" borderId="0" xfId="0" applyFont="1"/>
    <xf numFmtId="1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20" fontId="12" fillId="0" borderId="0" xfId="0" applyNumberFormat="1" applyFont="1"/>
    <xf numFmtId="3" fontId="12" fillId="2" borderId="0" xfId="0" applyNumberFormat="1" applyFont="1" applyFill="1"/>
    <xf numFmtId="3" fontId="13" fillId="0" borderId="0" xfId="0" applyNumberFormat="1" applyFont="1" applyAlignment="1">
      <alignment horizontal="right"/>
    </xf>
    <xf numFmtId="0" fontId="12" fillId="0" borderId="0" xfId="0" applyFont="1" applyFill="1"/>
    <xf numFmtId="0" fontId="13" fillId="0" borderId="0" xfId="0" applyFont="1" applyAlignment="1">
      <alignment horizontal="right"/>
    </xf>
    <xf numFmtId="20" fontId="13" fillId="0" borderId="0" xfId="0" applyNumberFormat="1" applyFont="1"/>
    <xf numFmtId="3" fontId="13" fillId="2" borderId="0" xfId="0" applyNumberFormat="1" applyFont="1" applyFill="1"/>
    <xf numFmtId="0" fontId="13" fillId="0" borderId="0" xfId="0" applyFont="1"/>
    <xf numFmtId="165" fontId="13" fillId="0" borderId="0" xfId="0" applyNumberFormat="1" applyFont="1" applyAlignment="1">
      <alignment horizontal="right"/>
    </xf>
    <xf numFmtId="3" fontId="13" fillId="0" borderId="0" xfId="0" applyNumberFormat="1" applyFont="1"/>
    <xf numFmtId="3" fontId="12" fillId="0" borderId="0" xfId="0" applyNumberFormat="1" applyFont="1" applyFill="1" applyAlignment="1">
      <alignment horizontal="right"/>
    </xf>
    <xf numFmtId="165" fontId="12" fillId="0" borderId="0" xfId="0" applyNumberFormat="1" applyFont="1" applyFill="1" applyAlignment="1">
      <alignment horizontal="right"/>
    </xf>
    <xf numFmtId="0" fontId="12" fillId="0" borderId="0" xfId="0" applyFont="1" applyFill="1" applyAlignment="1">
      <alignment horizontal="right"/>
    </xf>
    <xf numFmtId="164" fontId="12" fillId="0" borderId="0" xfId="0" applyNumberFormat="1" applyFont="1" applyFill="1" applyAlignment="1">
      <alignment horizontal="right"/>
    </xf>
    <xf numFmtId="20" fontId="12" fillId="0" borderId="0" xfId="0" applyNumberFormat="1" applyFont="1" applyFill="1"/>
    <xf numFmtId="3" fontId="12" fillId="0" borderId="0" xfId="0" applyNumberFormat="1" applyFont="1" applyFill="1"/>
    <xf numFmtId="165" fontId="12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3" fontId="12" fillId="0" borderId="0" xfId="0" applyNumberFormat="1" applyFont="1"/>
    <xf numFmtId="3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8AD0C85-CD32-4673-A35E-21F3F6D297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on the Internet - Top 250 Sites (T28</a:t>
            </a:r>
            <a:r>
              <a:rPr lang="en-US" baseline="0"/>
              <a:t> Days)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67059457140124"/>
          <c:y val="0.10296386936551374"/>
          <c:w val="0.80044376971234277"/>
          <c:h val="0.83709047947314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Main!$AS$3:$AS$604</c:f>
              <c:strCache>
                <c:ptCount val="430"/>
                <c:pt idx="0">
                  <c:v>Google</c:v>
                </c:pt>
                <c:pt idx="1">
                  <c:v>Meta</c:v>
                </c:pt>
                <c:pt idx="3">
                  <c:v>Porn</c:v>
                </c:pt>
                <c:pt idx="5">
                  <c:v>X</c:v>
                </c:pt>
                <c:pt idx="16">
                  <c:v>MSFT</c:v>
                </c:pt>
                <c:pt idx="18">
                  <c:v>AMZN</c:v>
                </c:pt>
                <c:pt idx="20">
                  <c:v>BIDU</c:v>
                </c:pt>
                <c:pt idx="22">
                  <c:v>Reddit</c:v>
                </c:pt>
                <c:pt idx="29">
                  <c:v>Discord</c:v>
                </c:pt>
                <c:pt idx="38">
                  <c:v>CAI</c:v>
                </c:pt>
                <c:pt idx="49">
                  <c:v>OAI</c:v>
                </c:pt>
                <c:pt idx="53">
                  <c:v>News</c:v>
                </c:pt>
                <c:pt idx="190">
                  <c:v>ComScore</c:v>
                </c:pt>
                <c:pt idx="429">
                  <c:v>Originally YourDoctor.com. &gt;$100m revenue in 2019</c:v>
                </c:pt>
              </c:strCache>
            </c:strRef>
          </c:cat>
          <c:val>
            <c:numRef>
              <c:f>Main!$AT$3:$AT$604</c:f>
              <c:numCache>
                <c:formatCode>#,##0</c:formatCode>
                <c:ptCount val="602"/>
                <c:pt idx="0">
                  <c:v>1450678</c:v>
                </c:pt>
                <c:pt idx="1">
                  <c:v>275773.0033333333</c:v>
                </c:pt>
                <c:pt idx="3">
                  <c:v>77311.713333333348</c:v>
                </c:pt>
                <c:pt idx="5">
                  <c:v>64767.600000000006</c:v>
                </c:pt>
                <c:pt idx="16">
                  <c:v>54671.418333333342</c:v>
                </c:pt>
                <c:pt idx="18">
                  <c:v>28236.23333333333</c:v>
                </c:pt>
                <c:pt idx="20">
                  <c:v>24384.75</c:v>
                </c:pt>
                <c:pt idx="22">
                  <c:v>13669.250000000002</c:v>
                </c:pt>
                <c:pt idx="29">
                  <c:v>7260.6333333333332</c:v>
                </c:pt>
                <c:pt idx="38">
                  <c:v>5511.7333333333336</c:v>
                </c:pt>
                <c:pt idx="49">
                  <c:v>5602.9</c:v>
                </c:pt>
                <c:pt idx="53">
                  <c:v>12277.512833333332</c:v>
                </c:pt>
                <c:pt idx="64" formatCode="General">
                  <c:v>2800</c:v>
                </c:pt>
                <c:pt idx="101" formatCode="General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3-4E69-9653-6335AACA2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193264"/>
        <c:axId val="900848144"/>
      </c:barChart>
      <c:catAx>
        <c:axId val="10571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48144"/>
        <c:crosses val="autoZero"/>
        <c:auto val="1"/>
        <c:lblAlgn val="ctr"/>
        <c:lblOffset val="100"/>
        <c:noMultiLvlLbl val="0"/>
      </c:catAx>
      <c:valAx>
        <c:axId val="9008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19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132801</xdr:colOff>
      <xdr:row>24</xdr:row>
      <xdr:rowOff>149891</xdr:rowOff>
    </xdr:from>
    <xdr:to>
      <xdr:col>71</xdr:col>
      <xdr:colOff>369627</xdr:colOff>
      <xdr:row>133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A577D-6FCA-7320-0026-D3B6E44DE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814F019-400D-4D1F-89C5-35ECA367B8A9}" userId="9ffda80931a57275" providerId="Windows Live"/>
  <person displayName="Causing Nirvana" id="{7E81EC9F-7C5F-364D-8DAA-50BC36F4E6EA}" userId="ef5e74bcb9d0052e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25" dT="2024-01-12T01:54:35.31" personId="{7E81EC9F-7C5F-364D-8DAA-50BC36F4E6EA}" id="{51D53592-7EE9-ED4F-89BF-D1020A63BC4A}">
    <text xml:space="preserve">X.com 87.54M
</text>
  </threadedComment>
  <threadedComment ref="AG25" dT="2023-10-19T02:38:04.74" personId="{6814F019-400D-4D1F-89C5-35ECA367B8A9}" id="{999F9F0B-A1D6-3244-82D9-C0A2E4188722}">
    <text>x.com 74.2m</text>
    <extLst>
      <x:ext xmlns:xltc2="http://schemas.microsoft.com/office/spreadsheetml/2020/threadedcomments2" uri="{F7C98A9C-CBB3-438F-8F68-D28B6AF4A901}">
        <xltc2:checksum>1571101732</xltc2:checksum>
        <xltc2:hyperlink startIndex="0" length="5" url="http://x.com"/>
      </x:ext>
    </extLst>
  </threadedComment>
  <threadedComment ref="E759" dT="2023-05-11T21:34:14.70" personId="{6814F019-400D-4D1F-89C5-35ECA367B8A9}" id="{9DBC7533-7AAF-442D-9090-E88EA8FB7282}">
    <text>Also 590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8" dT="2023-05-11T21:34:14.70" personId="{6814F019-400D-4D1F-89C5-35ECA367B8A9}" id="{BCC7683A-9083-4660-8FB2-FADE3B62A88B}">
    <text>Also 590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3316-214D-4B4A-B004-8F085269D09A}">
  <dimension ref="A1:BM1482"/>
  <sheetViews>
    <sheetView tabSelected="1" zoomScaleNormal="100" workbookViewId="0">
      <pane xSplit="8" ySplit="2" topLeftCell="K61" activePane="bottomRight" state="frozen"/>
      <selection pane="topRight" activeCell="E1" sqref="E1"/>
      <selection pane="bottomLeft" activeCell="A3" sqref="A3"/>
      <selection pane="bottomRight" activeCell="A99" sqref="A99"/>
    </sheetView>
  </sheetViews>
  <sheetFormatPr defaultColWidth="8.81640625" defaultRowHeight="13" x14ac:dyDescent="0.3"/>
  <cols>
    <col min="1" max="1" width="9.453125" style="2" bestFit="1" customWidth="1"/>
    <col min="2" max="2" width="9.81640625" style="2" customWidth="1"/>
    <col min="3" max="3" width="11" style="2" customWidth="1"/>
    <col min="4" max="4" width="10.1796875" style="2" customWidth="1"/>
    <col min="5" max="5" width="23.453125" customWidth="1"/>
    <col min="6" max="6" width="12.1796875" customWidth="1"/>
    <col min="7" max="7" width="4.1796875" customWidth="1"/>
    <col min="8" max="8" width="10.1796875" style="2" bestFit="1" customWidth="1"/>
    <col min="9" max="9" width="10.81640625" style="2" customWidth="1"/>
    <col min="10" max="10" width="10.81640625" style="15" customWidth="1"/>
    <col min="11" max="11" width="10.81640625" style="16" customWidth="1"/>
    <col min="12" max="12" width="11.26953125" style="2" customWidth="1"/>
    <col min="13" max="13" width="12.26953125" style="1" bestFit="1" customWidth="1"/>
    <col min="14" max="14" width="4.81640625" style="1" bestFit="1" customWidth="1"/>
    <col min="15" max="15" width="5.453125" style="1" customWidth="1"/>
    <col min="16" max="16" width="9.90625" style="14" bestFit="1" customWidth="1"/>
    <col min="17" max="17" width="12.26953125" style="14" bestFit="1" customWidth="1"/>
    <col min="18" max="19" width="12.26953125" style="14" customWidth="1"/>
    <col min="20" max="23" width="10" style="1" customWidth="1"/>
    <col min="24" max="24" width="10.6328125" style="1" bestFit="1" customWidth="1"/>
    <col min="25" max="25" width="10" style="1" customWidth="1"/>
    <col min="26" max="26" width="11.7265625" style="1" bestFit="1" customWidth="1"/>
    <col min="27" max="27" width="11.54296875" style="1" customWidth="1"/>
    <col min="28" max="28" width="10.7265625" style="1" customWidth="1"/>
    <col min="29" max="29" width="12.26953125" style="1" bestFit="1" customWidth="1"/>
    <col min="30" max="31" width="10" style="1" customWidth="1"/>
    <col min="32" max="32" width="10.1796875" style="2" customWidth="1"/>
    <col min="33" max="33" width="10.7265625" style="1" customWidth="1"/>
    <col min="34" max="34" width="9.26953125" style="1" bestFit="1" customWidth="1"/>
    <col min="35" max="35" width="10.453125" style="1" customWidth="1"/>
    <col min="36" max="36" width="10.1796875" style="1" customWidth="1"/>
    <col min="37" max="37" width="9.453125" style="1" customWidth="1"/>
    <col min="38" max="38" width="9.453125" customWidth="1"/>
    <col min="39" max="39" width="9.1796875" bestFit="1" customWidth="1"/>
    <col min="40" max="40" width="13" customWidth="1"/>
    <col min="43" max="43" width="9.26953125" bestFit="1" customWidth="1"/>
    <col min="46" max="46" width="9.26953125" bestFit="1" customWidth="1"/>
    <col min="48" max="48" width="22.1796875" customWidth="1"/>
    <col min="49" max="49" width="14.26953125" customWidth="1"/>
    <col min="50" max="63" width="10" style="1" customWidth="1"/>
    <col min="64" max="64" width="8.1796875" customWidth="1"/>
    <col min="65" max="65" width="9.453125" bestFit="1" customWidth="1"/>
  </cols>
  <sheetData>
    <row r="1" spans="1:63" ht="12.5" x14ac:dyDescent="0.25">
      <c r="I1" s="2" t="s">
        <v>740</v>
      </c>
      <c r="J1" s="15" t="s">
        <v>739</v>
      </c>
      <c r="K1" s="15" t="s">
        <v>738</v>
      </c>
      <c r="L1" s="2" t="s">
        <v>734</v>
      </c>
      <c r="P1" s="14" t="s">
        <v>1332</v>
      </c>
      <c r="Q1" s="14" t="s">
        <v>1332</v>
      </c>
      <c r="R1" s="14" t="s">
        <v>1332</v>
      </c>
      <c r="S1" s="14" t="s">
        <v>1332</v>
      </c>
      <c r="T1" s="1" t="s">
        <v>1332</v>
      </c>
      <c r="U1" s="1" t="s">
        <v>1332</v>
      </c>
      <c r="V1" s="1" t="s">
        <v>1332</v>
      </c>
      <c r="W1" s="1" t="s">
        <v>1332</v>
      </c>
      <c r="X1" s="1" t="s">
        <v>1332</v>
      </c>
      <c r="Y1" s="1" t="s">
        <v>1332</v>
      </c>
      <c r="Z1" s="1" t="s">
        <v>1332</v>
      </c>
      <c r="AA1" s="1" t="s">
        <v>1332</v>
      </c>
      <c r="AB1" s="1" t="s">
        <v>1332</v>
      </c>
      <c r="AC1" s="1" t="s">
        <v>1332</v>
      </c>
      <c r="AD1" s="1" t="s">
        <v>1332</v>
      </c>
      <c r="AE1" s="1" t="s">
        <v>1332</v>
      </c>
      <c r="AF1" s="1" t="s">
        <v>1332</v>
      </c>
      <c r="AG1" s="2" t="s">
        <v>1332</v>
      </c>
      <c r="AH1" s="2" t="s">
        <v>1332</v>
      </c>
      <c r="AI1" s="1" t="s">
        <v>1332</v>
      </c>
      <c r="AJ1" s="1" t="s">
        <v>1332</v>
      </c>
      <c r="AK1" s="162" t="s">
        <v>744</v>
      </c>
      <c r="AL1" s="162"/>
      <c r="AX1" s="1" t="s">
        <v>1331</v>
      </c>
      <c r="AY1" s="1" t="s">
        <v>1331</v>
      </c>
      <c r="AZ1" s="1" t="s">
        <v>1331</v>
      </c>
      <c r="BA1" s="1" t="s">
        <v>1331</v>
      </c>
      <c r="BB1" s="1" t="s">
        <v>1331</v>
      </c>
      <c r="BC1" s="1" t="s">
        <v>1331</v>
      </c>
      <c r="BD1" s="1" t="s">
        <v>1331</v>
      </c>
      <c r="BE1" s="1" t="s">
        <v>1331</v>
      </c>
      <c r="BF1" s="1" t="s">
        <v>1331</v>
      </c>
      <c r="BG1" s="1" t="s">
        <v>1331</v>
      </c>
      <c r="BH1" s="1" t="s">
        <v>1331</v>
      </c>
      <c r="BI1" s="1" t="s">
        <v>1331</v>
      </c>
      <c r="BJ1" s="1" t="s">
        <v>1331</v>
      </c>
    </row>
    <row r="2" spans="1:63" ht="12.5" x14ac:dyDescent="0.25">
      <c r="A2" s="2" t="s">
        <v>769</v>
      </c>
      <c r="B2" s="2" t="s">
        <v>768</v>
      </c>
      <c r="C2" s="2" t="s">
        <v>767</v>
      </c>
      <c r="D2" s="2" t="s">
        <v>768</v>
      </c>
      <c r="G2" s="12" t="s">
        <v>1541</v>
      </c>
      <c r="H2" s="2" t="s">
        <v>741</v>
      </c>
      <c r="I2" s="2" t="s">
        <v>721</v>
      </c>
      <c r="J2" s="15" t="s">
        <v>733</v>
      </c>
      <c r="K2" s="15" t="s">
        <v>737</v>
      </c>
      <c r="L2" s="2" t="s">
        <v>742</v>
      </c>
      <c r="M2" s="1" t="s">
        <v>10</v>
      </c>
      <c r="N2" s="1" t="s">
        <v>15</v>
      </c>
      <c r="P2" s="23">
        <v>45928</v>
      </c>
      <c r="Q2" s="159">
        <v>45901</v>
      </c>
      <c r="R2" s="159">
        <v>45870</v>
      </c>
      <c r="S2" s="159">
        <v>45839</v>
      </c>
      <c r="T2" s="159">
        <v>45809</v>
      </c>
      <c r="U2" s="159">
        <v>45778</v>
      </c>
      <c r="V2" s="159">
        <v>45748</v>
      </c>
      <c r="W2" s="159">
        <v>45717</v>
      </c>
      <c r="X2" s="159">
        <v>45689</v>
      </c>
      <c r="Y2" s="159">
        <v>45658</v>
      </c>
      <c r="Z2" s="159">
        <v>45627</v>
      </c>
      <c r="AA2" s="159">
        <v>45597</v>
      </c>
      <c r="AB2" s="159">
        <v>45566</v>
      </c>
      <c r="AC2" s="159">
        <v>45536</v>
      </c>
      <c r="AD2" s="23">
        <v>45535</v>
      </c>
      <c r="AE2" s="23">
        <v>45497</v>
      </c>
      <c r="AF2" s="23">
        <v>45302</v>
      </c>
      <c r="AG2" s="23">
        <v>45215</v>
      </c>
      <c r="AH2" s="23">
        <v>45154</v>
      </c>
      <c r="AI2" s="23">
        <v>45127</v>
      </c>
      <c r="AJ2" s="23">
        <v>45121</v>
      </c>
      <c r="AK2" s="23">
        <v>45089</v>
      </c>
      <c r="AL2" s="18">
        <v>45088</v>
      </c>
      <c r="AM2" t="s">
        <v>745</v>
      </c>
      <c r="AN2" t="s">
        <v>765</v>
      </c>
      <c r="AO2" s="1" t="s">
        <v>770</v>
      </c>
      <c r="AQ2" s="8"/>
      <c r="AX2" s="23">
        <v>45292</v>
      </c>
      <c r="AY2" s="23">
        <v>45261</v>
      </c>
      <c r="AZ2" s="23">
        <v>45231</v>
      </c>
      <c r="BA2" s="23">
        <v>45200</v>
      </c>
      <c r="BB2" s="23">
        <v>45170</v>
      </c>
      <c r="BC2" s="23">
        <v>45139</v>
      </c>
      <c r="BD2" s="23">
        <v>45108</v>
      </c>
      <c r="BE2" s="23">
        <v>45078</v>
      </c>
      <c r="BF2" s="23">
        <v>45047</v>
      </c>
      <c r="BG2" s="23">
        <v>45017</v>
      </c>
      <c r="BH2" s="23">
        <v>44986</v>
      </c>
      <c r="BI2" s="23">
        <v>44958</v>
      </c>
      <c r="BJ2" s="23">
        <v>44927</v>
      </c>
      <c r="BK2" s="23"/>
    </row>
    <row r="3" spans="1:63" s="3" customFormat="1" x14ac:dyDescent="0.3">
      <c r="A3" s="4">
        <v>1</v>
      </c>
      <c r="B3" s="4">
        <v>1</v>
      </c>
      <c r="C3" s="4">
        <v>1</v>
      </c>
      <c r="D3" s="4">
        <v>1</v>
      </c>
      <c r="E3" s="3" t="s">
        <v>19</v>
      </c>
      <c r="F3" s="3" t="s">
        <v>0</v>
      </c>
      <c r="G3" s="3" t="s">
        <v>1540</v>
      </c>
      <c r="H3" s="4">
        <v>2000000</v>
      </c>
      <c r="I3" s="4"/>
      <c r="J3" s="4">
        <v>2818</v>
      </c>
      <c r="K3" s="4">
        <v>1257</v>
      </c>
      <c r="L3" s="4"/>
      <c r="M3" s="9" t="s">
        <v>14</v>
      </c>
      <c r="N3" s="9" t="s">
        <v>16</v>
      </c>
      <c r="O3" s="9"/>
      <c r="P3" s="4">
        <v>76730</v>
      </c>
      <c r="Q3" s="4">
        <v>82550</v>
      </c>
      <c r="R3" s="4">
        <v>83870</v>
      </c>
      <c r="S3" s="4">
        <v>84450</v>
      </c>
      <c r="T3" s="4">
        <v>81530</v>
      </c>
      <c r="U3" s="4">
        <v>83790</v>
      </c>
      <c r="V3" s="4">
        <v>81310</v>
      </c>
      <c r="W3" s="4">
        <v>83980</v>
      </c>
      <c r="X3" s="4">
        <v>76300</v>
      </c>
      <c r="Y3" s="4">
        <v>84510</v>
      </c>
      <c r="Z3" s="4">
        <v>83260</v>
      </c>
      <c r="AA3" s="4">
        <v>82190</v>
      </c>
      <c r="AB3" s="4">
        <v>84940</v>
      </c>
      <c r="AC3" s="4">
        <v>81950</v>
      </c>
      <c r="AD3" s="4">
        <v>83510</v>
      </c>
      <c r="AE3" s="4">
        <v>75930</v>
      </c>
      <c r="AF3" s="4">
        <v>75840</v>
      </c>
      <c r="AG3" s="4">
        <v>78690</v>
      </c>
      <c r="AH3" s="4">
        <v>77280</v>
      </c>
      <c r="AI3" s="4">
        <v>77620</v>
      </c>
      <c r="AJ3" s="4">
        <v>77990</v>
      </c>
      <c r="AK3" s="4" t="s">
        <v>772</v>
      </c>
      <c r="AL3" s="4" t="s">
        <v>772</v>
      </c>
      <c r="AM3" s="22">
        <v>0.42430555555555555</v>
      </c>
      <c r="AN3" s="60">
        <f>(10+(34/60))*AJ3</f>
        <v>824094.33333333337</v>
      </c>
      <c r="AO3" s="3">
        <v>1998</v>
      </c>
      <c r="AQ3" s="46">
        <f>SUM(AN3:AN881)</f>
        <v>2490565.4556050026</v>
      </c>
      <c r="AR3" s="63"/>
      <c r="AS3" s="3" t="s">
        <v>1231</v>
      </c>
      <c r="AT3" s="46">
        <f>AN3+AN19</f>
        <v>1450678</v>
      </c>
      <c r="AU3" s="63">
        <f>AT3/AQ3</f>
        <v>0.58246933311279081</v>
      </c>
      <c r="AX3" s="4">
        <v>176199</v>
      </c>
      <c r="AY3" s="4">
        <v>168674.279117</v>
      </c>
      <c r="AZ3" s="4">
        <v>177837.868701</v>
      </c>
      <c r="BA3" s="4">
        <v>180268.31469900001</v>
      </c>
      <c r="BB3" s="4">
        <v>165532.97277699999</v>
      </c>
      <c r="BC3" s="4">
        <v>154482.65969999999</v>
      </c>
      <c r="BD3" s="4">
        <v>172214.16023199999</v>
      </c>
      <c r="BE3" s="4">
        <v>165369.52912399999</v>
      </c>
      <c r="BF3" s="4">
        <v>179591.11481500001</v>
      </c>
      <c r="BG3" s="4">
        <v>190506</v>
      </c>
      <c r="BH3" s="4">
        <v>185839</v>
      </c>
      <c r="BI3" s="4">
        <v>172979</v>
      </c>
      <c r="BJ3" s="4">
        <v>179672</v>
      </c>
      <c r="BK3" s="4"/>
    </row>
    <row r="4" spans="1:63" s="65" customFormat="1" x14ac:dyDescent="0.3">
      <c r="A4" s="64" t="s">
        <v>772</v>
      </c>
      <c r="B4" s="64" t="s">
        <v>772</v>
      </c>
      <c r="C4" s="64" t="s">
        <v>772</v>
      </c>
      <c r="D4" s="64" t="s">
        <v>772</v>
      </c>
      <c r="E4" s="65" t="s">
        <v>1205</v>
      </c>
      <c r="F4" s="65" t="s">
        <v>0</v>
      </c>
      <c r="H4" s="64">
        <v>2000000</v>
      </c>
      <c r="I4" s="64"/>
      <c r="J4" s="79">
        <v>170</v>
      </c>
      <c r="K4" s="79">
        <v>85.46</v>
      </c>
      <c r="L4" s="64"/>
      <c r="M4" s="67"/>
      <c r="N4" s="67"/>
      <c r="O4" s="67"/>
      <c r="P4" s="64"/>
      <c r="Q4" s="64">
        <v>6064</v>
      </c>
      <c r="R4" s="64">
        <v>5604</v>
      </c>
      <c r="S4" s="64">
        <v>5595</v>
      </c>
      <c r="T4" s="64">
        <v>5452</v>
      </c>
      <c r="U4" s="64">
        <v>5863</v>
      </c>
      <c r="V4" s="64">
        <v>5747</v>
      </c>
      <c r="W4" s="64">
        <v>6113</v>
      </c>
      <c r="X4" s="64">
        <v>5592</v>
      </c>
      <c r="Y4" s="64">
        <v>5855</v>
      </c>
      <c r="Z4" s="64">
        <v>5684</v>
      </c>
      <c r="AA4" s="64">
        <v>6071</v>
      </c>
      <c r="AB4" s="64">
        <v>6349</v>
      </c>
      <c r="AC4" s="67"/>
      <c r="AD4" s="67"/>
      <c r="AE4" s="64">
        <v>5001</v>
      </c>
      <c r="AF4" s="64">
        <v>4274</v>
      </c>
      <c r="AG4" s="64">
        <v>5631</v>
      </c>
      <c r="AH4" s="64">
        <v>4761</v>
      </c>
      <c r="AI4" s="69" t="s">
        <v>772</v>
      </c>
      <c r="AJ4" s="69" t="s">
        <v>772</v>
      </c>
      <c r="AK4" s="69" t="s">
        <v>772</v>
      </c>
      <c r="AL4" s="69" t="s">
        <v>772</v>
      </c>
      <c r="AM4" s="82" t="s">
        <v>772</v>
      </c>
      <c r="AN4" s="83" t="s">
        <v>772</v>
      </c>
      <c r="AO4" s="67" t="s">
        <v>772</v>
      </c>
      <c r="AS4" s="78" t="s">
        <v>1232</v>
      </c>
      <c r="AT4" s="84">
        <f>AN21+AN23+AN51+AN773+AN456</f>
        <v>275773.0033333333</v>
      </c>
      <c r="AU4" s="81">
        <f>AT4/AQ3</f>
        <v>0.11072706509789085</v>
      </c>
      <c r="AX4" s="64">
        <v>3929.6</v>
      </c>
      <c r="AY4" s="64">
        <v>3402.7</v>
      </c>
      <c r="AZ4" s="64">
        <v>4078.2</v>
      </c>
      <c r="BA4" s="64">
        <v>3967.8</v>
      </c>
      <c r="BB4" s="64">
        <v>3567.3</v>
      </c>
      <c r="BC4" s="64">
        <v>2815.1</v>
      </c>
      <c r="BD4" s="64">
        <v>3049.1</v>
      </c>
      <c r="BE4" s="64">
        <v>3011.6</v>
      </c>
      <c r="BF4" s="64">
        <v>3639.2</v>
      </c>
      <c r="BG4" s="64">
        <v>3485.4</v>
      </c>
      <c r="BH4" s="64">
        <v>3570.7</v>
      </c>
      <c r="BI4" s="64">
        <v>3304.8</v>
      </c>
      <c r="BJ4" s="64">
        <v>2795.9</v>
      </c>
      <c r="BK4" s="67"/>
    </row>
    <row r="5" spans="1:63" s="65" customFormat="1" x14ac:dyDescent="0.3">
      <c r="A5" s="64">
        <v>67</v>
      </c>
      <c r="B5" s="64" t="s">
        <v>772</v>
      </c>
      <c r="C5" s="64">
        <v>33</v>
      </c>
      <c r="D5" s="64" t="s">
        <v>772</v>
      </c>
      <c r="E5" s="65" t="s">
        <v>1544</v>
      </c>
      <c r="F5" s="65" t="s">
        <v>0</v>
      </c>
      <c r="G5" s="65" t="s">
        <v>1545</v>
      </c>
      <c r="H5" s="64">
        <v>2000000</v>
      </c>
      <c r="I5" s="64"/>
      <c r="J5" s="79"/>
      <c r="K5" s="79"/>
      <c r="L5" s="64"/>
      <c r="M5" s="67"/>
      <c r="N5" s="67"/>
      <c r="O5" s="67"/>
      <c r="P5" s="64"/>
      <c r="Q5" s="64">
        <v>1057</v>
      </c>
      <c r="R5" s="64">
        <v>723.3</v>
      </c>
      <c r="S5" s="64">
        <v>699.6</v>
      </c>
      <c r="T5" s="64">
        <v>648.5</v>
      </c>
      <c r="U5" s="64">
        <v>527.70000000000005</v>
      </c>
      <c r="V5" s="64">
        <v>409.4</v>
      </c>
      <c r="W5" s="64">
        <v>343</v>
      </c>
      <c r="X5" s="64">
        <v>284.10000000000002</v>
      </c>
      <c r="Y5" s="64">
        <v>267.60000000000002</v>
      </c>
      <c r="Z5" s="64">
        <v>261.39999999999998</v>
      </c>
      <c r="AA5" s="64">
        <v>274.89999999999998</v>
      </c>
      <c r="AB5" s="64">
        <v>291.60000000000002</v>
      </c>
      <c r="AC5" s="67"/>
      <c r="AD5" s="67"/>
      <c r="AE5" s="64"/>
      <c r="AF5" s="64"/>
      <c r="AG5" s="64"/>
      <c r="AH5" s="64"/>
      <c r="AI5" s="69"/>
      <c r="AJ5" s="69"/>
      <c r="AK5" s="69"/>
      <c r="AL5" s="69"/>
      <c r="AM5" s="82"/>
      <c r="AN5" s="83"/>
      <c r="AO5" s="67"/>
      <c r="AS5" s="78"/>
      <c r="AT5" s="84"/>
      <c r="AU5" s="81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7"/>
    </row>
    <row r="6" spans="1:63" s="65" customFormat="1" x14ac:dyDescent="0.3">
      <c r="A6" s="64" t="s">
        <v>772</v>
      </c>
      <c r="B6" s="64" t="s">
        <v>772</v>
      </c>
      <c r="C6" s="64" t="s">
        <v>772</v>
      </c>
      <c r="D6" s="64" t="s">
        <v>772</v>
      </c>
      <c r="E6" s="65" t="s">
        <v>1206</v>
      </c>
      <c r="F6" s="65" t="s">
        <v>0</v>
      </c>
      <c r="H6" s="64">
        <v>2000000</v>
      </c>
      <c r="I6" s="64"/>
      <c r="J6" s="79">
        <v>74.63</v>
      </c>
      <c r="K6" s="79">
        <v>44.13</v>
      </c>
      <c r="L6" s="64"/>
      <c r="M6" s="67"/>
      <c r="N6" s="67"/>
      <c r="O6" s="67"/>
      <c r="P6" s="64"/>
      <c r="Q6" s="64">
        <v>2493</v>
      </c>
      <c r="R6" s="64">
        <v>2313</v>
      </c>
      <c r="S6" s="64">
        <v>2324</v>
      </c>
      <c r="T6" s="64">
        <v>2312</v>
      </c>
      <c r="U6" s="64">
        <v>2470</v>
      </c>
      <c r="V6" s="64">
        <v>2417</v>
      </c>
      <c r="W6" s="64">
        <v>2581</v>
      </c>
      <c r="X6" s="64">
        <v>2361</v>
      </c>
      <c r="Y6" s="64">
        <v>2495</v>
      </c>
      <c r="Z6" s="64">
        <v>2400</v>
      </c>
      <c r="AA6" s="64">
        <v>2571</v>
      </c>
      <c r="AB6" s="64">
        <v>2722</v>
      </c>
      <c r="AC6" s="67"/>
      <c r="AD6" s="67"/>
      <c r="AE6" s="64">
        <v>2178</v>
      </c>
      <c r="AF6" s="64">
        <v>2040</v>
      </c>
      <c r="AG6" s="64">
        <v>2397</v>
      </c>
      <c r="AH6" s="64">
        <v>2089</v>
      </c>
      <c r="AI6" s="69" t="s">
        <v>772</v>
      </c>
      <c r="AJ6" s="69" t="s">
        <v>772</v>
      </c>
      <c r="AK6" s="69" t="s">
        <v>772</v>
      </c>
      <c r="AL6" s="69" t="s">
        <v>772</v>
      </c>
      <c r="AM6" s="82" t="s">
        <v>772</v>
      </c>
      <c r="AN6" s="83" t="s">
        <v>772</v>
      </c>
      <c r="AO6" s="64" t="s">
        <v>772</v>
      </c>
      <c r="AS6" s="78" t="s">
        <v>1233</v>
      </c>
      <c r="AT6" s="84">
        <f>AN65+AN58+AN78+AN71+AN142+AN147</f>
        <v>77311.713333333348</v>
      </c>
      <c r="AU6" s="85">
        <f>AT6/AQ3</f>
        <v>3.1041831548471774E-2</v>
      </c>
      <c r="AX6" s="64">
        <v>1544.8</v>
      </c>
      <c r="AY6" s="64">
        <v>1423.3</v>
      </c>
      <c r="AZ6" s="64">
        <v>1557.7</v>
      </c>
      <c r="BA6" s="64">
        <v>1605.5</v>
      </c>
      <c r="BB6" s="64">
        <v>1435.4</v>
      </c>
      <c r="BC6" s="64">
        <v>1251.8</v>
      </c>
      <c r="BD6" s="64">
        <v>1511.1</v>
      </c>
      <c r="BE6" s="64">
        <v>1425.7</v>
      </c>
      <c r="BF6" s="64">
        <v>1745.8</v>
      </c>
      <c r="BG6" s="64">
        <v>1707.7</v>
      </c>
      <c r="BH6" s="64">
        <v>1662.4</v>
      </c>
      <c r="BI6" s="64">
        <v>1554.4</v>
      </c>
      <c r="BJ6" s="64">
        <v>1430.7</v>
      </c>
      <c r="BK6" s="67"/>
    </row>
    <row r="7" spans="1:63" s="65" customFormat="1" x14ac:dyDescent="0.3">
      <c r="A7" s="64"/>
      <c r="B7" s="64"/>
      <c r="C7" s="64">
        <v>114</v>
      </c>
      <c r="D7" s="64" t="s">
        <v>772</v>
      </c>
      <c r="E7" s="65" t="s">
        <v>1547</v>
      </c>
      <c r="F7" s="65" t="s">
        <v>0</v>
      </c>
      <c r="H7" s="64">
        <v>2000000</v>
      </c>
      <c r="I7" s="64"/>
      <c r="J7" s="79"/>
      <c r="K7" s="79"/>
      <c r="L7" s="64"/>
      <c r="M7" s="67"/>
      <c r="N7" s="67"/>
      <c r="O7" s="67"/>
      <c r="P7" s="64"/>
      <c r="Q7" s="64">
        <v>445.3</v>
      </c>
      <c r="R7" s="64">
        <v>439.5</v>
      </c>
      <c r="S7" s="64">
        <v>349.4</v>
      </c>
      <c r="T7" s="64">
        <v>78.05</v>
      </c>
      <c r="U7" s="64">
        <v>5.835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7"/>
      <c r="AD7" s="67"/>
      <c r="AE7" s="64"/>
      <c r="AF7" s="64"/>
      <c r="AG7" s="64"/>
      <c r="AH7" s="64"/>
      <c r="AI7" s="69"/>
      <c r="AJ7" s="69"/>
      <c r="AK7" s="69"/>
      <c r="AL7" s="69"/>
      <c r="AM7" s="82"/>
      <c r="AN7" s="83"/>
      <c r="AO7" s="64"/>
      <c r="AS7" s="78"/>
      <c r="AT7" s="84"/>
      <c r="AU7" s="85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7"/>
    </row>
    <row r="8" spans="1:63" s="65" customFormat="1" x14ac:dyDescent="0.3">
      <c r="A8" s="64" t="s">
        <v>772</v>
      </c>
      <c r="B8" s="64" t="s">
        <v>772</v>
      </c>
      <c r="C8" s="64" t="s">
        <v>772</v>
      </c>
      <c r="D8" s="64" t="s">
        <v>772</v>
      </c>
      <c r="E8" s="65" t="s">
        <v>1203</v>
      </c>
      <c r="F8" s="65" t="s">
        <v>0</v>
      </c>
      <c r="H8" s="64">
        <v>2000000</v>
      </c>
      <c r="I8" s="64"/>
      <c r="J8" s="66">
        <v>135.9</v>
      </c>
      <c r="K8" s="66">
        <v>102.6</v>
      </c>
      <c r="L8" s="64"/>
      <c r="M8" s="67"/>
      <c r="N8" s="67"/>
      <c r="O8" s="67"/>
      <c r="P8" s="64"/>
      <c r="Q8" s="64">
        <v>4149</v>
      </c>
      <c r="R8" s="64">
        <v>4143</v>
      </c>
      <c r="S8" s="64">
        <v>4103</v>
      </c>
      <c r="T8" s="64">
        <v>4023</v>
      </c>
      <c r="U8" s="64">
        <v>4191</v>
      </c>
      <c r="V8" s="64">
        <v>4087</v>
      </c>
      <c r="W8" s="64">
        <v>4209</v>
      </c>
      <c r="X8" s="64">
        <v>3849</v>
      </c>
      <c r="Y8" s="64">
        <v>4260</v>
      </c>
      <c r="Z8" s="64">
        <v>4096</v>
      </c>
      <c r="AA8" s="64">
        <v>4099</v>
      </c>
      <c r="AB8" s="64">
        <v>4262</v>
      </c>
      <c r="AC8" s="67"/>
      <c r="AD8" s="67"/>
      <c r="AE8" s="64">
        <v>3669</v>
      </c>
      <c r="AF8" s="64">
        <v>3706</v>
      </c>
      <c r="AG8" s="64">
        <v>3904</v>
      </c>
      <c r="AH8" s="64">
        <v>3806</v>
      </c>
      <c r="AI8" s="69" t="s">
        <v>772</v>
      </c>
      <c r="AJ8" s="69" t="s">
        <v>772</v>
      </c>
      <c r="AK8" s="69" t="s">
        <v>772</v>
      </c>
      <c r="AL8" s="69" t="s">
        <v>772</v>
      </c>
      <c r="AM8" s="70">
        <v>9.5833333333333326E-2</v>
      </c>
      <c r="AN8" s="68">
        <f>(2+(18/60))*AH8</f>
        <v>8753.7999999999993</v>
      </c>
      <c r="AO8" s="64" t="s">
        <v>772</v>
      </c>
      <c r="AS8" s="78" t="s">
        <v>1246</v>
      </c>
      <c r="AT8" s="84">
        <f>AN25</f>
        <v>64767.600000000006</v>
      </c>
      <c r="AU8" s="81">
        <f>AT8/AQ3</f>
        <v>2.6005178805576425E-2</v>
      </c>
      <c r="AX8" s="64">
        <v>4239.8</v>
      </c>
      <c r="AY8" s="64">
        <v>4147.7</v>
      </c>
      <c r="AZ8" s="64">
        <v>4325.3</v>
      </c>
      <c r="BA8" s="64">
        <v>4230.5</v>
      </c>
      <c r="BB8" s="64">
        <v>3898.1</v>
      </c>
      <c r="BC8" s="64">
        <v>3829.1</v>
      </c>
      <c r="BD8" s="64">
        <v>4391.6000000000004</v>
      </c>
      <c r="BE8" s="64">
        <v>3852.4</v>
      </c>
      <c r="BF8" s="64">
        <v>4209.2</v>
      </c>
      <c r="BG8" s="64">
        <v>4180.1000000000004</v>
      </c>
      <c r="BH8" s="64">
        <v>3994.3</v>
      </c>
      <c r="BI8" s="64">
        <v>3673.3</v>
      </c>
      <c r="BJ8" s="64">
        <v>3700.1</v>
      </c>
      <c r="BK8" s="67"/>
    </row>
    <row r="9" spans="1:63" s="65" customFormat="1" x14ac:dyDescent="0.3">
      <c r="A9" s="64"/>
      <c r="B9" s="64"/>
      <c r="C9" s="64">
        <v>832</v>
      </c>
      <c r="D9" s="64" t="s">
        <v>772</v>
      </c>
      <c r="E9" s="65" t="s">
        <v>403</v>
      </c>
      <c r="F9" s="65" t="s">
        <v>0</v>
      </c>
      <c r="H9" s="64">
        <v>2000000</v>
      </c>
      <c r="I9" s="64"/>
      <c r="J9" s="66"/>
      <c r="K9" s="66"/>
      <c r="L9" s="64"/>
      <c r="M9" s="67"/>
      <c r="N9" s="67"/>
      <c r="O9" s="67"/>
      <c r="P9" s="64"/>
      <c r="Q9" s="64">
        <v>82.38</v>
      </c>
      <c r="R9" s="64">
        <v>94.17</v>
      </c>
      <c r="S9" s="64">
        <v>89.45</v>
      </c>
      <c r="T9" s="64">
        <v>114.9</v>
      </c>
      <c r="U9" s="64">
        <v>107.1</v>
      </c>
      <c r="V9" s="64">
        <v>93.42</v>
      </c>
      <c r="W9" s="64">
        <v>110.3</v>
      </c>
      <c r="X9" s="64">
        <v>101.9</v>
      </c>
      <c r="Y9" s="64">
        <v>114.7</v>
      </c>
      <c r="Z9" s="64">
        <v>157.9</v>
      </c>
      <c r="AA9" s="64">
        <v>171.4</v>
      </c>
      <c r="AB9" s="64">
        <v>188.9</v>
      </c>
      <c r="AC9" s="67"/>
      <c r="AD9" s="67"/>
      <c r="AE9" s="64"/>
      <c r="AF9" s="64"/>
      <c r="AG9" s="64"/>
      <c r="AH9" s="64"/>
      <c r="AI9" s="69"/>
      <c r="AJ9" s="69"/>
      <c r="AK9" s="69"/>
      <c r="AL9" s="69"/>
      <c r="AM9" s="70"/>
      <c r="AN9" s="68"/>
      <c r="AO9" s="64"/>
      <c r="AS9" s="78"/>
      <c r="AT9" s="84"/>
      <c r="AU9" s="81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7"/>
    </row>
    <row r="10" spans="1:63" s="65" customFormat="1" x14ac:dyDescent="0.3">
      <c r="A10" s="64"/>
      <c r="B10" s="64"/>
      <c r="C10" s="64">
        <v>176</v>
      </c>
      <c r="D10" s="64" t="s">
        <v>772</v>
      </c>
      <c r="E10" s="65" t="s">
        <v>1679</v>
      </c>
      <c r="F10" s="65" t="s">
        <v>0</v>
      </c>
      <c r="H10" s="64">
        <v>2000000</v>
      </c>
      <c r="I10" s="64"/>
      <c r="J10" s="66"/>
      <c r="K10" s="66"/>
      <c r="L10" s="64"/>
      <c r="M10" s="67"/>
      <c r="N10" s="67"/>
      <c r="O10" s="67"/>
      <c r="P10" s="64"/>
      <c r="Q10" s="64">
        <v>105.8</v>
      </c>
      <c r="R10" s="64">
        <v>113.6</v>
      </c>
      <c r="S10" s="64">
        <v>153.19999999999999</v>
      </c>
      <c r="T10" s="64">
        <v>196.2</v>
      </c>
      <c r="U10" s="64">
        <v>348.8</v>
      </c>
      <c r="V10" s="64">
        <v>436.3</v>
      </c>
      <c r="W10" s="64">
        <v>453.4</v>
      </c>
      <c r="X10" s="64">
        <v>415.3</v>
      </c>
      <c r="Y10" s="64">
        <v>461.3</v>
      </c>
      <c r="Z10" s="64">
        <v>443.4</v>
      </c>
      <c r="AA10" s="64">
        <v>446.1</v>
      </c>
      <c r="AB10" s="64">
        <v>454.7</v>
      </c>
      <c r="AC10" s="67"/>
      <c r="AD10" s="67"/>
      <c r="AE10" s="64"/>
      <c r="AF10" s="64"/>
      <c r="AG10" s="64"/>
      <c r="AH10" s="64"/>
      <c r="AI10" s="69"/>
      <c r="AJ10" s="69"/>
      <c r="AK10" s="69"/>
      <c r="AL10" s="69"/>
      <c r="AM10" s="70"/>
      <c r="AN10" s="68"/>
      <c r="AO10" s="64"/>
      <c r="AS10" s="78"/>
      <c r="AT10" s="84"/>
      <c r="AU10" s="81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7"/>
    </row>
    <row r="11" spans="1:63" s="65" customFormat="1" x14ac:dyDescent="0.3">
      <c r="A11" s="64"/>
      <c r="B11" s="64"/>
      <c r="C11" s="64">
        <v>277</v>
      </c>
      <c r="D11" s="64" t="s">
        <v>772</v>
      </c>
      <c r="E11" s="65" t="s">
        <v>1795</v>
      </c>
      <c r="F11" s="65" t="s">
        <v>0</v>
      </c>
      <c r="H11" s="64">
        <v>2000000</v>
      </c>
      <c r="I11" s="64"/>
      <c r="J11" s="66"/>
      <c r="K11" s="66"/>
      <c r="L11" s="64"/>
      <c r="M11" s="67"/>
      <c r="N11" s="67"/>
      <c r="O11" s="67"/>
      <c r="P11" s="64"/>
      <c r="Q11" s="64">
        <v>72.27</v>
      </c>
      <c r="R11" s="64">
        <v>78.41</v>
      </c>
      <c r="S11" s="64">
        <v>109.6</v>
      </c>
      <c r="T11" s="64">
        <v>123.1</v>
      </c>
      <c r="U11" s="64">
        <v>204.7</v>
      </c>
      <c r="V11" s="64">
        <v>242.4</v>
      </c>
      <c r="W11" s="64">
        <v>259.60000000000002</v>
      </c>
      <c r="X11" s="64">
        <v>244.2</v>
      </c>
      <c r="Y11" s="64">
        <v>272</v>
      </c>
      <c r="Z11" s="64">
        <v>265.39999999999998</v>
      </c>
      <c r="AA11" s="64">
        <v>272</v>
      </c>
      <c r="AB11" s="64">
        <v>281.5</v>
      </c>
      <c r="AC11" s="67"/>
      <c r="AD11" s="67"/>
      <c r="AE11" s="64"/>
      <c r="AF11" s="64"/>
      <c r="AG11" s="64"/>
      <c r="AH11" s="64"/>
      <c r="AI11" s="69"/>
      <c r="AJ11" s="69"/>
      <c r="AK11" s="69"/>
      <c r="AL11" s="69"/>
      <c r="AM11" s="70"/>
      <c r="AN11" s="68"/>
      <c r="AO11" s="64"/>
      <c r="AS11" s="78"/>
      <c r="AT11" s="84"/>
      <c r="AU11" s="81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7"/>
    </row>
    <row r="12" spans="1:63" s="65" customFormat="1" x14ac:dyDescent="0.3">
      <c r="A12" s="64"/>
      <c r="B12" s="64"/>
      <c r="C12" s="64">
        <v>380</v>
      </c>
      <c r="D12" s="64" t="s">
        <v>772</v>
      </c>
      <c r="E12" s="65" t="s">
        <v>1776</v>
      </c>
      <c r="F12" s="65" t="s">
        <v>0</v>
      </c>
      <c r="H12" s="64">
        <v>2000000</v>
      </c>
      <c r="I12" s="64"/>
      <c r="J12" s="66"/>
      <c r="K12" s="66"/>
      <c r="L12" s="64"/>
      <c r="M12" s="67"/>
      <c r="N12" s="67"/>
      <c r="O12" s="67"/>
      <c r="P12" s="64"/>
      <c r="Q12" s="64">
        <v>80.75</v>
      </c>
      <c r="R12" s="64">
        <v>82.61</v>
      </c>
      <c r="S12" s="64">
        <v>89.67</v>
      </c>
      <c r="T12" s="64">
        <v>100.9</v>
      </c>
      <c r="U12" s="64">
        <v>163.5</v>
      </c>
      <c r="V12" s="64">
        <v>196.9</v>
      </c>
      <c r="W12" s="64">
        <v>215.6</v>
      </c>
      <c r="X12" s="64">
        <v>203.8</v>
      </c>
      <c r="Y12" s="64">
        <v>220.6</v>
      </c>
      <c r="Z12" s="64">
        <v>208.5</v>
      </c>
      <c r="AA12" s="64">
        <v>204.2</v>
      </c>
      <c r="AB12" s="64">
        <v>223.6</v>
      </c>
      <c r="AC12" s="67"/>
      <c r="AD12" s="67"/>
      <c r="AE12" s="64"/>
      <c r="AF12" s="64"/>
      <c r="AG12" s="64"/>
      <c r="AH12" s="64"/>
      <c r="AI12" s="69"/>
      <c r="AJ12" s="69"/>
      <c r="AK12" s="69"/>
      <c r="AL12" s="69"/>
      <c r="AM12" s="70"/>
      <c r="AN12" s="68"/>
      <c r="AO12" s="64"/>
      <c r="AS12" s="78"/>
      <c r="AT12" s="84"/>
      <c r="AU12" s="81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7"/>
    </row>
    <row r="13" spans="1:63" s="65" customFormat="1" x14ac:dyDescent="0.3">
      <c r="A13" s="64"/>
      <c r="B13" s="64"/>
      <c r="C13" s="64">
        <v>249</v>
      </c>
      <c r="D13" s="64" t="s">
        <v>772</v>
      </c>
      <c r="E13" s="65" t="s">
        <v>1777</v>
      </c>
      <c r="F13" s="65" t="s">
        <v>0</v>
      </c>
      <c r="H13" s="64">
        <v>2000000</v>
      </c>
      <c r="I13" s="64"/>
      <c r="J13" s="66"/>
      <c r="K13" s="66"/>
      <c r="L13" s="64"/>
      <c r="M13" s="67"/>
      <c r="N13" s="67"/>
      <c r="O13" s="67"/>
      <c r="P13" s="64"/>
      <c r="Q13" s="64">
        <v>75.319999999999993</v>
      </c>
      <c r="R13" s="64">
        <v>82.53</v>
      </c>
      <c r="S13" s="64">
        <v>116.6</v>
      </c>
      <c r="T13" s="64">
        <v>126</v>
      </c>
      <c r="U13" s="64">
        <v>218.8</v>
      </c>
      <c r="V13" s="64">
        <v>279.89999999999998</v>
      </c>
      <c r="W13" s="64">
        <v>299.3</v>
      </c>
      <c r="X13" s="64">
        <v>272</v>
      </c>
      <c r="Y13" s="64">
        <v>298.8</v>
      </c>
      <c r="Z13" s="64">
        <v>288.89999999999998</v>
      </c>
      <c r="AA13" s="64">
        <v>293</v>
      </c>
      <c r="AB13" s="64">
        <v>305.7</v>
      </c>
      <c r="AC13" s="67"/>
      <c r="AD13" s="67"/>
      <c r="AE13" s="64"/>
      <c r="AF13" s="64"/>
      <c r="AG13" s="64"/>
      <c r="AH13" s="64"/>
      <c r="AI13" s="69"/>
      <c r="AJ13" s="69"/>
      <c r="AK13" s="69"/>
      <c r="AL13" s="69"/>
      <c r="AM13" s="70"/>
      <c r="AN13" s="68"/>
      <c r="AO13" s="64"/>
      <c r="AS13" s="78"/>
      <c r="AT13" s="84"/>
      <c r="AU13" s="81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7"/>
    </row>
    <row r="14" spans="1:63" s="65" customFormat="1" x14ac:dyDescent="0.3">
      <c r="A14" s="64"/>
      <c r="B14" s="64"/>
      <c r="C14" s="64">
        <v>192</v>
      </c>
      <c r="D14" s="64" t="s">
        <v>772</v>
      </c>
      <c r="E14" s="65" t="s">
        <v>1695</v>
      </c>
      <c r="F14" s="65" t="s">
        <v>0</v>
      </c>
      <c r="H14" s="64">
        <v>2000000</v>
      </c>
      <c r="I14" s="64"/>
      <c r="J14" s="66"/>
      <c r="K14" s="66"/>
      <c r="L14" s="64"/>
      <c r="M14" s="67"/>
      <c r="N14" s="67"/>
      <c r="O14" s="67"/>
      <c r="P14" s="64"/>
      <c r="Q14" s="64">
        <v>100.4</v>
      </c>
      <c r="R14" s="64">
        <v>105.4</v>
      </c>
      <c r="S14" s="64">
        <v>129.30000000000001</v>
      </c>
      <c r="T14" s="64">
        <v>145.4</v>
      </c>
      <c r="U14" s="64">
        <v>261.3</v>
      </c>
      <c r="V14" s="64">
        <v>336.1</v>
      </c>
      <c r="W14" s="64">
        <v>349.9</v>
      </c>
      <c r="X14" s="64">
        <v>343.9</v>
      </c>
      <c r="Y14" s="64">
        <v>378.6</v>
      </c>
      <c r="Z14" s="64">
        <v>351.5</v>
      </c>
      <c r="AA14" s="64">
        <v>351.7</v>
      </c>
      <c r="AB14" s="64">
        <v>364.6</v>
      </c>
      <c r="AC14" s="67"/>
      <c r="AD14" s="67"/>
      <c r="AE14" s="64"/>
      <c r="AF14" s="64"/>
      <c r="AG14" s="64"/>
      <c r="AH14" s="64"/>
      <c r="AI14" s="69"/>
      <c r="AJ14" s="69"/>
      <c r="AK14" s="69"/>
      <c r="AL14" s="69"/>
      <c r="AM14" s="70"/>
      <c r="AN14" s="68"/>
      <c r="AO14" s="64"/>
      <c r="AS14" s="78"/>
      <c r="AT14" s="84"/>
      <c r="AU14" s="81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7"/>
    </row>
    <row r="15" spans="1:63" s="65" customFormat="1" x14ac:dyDescent="0.3">
      <c r="A15" s="64">
        <v>93</v>
      </c>
      <c r="B15" s="64">
        <v>99</v>
      </c>
      <c r="C15" s="64">
        <v>128</v>
      </c>
      <c r="D15" s="64">
        <v>121</v>
      </c>
      <c r="E15" s="65" t="s">
        <v>84</v>
      </c>
      <c r="F15" s="65" t="s">
        <v>0</v>
      </c>
      <c r="G15" s="65" t="s">
        <v>1236</v>
      </c>
      <c r="H15" s="64">
        <v>2000000</v>
      </c>
      <c r="I15" s="64"/>
      <c r="J15" s="64">
        <v>13.02</v>
      </c>
      <c r="K15" s="66">
        <v>6.7720000000000002</v>
      </c>
      <c r="L15" s="64"/>
      <c r="M15" s="67"/>
      <c r="N15" s="67"/>
      <c r="O15" s="67"/>
      <c r="P15" s="64"/>
      <c r="Q15" s="64">
        <v>298.60000000000002</v>
      </c>
      <c r="R15" s="64">
        <v>311.8</v>
      </c>
      <c r="S15" s="64">
        <v>324.10000000000002</v>
      </c>
      <c r="T15" s="64">
        <v>325.10000000000002</v>
      </c>
      <c r="U15" s="64">
        <v>322.39999999999998</v>
      </c>
      <c r="V15" s="64">
        <v>319.3</v>
      </c>
      <c r="W15" s="64">
        <v>342.7</v>
      </c>
      <c r="X15" s="64">
        <v>313.7</v>
      </c>
      <c r="Y15" s="64">
        <v>351.8</v>
      </c>
      <c r="Z15" s="64">
        <v>337.5</v>
      </c>
      <c r="AA15" s="64">
        <v>326.2</v>
      </c>
      <c r="AB15" s="64">
        <v>342.2</v>
      </c>
      <c r="AC15" s="67"/>
      <c r="AD15" s="67"/>
      <c r="AE15" s="64">
        <v>317.7</v>
      </c>
      <c r="AF15" s="64">
        <v>352.7</v>
      </c>
      <c r="AG15" s="64">
        <v>352.3</v>
      </c>
      <c r="AH15" s="64">
        <v>364.7</v>
      </c>
      <c r="AI15" s="64" t="s">
        <v>772</v>
      </c>
      <c r="AJ15" s="64">
        <v>366.3</v>
      </c>
      <c r="AK15" s="64" t="s">
        <v>772</v>
      </c>
      <c r="AL15" s="64" t="s">
        <v>772</v>
      </c>
      <c r="AM15" s="70">
        <v>0.23680555555555557</v>
      </c>
      <c r="AN15" s="68">
        <f>(5+(41/60))*AJ15</f>
        <v>2081.8050000000003</v>
      </c>
      <c r="AO15" s="64" t="s">
        <v>772</v>
      </c>
      <c r="AX15" s="64">
        <v>471.5</v>
      </c>
      <c r="AY15" s="64">
        <v>482.7</v>
      </c>
      <c r="AZ15" s="64">
        <v>460.5</v>
      </c>
      <c r="BA15" s="64">
        <v>508.3</v>
      </c>
      <c r="BB15" s="64">
        <v>470.1</v>
      </c>
      <c r="BC15" s="64">
        <v>422.6</v>
      </c>
      <c r="BD15" s="64">
        <v>455.2</v>
      </c>
      <c r="BE15" s="64">
        <v>455.5</v>
      </c>
      <c r="BF15" s="64">
        <v>504.2</v>
      </c>
      <c r="BG15" s="64">
        <v>546.4</v>
      </c>
      <c r="BH15" s="64">
        <v>504.9</v>
      </c>
      <c r="BI15" s="64">
        <v>501</v>
      </c>
      <c r="BJ15" s="64">
        <v>553.79999999999995</v>
      </c>
      <c r="BK15" s="67"/>
    </row>
    <row r="16" spans="1:63" s="65" customFormat="1" x14ac:dyDescent="0.3">
      <c r="A16" s="64"/>
      <c r="B16" s="64"/>
      <c r="C16" s="64">
        <v>92</v>
      </c>
      <c r="D16" s="64">
        <v>137</v>
      </c>
      <c r="E16" s="65" t="s">
        <v>1572</v>
      </c>
      <c r="F16" s="65" t="s">
        <v>0</v>
      </c>
      <c r="H16" s="64">
        <v>2000000</v>
      </c>
      <c r="I16" s="64"/>
      <c r="J16" s="64"/>
      <c r="K16" s="66"/>
      <c r="L16" s="64"/>
      <c r="M16" s="67"/>
      <c r="N16" s="67"/>
      <c r="O16" s="67"/>
      <c r="P16" s="64"/>
      <c r="Q16" s="64">
        <v>223.1</v>
      </c>
      <c r="R16" s="64">
        <v>230.5</v>
      </c>
      <c r="S16" s="64">
        <v>253.3</v>
      </c>
      <c r="T16" s="64">
        <v>265.5</v>
      </c>
      <c r="U16" s="64">
        <v>365.1</v>
      </c>
      <c r="V16" s="64">
        <v>408.4</v>
      </c>
      <c r="W16" s="64">
        <v>419.6</v>
      </c>
      <c r="X16" s="64">
        <v>381.7</v>
      </c>
      <c r="Y16" s="64">
        <v>420.9</v>
      </c>
      <c r="Z16" s="64">
        <v>403.1</v>
      </c>
      <c r="AA16" s="64">
        <v>399.6</v>
      </c>
      <c r="AB16" s="64">
        <v>421.8</v>
      </c>
      <c r="AC16" s="67"/>
      <c r="AD16" s="67"/>
      <c r="AE16" s="64"/>
      <c r="AF16" s="64"/>
      <c r="AG16" s="64"/>
      <c r="AH16" s="64"/>
      <c r="AI16" s="64"/>
      <c r="AJ16" s="64"/>
      <c r="AK16" s="64"/>
      <c r="AL16" s="64"/>
      <c r="AM16" s="70"/>
      <c r="AN16" s="68"/>
      <c r="AO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7"/>
    </row>
    <row r="17" spans="1:63" s="65" customFormat="1" x14ac:dyDescent="0.3">
      <c r="A17" s="64"/>
      <c r="B17" s="64"/>
      <c r="C17" s="64">
        <v>128</v>
      </c>
      <c r="D17" s="64" t="s">
        <v>772</v>
      </c>
      <c r="E17" s="65" t="s">
        <v>1577</v>
      </c>
      <c r="F17" s="65" t="s">
        <v>0</v>
      </c>
      <c r="H17" s="64">
        <v>2000000</v>
      </c>
      <c r="I17" s="64"/>
      <c r="J17" s="64"/>
      <c r="K17" s="66"/>
      <c r="L17" s="64"/>
      <c r="M17" s="67"/>
      <c r="N17" s="67"/>
      <c r="O17" s="67"/>
      <c r="P17" s="64"/>
      <c r="Q17" s="64">
        <v>275.2</v>
      </c>
      <c r="R17" s="64">
        <v>219.2</v>
      </c>
      <c r="S17" s="64">
        <v>172.8</v>
      </c>
      <c r="T17" s="64">
        <v>174.5</v>
      </c>
      <c r="U17" s="64">
        <v>190.4</v>
      </c>
      <c r="V17" s="64">
        <v>82.59</v>
      </c>
      <c r="W17" s="64">
        <v>62.64</v>
      </c>
      <c r="X17" s="64">
        <v>54.06</v>
      </c>
      <c r="Y17" s="64">
        <v>46.67</v>
      </c>
      <c r="Z17" s="64">
        <v>45.45</v>
      </c>
      <c r="AA17" s="64">
        <v>47.26</v>
      </c>
      <c r="AB17" s="64">
        <v>49.5</v>
      </c>
      <c r="AC17" s="67"/>
      <c r="AD17" s="67"/>
      <c r="AE17" s="64"/>
      <c r="AF17" s="64"/>
      <c r="AG17" s="64"/>
      <c r="AH17" s="64"/>
      <c r="AI17" s="64"/>
      <c r="AJ17" s="64"/>
      <c r="AK17" s="64"/>
      <c r="AL17" s="64"/>
      <c r="AM17" s="70"/>
      <c r="AN17" s="68"/>
      <c r="AO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7"/>
    </row>
    <row r="18" spans="1:63" s="65" customFormat="1" x14ac:dyDescent="0.3">
      <c r="A18" s="64">
        <v>626</v>
      </c>
      <c r="B18" s="64">
        <v>927</v>
      </c>
      <c r="C18" s="64">
        <v>589</v>
      </c>
      <c r="D18" s="64">
        <v>815</v>
      </c>
      <c r="E18" s="65" t="s">
        <v>1179</v>
      </c>
      <c r="F18" s="65" t="s">
        <v>0</v>
      </c>
      <c r="H18" s="64">
        <v>2000000</v>
      </c>
      <c r="I18" s="66"/>
      <c r="J18" s="64"/>
      <c r="K18" s="73"/>
      <c r="L18" s="66"/>
      <c r="M18" s="67"/>
      <c r="N18" s="67"/>
      <c r="O18" s="67"/>
      <c r="P18" s="64"/>
      <c r="Q18" s="64">
        <v>43.57</v>
      </c>
      <c r="R18" s="64">
        <v>45.55</v>
      </c>
      <c r="S18" s="64">
        <v>46.68</v>
      </c>
      <c r="T18" s="64">
        <v>44.16</v>
      </c>
      <c r="U18" s="64">
        <v>42.92</v>
      </c>
      <c r="V18" s="64">
        <v>41.26</v>
      </c>
      <c r="W18" s="64">
        <v>41.3</v>
      </c>
      <c r="X18" s="64">
        <v>37.83</v>
      </c>
      <c r="Y18" s="64">
        <v>38.67</v>
      </c>
      <c r="Z18" s="64">
        <v>33.130000000000003</v>
      </c>
      <c r="AA18" s="64">
        <v>33.04</v>
      </c>
      <c r="AB18" s="64">
        <v>35.78</v>
      </c>
      <c r="AC18" s="67"/>
      <c r="AD18" s="67"/>
      <c r="AE18" s="69">
        <v>30.13</v>
      </c>
      <c r="AF18" s="64" t="s">
        <v>772</v>
      </c>
      <c r="AG18" s="67" t="s">
        <v>772</v>
      </c>
      <c r="AH18" s="69" t="s">
        <v>772</v>
      </c>
      <c r="AI18" s="69">
        <v>31.03</v>
      </c>
      <c r="AJ18" s="69" t="s">
        <v>772</v>
      </c>
      <c r="AK18" s="69" t="s">
        <v>772</v>
      </c>
      <c r="AL18" s="64" t="s">
        <v>772</v>
      </c>
      <c r="AM18" s="86">
        <v>0.33124999999999999</v>
      </c>
      <c r="AX18" s="64">
        <v>12.3</v>
      </c>
      <c r="AY18" s="64">
        <v>15.1</v>
      </c>
      <c r="AZ18" s="64">
        <v>12.8</v>
      </c>
      <c r="BA18" s="64">
        <v>11.5</v>
      </c>
      <c r="BB18" s="64">
        <v>11.6</v>
      </c>
      <c r="BC18" s="64">
        <v>12.7</v>
      </c>
      <c r="BD18" s="64">
        <v>10.7</v>
      </c>
      <c r="BE18" s="64">
        <v>10.8</v>
      </c>
      <c r="BF18" s="64">
        <v>12.1</v>
      </c>
      <c r="BG18" s="64">
        <v>13.3</v>
      </c>
      <c r="BH18" s="64">
        <v>13.5</v>
      </c>
      <c r="BI18" s="64">
        <v>11.5</v>
      </c>
      <c r="BJ18" s="64">
        <v>7.6</v>
      </c>
      <c r="BK18" s="67"/>
    </row>
    <row r="19" spans="1:63" s="3" customFormat="1" x14ac:dyDescent="0.3">
      <c r="A19" s="4">
        <f>A3+1</f>
        <v>2</v>
      </c>
      <c r="B19" s="4">
        <v>2</v>
      </c>
      <c r="C19" s="4">
        <v>2</v>
      </c>
      <c r="D19" s="4">
        <v>2</v>
      </c>
      <c r="E19" s="3" t="s">
        <v>20</v>
      </c>
      <c r="F19" s="3" t="s">
        <v>0</v>
      </c>
      <c r="G19" s="3" t="s">
        <v>1289</v>
      </c>
      <c r="H19" s="4">
        <v>2000000</v>
      </c>
      <c r="I19" s="4"/>
      <c r="J19" s="4">
        <v>1079</v>
      </c>
      <c r="K19" s="55">
        <v>423.1</v>
      </c>
      <c r="L19" s="4"/>
      <c r="M19" s="9" t="s">
        <v>13</v>
      </c>
      <c r="N19" s="9" t="s">
        <v>16</v>
      </c>
      <c r="O19" s="9"/>
      <c r="P19" s="4"/>
      <c r="Q19" s="4">
        <v>28710</v>
      </c>
      <c r="R19" s="4">
        <v>30420</v>
      </c>
      <c r="S19" s="4">
        <v>30250</v>
      </c>
      <c r="T19" s="4">
        <v>29030</v>
      </c>
      <c r="U19" s="4">
        <v>30120</v>
      </c>
      <c r="V19" s="4">
        <v>28680</v>
      </c>
      <c r="W19" s="4">
        <v>29300</v>
      </c>
      <c r="X19" s="4">
        <v>26470</v>
      </c>
      <c r="Y19" s="4">
        <v>30020</v>
      </c>
      <c r="Z19" s="4">
        <v>30290</v>
      </c>
      <c r="AA19" s="4">
        <v>28530</v>
      </c>
      <c r="AB19" s="4">
        <v>29100</v>
      </c>
      <c r="AC19" s="4">
        <v>28000</v>
      </c>
      <c r="AD19" s="4">
        <v>29500</v>
      </c>
      <c r="AE19" s="4">
        <v>27310</v>
      </c>
      <c r="AF19" s="4">
        <v>30890</v>
      </c>
      <c r="AG19" s="4">
        <v>29630</v>
      </c>
      <c r="AH19" s="4">
        <v>30780</v>
      </c>
      <c r="AI19" s="4">
        <v>30760</v>
      </c>
      <c r="AJ19" s="4">
        <v>30740</v>
      </c>
      <c r="AK19" s="4" t="s">
        <v>772</v>
      </c>
      <c r="AL19" s="4" t="s">
        <v>772</v>
      </c>
      <c r="AM19" s="22">
        <v>0.84930555555555554</v>
      </c>
      <c r="AN19" s="60">
        <f>(20+(23/60))*AJ19</f>
        <v>626583.66666666663</v>
      </c>
      <c r="AO19" s="3">
        <v>2005</v>
      </c>
      <c r="AS19" s="3" t="s">
        <v>7</v>
      </c>
      <c r="AT19" s="46">
        <f>AN67+AN57+AN773+AN125+AN69+AN40+AN82</f>
        <v>54671.418333333342</v>
      </c>
      <c r="AU19" s="63">
        <f>AT19/AQ3</f>
        <v>2.1951407946454747E-2</v>
      </c>
      <c r="AX19" s="4">
        <v>114876</v>
      </c>
      <c r="AY19" s="4">
        <v>112090</v>
      </c>
      <c r="AZ19" s="4">
        <v>117336</v>
      </c>
      <c r="BA19" s="4">
        <v>112896</v>
      </c>
      <c r="BB19" s="4">
        <v>109798</v>
      </c>
      <c r="BC19" s="4">
        <v>103226</v>
      </c>
      <c r="BD19" s="4">
        <v>112065</v>
      </c>
      <c r="BE19" s="4">
        <v>110504</v>
      </c>
      <c r="BF19" s="4">
        <v>115724</v>
      </c>
      <c r="BG19" s="4">
        <v>117414</v>
      </c>
      <c r="BH19" s="4">
        <v>117029</v>
      </c>
      <c r="BI19" s="4">
        <v>108121</v>
      </c>
      <c r="BJ19" s="4">
        <v>113441</v>
      </c>
      <c r="BK19" s="9"/>
    </row>
    <row r="20" spans="1:63" s="68" customFormat="1" x14ac:dyDescent="0.3">
      <c r="A20" s="64">
        <v>113</v>
      </c>
      <c r="B20" s="64">
        <v>114</v>
      </c>
      <c r="C20" s="64">
        <v>77</v>
      </c>
      <c r="D20" s="64">
        <v>84</v>
      </c>
      <c r="E20" s="68" t="s">
        <v>196</v>
      </c>
      <c r="F20" s="68" t="s">
        <v>0</v>
      </c>
      <c r="G20" s="68" t="s">
        <v>1289</v>
      </c>
      <c r="H20" s="64">
        <v>2000000</v>
      </c>
      <c r="I20" s="64"/>
      <c r="J20" s="64"/>
      <c r="K20" s="64"/>
      <c r="L20" s="64"/>
      <c r="M20" s="64"/>
      <c r="N20" s="64"/>
      <c r="O20" s="64"/>
      <c r="P20" s="64"/>
      <c r="Q20" s="64">
        <v>338.9</v>
      </c>
      <c r="R20" s="64">
        <v>355.3</v>
      </c>
      <c r="S20" s="64">
        <v>354.6</v>
      </c>
      <c r="T20" s="64">
        <v>334.6</v>
      </c>
      <c r="U20" s="64">
        <v>335.3</v>
      </c>
      <c r="V20" s="64">
        <v>317.2</v>
      </c>
      <c r="W20" s="64">
        <v>326.8</v>
      </c>
      <c r="X20" s="64">
        <v>295</v>
      </c>
      <c r="Y20" s="64">
        <v>317.60000000000002</v>
      </c>
      <c r="Z20" s="64">
        <v>306.10000000000002</v>
      </c>
      <c r="AA20" s="64">
        <v>285.39999999999998</v>
      </c>
      <c r="AB20" s="64">
        <v>287.8</v>
      </c>
      <c r="AC20" s="64"/>
      <c r="AD20" s="64"/>
      <c r="AE20" s="64">
        <v>244.8</v>
      </c>
      <c r="AF20" s="64" t="s">
        <v>772</v>
      </c>
      <c r="AG20" s="64" t="s">
        <v>772</v>
      </c>
      <c r="AH20" s="64" t="s">
        <v>772</v>
      </c>
      <c r="AI20" s="64" t="s">
        <v>772</v>
      </c>
      <c r="AJ20" s="64" t="s">
        <v>772</v>
      </c>
      <c r="AK20" s="64" t="s">
        <v>772</v>
      </c>
      <c r="AL20" s="64" t="s">
        <v>772</v>
      </c>
      <c r="AN20" s="80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</row>
    <row r="21" spans="1:63" ht="12.5" x14ac:dyDescent="0.25">
      <c r="A21" s="2">
        <v>4</v>
      </c>
      <c r="B21" s="2">
        <v>3</v>
      </c>
      <c r="C21" s="2">
        <v>3</v>
      </c>
      <c r="D21" s="2">
        <v>3</v>
      </c>
      <c r="E21" t="s">
        <v>21</v>
      </c>
      <c r="F21" t="s">
        <v>1</v>
      </c>
      <c r="G21" t="s">
        <v>1542</v>
      </c>
      <c r="H21" s="2">
        <v>2000000</v>
      </c>
      <c r="J21" s="2">
        <v>562.1</v>
      </c>
      <c r="K21" s="54">
        <v>277.60000000000002</v>
      </c>
      <c r="M21" s="1" t="s">
        <v>11</v>
      </c>
      <c r="N21" s="1" t="s">
        <v>16</v>
      </c>
      <c r="P21" s="2">
        <v>10660</v>
      </c>
      <c r="Q21" s="2">
        <v>11420</v>
      </c>
      <c r="R21" s="2">
        <v>12000</v>
      </c>
      <c r="S21" s="2">
        <v>12130</v>
      </c>
      <c r="T21" s="2">
        <v>11570</v>
      </c>
      <c r="U21" s="2">
        <v>11920</v>
      </c>
      <c r="V21" s="2">
        <v>11560</v>
      </c>
      <c r="W21" s="2">
        <v>11920</v>
      </c>
      <c r="X21" s="2">
        <v>10880</v>
      </c>
      <c r="Y21" s="2">
        <v>12300</v>
      </c>
      <c r="Z21" s="2">
        <v>12330</v>
      </c>
      <c r="AA21" s="2">
        <v>12040</v>
      </c>
      <c r="AB21" s="2">
        <v>12450</v>
      </c>
      <c r="AC21" s="2">
        <v>12260</v>
      </c>
      <c r="AD21" s="2">
        <v>12880</v>
      </c>
      <c r="AE21" s="2">
        <v>11620</v>
      </c>
      <c r="AF21" s="2">
        <v>15170</v>
      </c>
      <c r="AG21" s="2">
        <v>15130</v>
      </c>
      <c r="AH21" s="2">
        <v>15710</v>
      </c>
      <c r="AI21" s="2">
        <v>15730</v>
      </c>
      <c r="AJ21" s="2">
        <v>15760</v>
      </c>
      <c r="AK21" s="2" t="s">
        <v>772</v>
      </c>
      <c r="AL21" s="2" t="s">
        <v>772</v>
      </c>
      <c r="AM21" s="19">
        <v>0.44305555555555554</v>
      </c>
      <c r="AN21" s="57">
        <f>(10+(38/60))*AJ21</f>
        <v>167581.33333333331</v>
      </c>
      <c r="AO21">
        <v>2004</v>
      </c>
      <c r="AQ21" s="8"/>
      <c r="AR21" s="48"/>
      <c r="AS21" t="s">
        <v>2</v>
      </c>
      <c r="AT21" s="8">
        <f>AN32+AN127+AN92</f>
        <v>28236.23333333333</v>
      </c>
      <c r="AU21" s="48">
        <f>AT21/$AQ$3</f>
        <v>1.13372781549619E-2</v>
      </c>
      <c r="AX21" s="2">
        <v>18400</v>
      </c>
      <c r="AY21" s="2">
        <v>17956</v>
      </c>
      <c r="AZ21" s="2">
        <v>18697</v>
      </c>
      <c r="BA21" s="2">
        <v>18860</v>
      </c>
      <c r="BB21" s="2">
        <v>16779</v>
      </c>
      <c r="BC21" s="2">
        <v>15659</v>
      </c>
      <c r="BD21" s="2">
        <v>17114</v>
      </c>
      <c r="BE21" s="2">
        <v>16577</v>
      </c>
      <c r="BF21" s="2">
        <v>18691</v>
      </c>
      <c r="BG21" s="2">
        <v>19235</v>
      </c>
      <c r="BH21" s="2">
        <v>19734</v>
      </c>
      <c r="BI21" s="2">
        <v>18514</v>
      </c>
      <c r="BJ21" s="2">
        <v>18499</v>
      </c>
    </row>
    <row r="22" spans="1:63" s="64" customFormat="1" x14ac:dyDescent="0.3">
      <c r="C22" s="64">
        <v>461</v>
      </c>
      <c r="D22" s="64" t="s">
        <v>772</v>
      </c>
      <c r="E22" s="161" t="s">
        <v>1651</v>
      </c>
      <c r="F22" s="161" t="s">
        <v>1</v>
      </c>
      <c r="H22" s="64">
        <v>2000000</v>
      </c>
      <c r="Q22" s="64">
        <v>128.4</v>
      </c>
      <c r="R22" s="64">
        <v>123.7</v>
      </c>
      <c r="S22" s="64">
        <v>124.7</v>
      </c>
      <c r="T22" s="64">
        <v>130</v>
      </c>
      <c r="U22" s="64">
        <v>124.4</v>
      </c>
      <c r="V22" s="64">
        <v>112.7</v>
      </c>
      <c r="W22" s="64">
        <v>154.4</v>
      </c>
      <c r="X22" s="64">
        <v>134.80000000000001</v>
      </c>
      <c r="Y22" s="64">
        <v>142.80000000000001</v>
      </c>
      <c r="Z22" s="64">
        <v>118.8</v>
      </c>
      <c r="AA22" s="64">
        <v>116.5</v>
      </c>
      <c r="AB22" s="64">
        <v>113.9</v>
      </c>
    </row>
    <row r="23" spans="1:63" ht="12.5" x14ac:dyDescent="0.25">
      <c r="A23" s="2">
        <v>6</v>
      </c>
      <c r="B23" s="2">
        <v>7</v>
      </c>
      <c r="C23" s="2">
        <v>4</v>
      </c>
      <c r="D23" s="2">
        <v>4</v>
      </c>
      <c r="E23" t="s">
        <v>25</v>
      </c>
      <c r="F23" t="s">
        <v>1</v>
      </c>
      <c r="G23" t="s">
        <v>1542</v>
      </c>
      <c r="H23" s="2">
        <v>2000000</v>
      </c>
      <c r="J23" s="2">
        <v>210.1</v>
      </c>
      <c r="K23" s="54">
        <v>121.4</v>
      </c>
      <c r="N23" s="1" t="s">
        <v>16</v>
      </c>
      <c r="P23" s="2">
        <v>6011</v>
      </c>
      <c r="Q23" s="2">
        <v>6456</v>
      </c>
      <c r="R23" s="2">
        <v>6679</v>
      </c>
      <c r="S23" s="2">
        <v>6647</v>
      </c>
      <c r="T23" s="2">
        <v>6326</v>
      </c>
      <c r="U23" s="2">
        <v>6483</v>
      </c>
      <c r="V23" s="2">
        <v>6172</v>
      </c>
      <c r="W23" s="2">
        <v>6276</v>
      </c>
      <c r="X23" s="2">
        <v>5654</v>
      </c>
      <c r="Y23" s="2">
        <v>6267</v>
      </c>
      <c r="Z23" s="2">
        <v>6095</v>
      </c>
      <c r="AA23" s="2">
        <v>5883</v>
      </c>
      <c r="AB23" s="2">
        <v>6036</v>
      </c>
      <c r="AC23" s="2">
        <v>5729</v>
      </c>
      <c r="AD23" s="2">
        <v>5856</v>
      </c>
      <c r="AE23" s="2">
        <v>5406</v>
      </c>
      <c r="AF23" s="2">
        <v>6331</v>
      </c>
      <c r="AG23" s="2">
        <v>5980</v>
      </c>
      <c r="AH23" s="2">
        <v>6093</v>
      </c>
      <c r="AI23" s="2">
        <v>6153</v>
      </c>
      <c r="AJ23" s="2">
        <v>6141</v>
      </c>
      <c r="AK23" s="2" t="s">
        <v>772</v>
      </c>
      <c r="AL23" s="2" t="s">
        <v>772</v>
      </c>
      <c r="AM23" s="19">
        <v>0.34583333333333338</v>
      </c>
      <c r="AN23" s="57">
        <f>(8+(18/60))*AJ23</f>
        <v>50970.3</v>
      </c>
      <c r="AO23">
        <v>2010</v>
      </c>
      <c r="AS23" t="s">
        <v>564</v>
      </c>
      <c r="AT23" s="8">
        <f>AN56</f>
        <v>24384.75</v>
      </c>
      <c r="AU23" s="48">
        <f>AT23/$AQ$3</f>
        <v>9.7908488793668393E-3</v>
      </c>
      <c r="AX23" s="2">
        <v>7544.2920000000004</v>
      </c>
      <c r="AY23" s="2">
        <v>7628.1379999999999</v>
      </c>
      <c r="AZ23" s="2">
        <v>7765.3239999999996</v>
      </c>
      <c r="BA23" s="2">
        <v>7434.6930000000002</v>
      </c>
      <c r="BB23" s="2">
        <v>6891.8789999999999</v>
      </c>
      <c r="BC23" s="2">
        <v>6634.1019999999999</v>
      </c>
      <c r="BD23" s="2">
        <v>7193.6540000000005</v>
      </c>
      <c r="BE23" s="2">
        <v>6917.21</v>
      </c>
      <c r="BF23" s="2">
        <v>7786.6570000000002</v>
      </c>
      <c r="BG23" s="2">
        <v>7673.55</v>
      </c>
      <c r="BH23" s="2">
        <v>7548.3580000000002</v>
      </c>
      <c r="BI23" s="2">
        <v>6782.576</v>
      </c>
      <c r="BJ23" s="2">
        <v>6995.3159999999998</v>
      </c>
    </row>
    <row r="24" spans="1:63" x14ac:dyDescent="0.3">
      <c r="A24" s="2">
        <v>5</v>
      </c>
      <c r="B24" s="2">
        <v>9</v>
      </c>
      <c r="C24" s="2">
        <v>5</v>
      </c>
      <c r="D24" s="2">
        <v>5</v>
      </c>
      <c r="E24" t="s">
        <v>1333</v>
      </c>
      <c r="F24" t="s">
        <v>6</v>
      </c>
      <c r="G24" t="s">
        <v>1542</v>
      </c>
      <c r="H24" s="2">
        <v>200000</v>
      </c>
      <c r="J24" s="2"/>
      <c r="K24" s="54"/>
      <c r="N24" s="1" t="s">
        <v>16</v>
      </c>
      <c r="P24" s="2">
        <v>3995</v>
      </c>
      <c r="Q24" s="2">
        <v>4272</v>
      </c>
      <c r="R24" s="2">
        <v>4413</v>
      </c>
      <c r="S24" s="2">
        <v>4461</v>
      </c>
      <c r="T24" s="2">
        <v>4374</v>
      </c>
      <c r="U24" s="2">
        <v>4387</v>
      </c>
      <c r="V24" s="2">
        <v>4338</v>
      </c>
      <c r="W24" s="2">
        <v>4576</v>
      </c>
      <c r="X24" s="2">
        <v>4207</v>
      </c>
      <c r="Y24" s="2">
        <v>4716</v>
      </c>
      <c r="Z24" s="2">
        <v>4577</v>
      </c>
      <c r="AA24" s="2">
        <v>4471</v>
      </c>
      <c r="AB24" s="2">
        <v>4575</v>
      </c>
      <c r="AC24" s="2">
        <v>4279</v>
      </c>
      <c r="AD24" s="2">
        <v>4802</v>
      </c>
      <c r="AE24" s="2"/>
      <c r="AF24" s="6" t="s">
        <v>772</v>
      </c>
      <c r="AG24" s="6" t="s">
        <v>772</v>
      </c>
      <c r="AH24" s="6" t="s">
        <v>772</v>
      </c>
      <c r="AI24" s="6" t="s">
        <v>772</v>
      </c>
      <c r="AJ24" s="6" t="s">
        <v>772</v>
      </c>
      <c r="AK24" s="6" t="s">
        <v>772</v>
      </c>
      <c r="AL24" s="6" t="s">
        <v>772</v>
      </c>
      <c r="AM24" s="19"/>
      <c r="AN24" s="57"/>
      <c r="AQ24" s="8"/>
      <c r="AR24" s="48"/>
      <c r="AT24" s="8"/>
      <c r="AU24" s="48"/>
      <c r="AX24" s="2">
        <v>1010</v>
      </c>
      <c r="AY24" s="2">
        <v>1171</v>
      </c>
      <c r="AZ24" s="2">
        <v>1135</v>
      </c>
      <c r="BA24" s="2">
        <v>1028</v>
      </c>
      <c r="BB24" s="2">
        <v>751</v>
      </c>
      <c r="BC24" s="2">
        <v>247</v>
      </c>
      <c r="BD24" s="2">
        <v>23.39</v>
      </c>
      <c r="BE24" s="2">
        <v>0.3</v>
      </c>
      <c r="BF24" s="2">
        <v>0.4</v>
      </c>
      <c r="BG24" s="2">
        <v>1.1000000000000001</v>
      </c>
      <c r="BH24" s="2">
        <v>0.4</v>
      </c>
      <c r="BI24" s="2">
        <v>0.4</v>
      </c>
      <c r="BJ24" s="2">
        <v>0.4</v>
      </c>
    </row>
    <row r="25" spans="1:63" s="65" customFormat="1" x14ac:dyDescent="0.3">
      <c r="A25" s="64">
        <v>161</v>
      </c>
      <c r="B25" s="64">
        <v>7</v>
      </c>
      <c r="C25" s="64">
        <v>115</v>
      </c>
      <c r="D25" s="64">
        <v>5</v>
      </c>
      <c r="E25" s="65" t="s">
        <v>24</v>
      </c>
      <c r="F25" s="65" t="s">
        <v>6</v>
      </c>
      <c r="G25" s="65" t="s">
        <v>1542</v>
      </c>
      <c r="H25" s="64">
        <v>200000</v>
      </c>
      <c r="I25" s="64"/>
      <c r="J25" s="64">
        <v>211</v>
      </c>
      <c r="K25" s="79">
        <v>113.1</v>
      </c>
      <c r="L25" s="64"/>
      <c r="M25" s="67" t="s">
        <v>12</v>
      </c>
      <c r="N25" s="67" t="s">
        <v>16</v>
      </c>
      <c r="O25" s="67"/>
      <c r="P25" s="64"/>
      <c r="Q25" s="64">
        <v>72.81</v>
      </c>
      <c r="R25" s="64">
        <v>82</v>
      </c>
      <c r="S25" s="64">
        <v>81.2</v>
      </c>
      <c r="T25" s="64">
        <v>83.73</v>
      </c>
      <c r="U25" s="64">
        <v>91.31</v>
      </c>
      <c r="V25" s="64">
        <v>88.2</v>
      </c>
      <c r="W25" s="64">
        <v>108.1</v>
      </c>
      <c r="X25" s="64">
        <v>247.5</v>
      </c>
      <c r="Y25" s="64">
        <v>318.89999999999998</v>
      </c>
      <c r="Z25" s="64">
        <v>438.9</v>
      </c>
      <c r="AA25" s="64">
        <v>586.5</v>
      </c>
      <c r="AB25" s="64">
        <v>655.7</v>
      </c>
      <c r="AC25" s="64">
        <v>706.1</v>
      </c>
      <c r="AD25" s="64">
        <v>873</v>
      </c>
      <c r="AE25" s="64">
        <v>952.5</v>
      </c>
      <c r="AF25" s="64">
        <v>5762</v>
      </c>
      <c r="AG25" s="64">
        <v>5494</v>
      </c>
      <c r="AH25" s="64">
        <v>5898</v>
      </c>
      <c r="AI25" s="64">
        <v>5927</v>
      </c>
      <c r="AJ25" s="64">
        <v>5997</v>
      </c>
      <c r="AK25" s="64" t="s">
        <v>772</v>
      </c>
      <c r="AL25" s="64" t="s">
        <v>772</v>
      </c>
      <c r="AM25" s="70">
        <v>0.45</v>
      </c>
      <c r="AN25" s="80">
        <f>(10+(48/60))*AJ25</f>
        <v>64767.600000000006</v>
      </c>
      <c r="AO25" s="65">
        <v>2006</v>
      </c>
      <c r="AQ25" s="68"/>
      <c r="AR25" s="81"/>
      <c r="AS25" s="65" t="s">
        <v>1234</v>
      </c>
      <c r="AT25" s="68">
        <f>AN31</f>
        <v>13669.250000000002</v>
      </c>
      <c r="AU25" s="81">
        <f>AT25/$AQ$3</f>
        <v>5.4884122676789873E-3</v>
      </c>
      <c r="AX25" s="64">
        <v>8501</v>
      </c>
      <c r="AY25" s="64">
        <v>9142</v>
      </c>
      <c r="AZ25" s="64">
        <v>8528</v>
      </c>
      <c r="BA25" s="64">
        <v>8441</v>
      </c>
      <c r="BB25" s="64">
        <v>8209</v>
      </c>
      <c r="BC25" s="64">
        <v>8315</v>
      </c>
      <c r="BD25" s="64">
        <v>9570</v>
      </c>
      <c r="BE25" s="64">
        <v>9981</v>
      </c>
      <c r="BF25" s="64">
        <v>10429</v>
      </c>
      <c r="BG25" s="64">
        <v>10822</v>
      </c>
      <c r="BH25" s="64">
        <v>9815</v>
      </c>
      <c r="BI25" s="64">
        <v>9439</v>
      </c>
      <c r="BJ25" s="64">
        <v>10206</v>
      </c>
      <c r="BK25" s="67"/>
    </row>
    <row r="26" spans="1:63" s="65" customFormat="1" x14ac:dyDescent="0.3">
      <c r="A26" s="64"/>
      <c r="B26" s="64"/>
      <c r="C26" s="64"/>
      <c r="D26" s="64"/>
      <c r="E26" s="65" t="s">
        <v>1592</v>
      </c>
      <c r="F26" s="65" t="s">
        <v>6</v>
      </c>
      <c r="G26" s="65" t="s">
        <v>1545</v>
      </c>
      <c r="H26" s="64">
        <v>200000</v>
      </c>
      <c r="I26" s="64"/>
      <c r="J26" s="79"/>
      <c r="K26" s="79"/>
      <c r="L26" s="64"/>
      <c r="M26" s="67"/>
      <c r="N26" s="67" t="s">
        <v>11</v>
      </c>
      <c r="O26" s="67"/>
      <c r="P26" s="64"/>
      <c r="Q26" s="64">
        <v>176.7</v>
      </c>
      <c r="R26" s="64">
        <v>190.9</v>
      </c>
      <c r="S26" s="64">
        <v>201.5</v>
      </c>
      <c r="T26" s="64">
        <v>158.30000000000001</v>
      </c>
      <c r="U26" s="64">
        <v>178.6</v>
      </c>
      <c r="V26" s="64">
        <v>196.1</v>
      </c>
      <c r="W26" s="64">
        <v>202.6</v>
      </c>
      <c r="X26" s="64">
        <v>51.46</v>
      </c>
      <c r="Y26" s="64">
        <v>1.2050000000000001</v>
      </c>
      <c r="Z26" s="64">
        <v>4.4762999999999997E-2</v>
      </c>
      <c r="AA26" s="64">
        <v>3.1670000000000001E-3</v>
      </c>
      <c r="AB26" s="64">
        <v>0</v>
      </c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70"/>
      <c r="AN26" s="80"/>
      <c r="AQ26" s="68"/>
      <c r="AR26" s="81"/>
      <c r="AT26" s="68"/>
      <c r="AU26" s="81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7"/>
    </row>
    <row r="27" spans="1:63" s="3" customFormat="1" x14ac:dyDescent="0.3">
      <c r="A27" s="4">
        <v>10</v>
      </c>
      <c r="B27" s="4">
        <v>12</v>
      </c>
      <c r="C27" s="4">
        <v>6</v>
      </c>
      <c r="D27" s="4">
        <v>6</v>
      </c>
      <c r="E27" s="3" t="s">
        <v>1341</v>
      </c>
      <c r="F27" s="3" t="s">
        <v>1474</v>
      </c>
      <c r="G27" s="3" t="s">
        <v>1540</v>
      </c>
      <c r="H27" s="4">
        <v>500000</v>
      </c>
      <c r="I27" s="4"/>
      <c r="J27" s="55"/>
      <c r="K27" s="55"/>
      <c r="L27" s="4"/>
      <c r="M27" s="9"/>
      <c r="N27" s="1" t="s">
        <v>11</v>
      </c>
      <c r="O27" s="9"/>
      <c r="P27" s="4">
        <v>5460</v>
      </c>
      <c r="Q27" s="4">
        <v>5904</v>
      </c>
      <c r="R27" s="4">
        <v>5846</v>
      </c>
      <c r="S27" s="4">
        <v>5720</v>
      </c>
      <c r="T27" s="4">
        <v>5395</v>
      </c>
      <c r="U27" s="4">
        <v>5492</v>
      </c>
      <c r="V27" s="4">
        <v>5141</v>
      </c>
      <c r="W27" s="4">
        <v>4548</v>
      </c>
      <c r="X27" s="4">
        <v>3905</v>
      </c>
      <c r="Y27" s="4">
        <v>3849</v>
      </c>
      <c r="Z27" s="4">
        <v>3690</v>
      </c>
      <c r="AA27" s="4">
        <v>3791</v>
      </c>
      <c r="AB27" s="4">
        <v>3660</v>
      </c>
      <c r="AC27" s="4">
        <v>3124</v>
      </c>
      <c r="AD27" s="4">
        <v>2631</v>
      </c>
      <c r="AE27" s="4">
        <v>2179</v>
      </c>
      <c r="AF27" s="4" t="s">
        <v>772</v>
      </c>
      <c r="AG27" s="4" t="s">
        <v>772</v>
      </c>
      <c r="AH27" s="4" t="s">
        <v>772</v>
      </c>
      <c r="AI27" s="4" t="s">
        <v>772</v>
      </c>
      <c r="AJ27" s="4" t="s">
        <v>772</v>
      </c>
      <c r="AK27" s="4" t="s">
        <v>772</v>
      </c>
      <c r="AL27" s="4" t="s">
        <v>772</v>
      </c>
      <c r="AM27" s="22">
        <v>0.25277777777777777</v>
      </c>
      <c r="AN27" s="60">
        <f>(6+(4/60))*AE27</f>
        <v>13219.266666666666</v>
      </c>
      <c r="AX27" s="4" t="s">
        <v>772</v>
      </c>
      <c r="AY27" s="4" t="s">
        <v>772</v>
      </c>
      <c r="AZ27" s="4" t="s">
        <v>772</v>
      </c>
      <c r="BA27" s="4" t="s">
        <v>772</v>
      </c>
      <c r="BB27" s="4" t="s">
        <v>772</v>
      </c>
      <c r="BC27" s="4" t="s">
        <v>772</v>
      </c>
      <c r="BD27" s="4" t="s">
        <v>772</v>
      </c>
      <c r="BE27" s="4" t="s">
        <v>772</v>
      </c>
      <c r="BF27" s="4" t="s">
        <v>772</v>
      </c>
      <c r="BG27" s="4" t="s">
        <v>772</v>
      </c>
      <c r="BH27" s="4" t="s">
        <v>772</v>
      </c>
      <c r="BI27" s="4" t="s">
        <v>772</v>
      </c>
      <c r="BJ27" s="4" t="s">
        <v>772</v>
      </c>
      <c r="BK27" s="9"/>
    </row>
    <row r="28" spans="1:63" s="65" customFormat="1" x14ac:dyDescent="0.3">
      <c r="A28" s="65">
        <v>155</v>
      </c>
      <c r="B28" s="65">
        <v>128</v>
      </c>
      <c r="C28" s="65">
        <v>107</v>
      </c>
      <c r="D28" s="65">
        <v>70</v>
      </c>
      <c r="E28" s="65" t="s">
        <v>65</v>
      </c>
      <c r="F28" s="65" t="s">
        <v>6</v>
      </c>
      <c r="G28" s="65" t="s">
        <v>1540</v>
      </c>
      <c r="H28" s="68">
        <v>500000</v>
      </c>
      <c r="J28" s="68">
        <v>59.85</v>
      </c>
      <c r="K28" s="68">
        <v>35.47</v>
      </c>
      <c r="N28" s="67" t="s">
        <v>11</v>
      </c>
      <c r="P28" s="68">
        <v>389.6</v>
      </c>
      <c r="Q28" s="68">
        <v>415.8</v>
      </c>
      <c r="R28" s="68">
        <v>547.1</v>
      </c>
      <c r="S28" s="68">
        <v>620.1</v>
      </c>
      <c r="T28" s="68">
        <v>646.9</v>
      </c>
      <c r="U28" s="68">
        <v>642.5</v>
      </c>
      <c r="V28" s="68">
        <v>701.3</v>
      </c>
      <c r="W28" s="68">
        <v>559.29999999999995</v>
      </c>
      <c r="X28" s="68">
        <v>505</v>
      </c>
      <c r="Y28" s="68">
        <v>558.20000000000005</v>
      </c>
      <c r="Z28" s="68">
        <v>556.1</v>
      </c>
      <c r="AA28" s="68">
        <v>546.5</v>
      </c>
      <c r="AB28" s="68">
        <v>525.9</v>
      </c>
      <c r="AE28" s="68">
        <v>384.6</v>
      </c>
      <c r="AF28" s="68">
        <v>1338</v>
      </c>
      <c r="AG28" s="68">
        <v>1516</v>
      </c>
      <c r="AH28" s="68">
        <v>1303</v>
      </c>
      <c r="AI28" s="68">
        <v>1406</v>
      </c>
      <c r="AJ28" s="68">
        <v>1448</v>
      </c>
      <c r="AK28" s="65" t="s">
        <v>772</v>
      </c>
      <c r="AL28" s="65" t="s">
        <v>772</v>
      </c>
      <c r="AM28" s="65">
        <v>0.17916666666666667</v>
      </c>
      <c r="AN28" s="65">
        <f>(4+(18/60))*AH28</f>
        <v>5602.9</v>
      </c>
      <c r="AO28" s="65">
        <v>2015</v>
      </c>
      <c r="AX28" s="65">
        <v>2349</v>
      </c>
      <c r="AY28" s="65">
        <v>2149</v>
      </c>
      <c r="AZ28" s="65">
        <v>2361</v>
      </c>
      <c r="BA28" s="65">
        <v>2514</v>
      </c>
      <c r="BB28" s="65">
        <v>1998</v>
      </c>
      <c r="BC28" s="65">
        <v>1954</v>
      </c>
      <c r="BD28" s="65">
        <v>2172</v>
      </c>
      <c r="BE28" s="65">
        <v>2666</v>
      </c>
      <c r="BF28" s="65">
        <v>3198</v>
      </c>
      <c r="BG28" s="65">
        <v>3005</v>
      </c>
      <c r="BH28" s="65">
        <v>2610</v>
      </c>
      <c r="BI28" s="65">
        <v>1786</v>
      </c>
      <c r="BJ28" s="65">
        <v>1080</v>
      </c>
    </row>
    <row r="29" spans="1:63" s="65" customFormat="1" x14ac:dyDescent="0.3">
      <c r="E29" s="65" t="s">
        <v>1675</v>
      </c>
      <c r="H29" s="68">
        <v>500000</v>
      </c>
      <c r="J29" s="68"/>
      <c r="K29" s="68"/>
      <c r="N29" s="67" t="s">
        <v>11</v>
      </c>
      <c r="Q29" s="68">
        <v>81.19</v>
      </c>
      <c r="R29" s="68">
        <v>114.2</v>
      </c>
      <c r="S29" s="68">
        <v>145.30000000000001</v>
      </c>
      <c r="T29" s="68">
        <v>145.1</v>
      </c>
      <c r="U29" s="68">
        <v>142.4</v>
      </c>
      <c r="V29" s="68">
        <v>142.9</v>
      </c>
      <c r="W29" s="68">
        <v>134.69999999999999</v>
      </c>
      <c r="X29" s="68">
        <v>119.4</v>
      </c>
      <c r="Y29" s="68">
        <v>130.4</v>
      </c>
      <c r="Z29" s="68">
        <v>140.80000000000001</v>
      </c>
      <c r="AA29" s="68">
        <v>132.5</v>
      </c>
      <c r="AB29" s="68">
        <v>133.4</v>
      </c>
    </row>
    <row r="30" spans="1:63" ht="12.5" x14ac:dyDescent="0.25">
      <c r="A30" s="2">
        <v>12</v>
      </c>
      <c r="B30" s="2">
        <v>11</v>
      </c>
      <c r="C30" s="2">
        <v>7</v>
      </c>
      <c r="D30" s="2">
        <v>8</v>
      </c>
      <c r="E30" t="s">
        <v>46</v>
      </c>
      <c r="F30" t="s">
        <v>6</v>
      </c>
      <c r="G30" t="s">
        <v>1542</v>
      </c>
      <c r="H30" s="2">
        <v>180000</v>
      </c>
      <c r="J30" s="2">
        <v>67.81</v>
      </c>
      <c r="K30" s="2">
        <v>52.79</v>
      </c>
      <c r="N30" s="1" t="s">
        <v>16</v>
      </c>
      <c r="P30" s="2">
        <v>2661</v>
      </c>
      <c r="Q30" s="2">
        <v>2860</v>
      </c>
      <c r="R30" s="2">
        <v>2903</v>
      </c>
      <c r="S30" s="2">
        <v>2820</v>
      </c>
      <c r="T30" s="2">
        <v>2660</v>
      </c>
      <c r="U30" s="2">
        <v>2640</v>
      </c>
      <c r="V30" s="2">
        <v>2478</v>
      </c>
      <c r="W30" s="2">
        <v>2453</v>
      </c>
      <c r="X30" s="2">
        <v>2173</v>
      </c>
      <c r="Y30" s="2">
        <v>2456</v>
      </c>
      <c r="Z30" s="2">
        <v>2394</v>
      </c>
      <c r="AA30" s="2">
        <v>2254</v>
      </c>
      <c r="AB30" s="2">
        <v>2235</v>
      </c>
      <c r="AC30" s="2">
        <v>2120</v>
      </c>
      <c r="AD30" s="2">
        <v>2268</v>
      </c>
      <c r="AE30" s="2">
        <v>2111</v>
      </c>
      <c r="AF30" s="2">
        <v>2145</v>
      </c>
      <c r="AG30" s="2">
        <v>2021</v>
      </c>
      <c r="AH30" s="2">
        <v>2070</v>
      </c>
      <c r="AI30" s="2" t="s">
        <v>772</v>
      </c>
      <c r="AJ30" s="2">
        <v>2042</v>
      </c>
      <c r="AK30" s="2" t="s">
        <v>772</v>
      </c>
      <c r="AL30" s="2" t="s">
        <v>772</v>
      </c>
      <c r="AM30" s="19">
        <v>0.15625</v>
      </c>
      <c r="AN30" s="8">
        <f>(3+(45/60))*AJ30</f>
        <v>7657.5</v>
      </c>
      <c r="AO30">
        <v>2016</v>
      </c>
      <c r="AX30" s="26">
        <v>3730</v>
      </c>
      <c r="AY30" s="26">
        <v>3627</v>
      </c>
      <c r="AZ30" s="26">
        <v>3790</v>
      </c>
      <c r="BA30" s="26">
        <v>3778</v>
      </c>
      <c r="BB30" s="26">
        <v>3514</v>
      </c>
      <c r="BC30" s="26">
        <v>3173</v>
      </c>
      <c r="BD30" s="26">
        <v>3533</v>
      </c>
      <c r="BE30" s="26">
        <v>3450</v>
      </c>
      <c r="BF30" s="26">
        <v>3616</v>
      </c>
      <c r="BG30" s="26">
        <v>3881</v>
      </c>
      <c r="BH30" s="26">
        <v>2573</v>
      </c>
      <c r="BI30" s="26">
        <v>2998</v>
      </c>
      <c r="BJ30" s="26">
        <v>2909</v>
      </c>
    </row>
    <row r="31" spans="1:63" ht="12.5" x14ac:dyDescent="0.25">
      <c r="A31" s="2">
        <v>5</v>
      </c>
      <c r="B31" s="2">
        <v>5</v>
      </c>
      <c r="C31" s="2">
        <v>8</v>
      </c>
      <c r="D31" s="2">
        <v>7</v>
      </c>
      <c r="E31" t="s">
        <v>27</v>
      </c>
      <c r="F31" t="s">
        <v>1521</v>
      </c>
      <c r="G31" t="s">
        <v>1542</v>
      </c>
      <c r="H31" s="2">
        <v>15000</v>
      </c>
      <c r="J31" s="2">
        <v>55.53</v>
      </c>
      <c r="K31" s="2">
        <v>29.72</v>
      </c>
      <c r="N31" s="1" t="s">
        <v>16</v>
      </c>
      <c r="P31" s="2">
        <v>3588</v>
      </c>
      <c r="Q31" s="2">
        <v>3832</v>
      </c>
      <c r="R31" s="2">
        <v>4051</v>
      </c>
      <c r="S31" s="2">
        <v>3985</v>
      </c>
      <c r="T31" s="2">
        <v>3803</v>
      </c>
      <c r="U31" s="2">
        <v>3793</v>
      </c>
      <c r="V31" s="2">
        <v>3650</v>
      </c>
      <c r="W31" s="2">
        <v>3793</v>
      </c>
      <c r="X31" s="2">
        <v>3409</v>
      </c>
      <c r="Y31" s="2">
        <v>3838</v>
      </c>
      <c r="Z31" s="2">
        <v>3807</v>
      </c>
      <c r="AA31" s="2">
        <v>3533</v>
      </c>
      <c r="AB31" s="2">
        <v>3549</v>
      </c>
      <c r="AC31" s="2">
        <v>3428</v>
      </c>
      <c r="AD31" s="2">
        <v>3584</v>
      </c>
      <c r="AE31" s="2">
        <v>3223</v>
      </c>
      <c r="AF31" s="2">
        <v>1963</v>
      </c>
      <c r="AG31" s="2">
        <v>1699</v>
      </c>
      <c r="AH31" s="2">
        <v>1686</v>
      </c>
      <c r="AI31" s="2">
        <v>1636</v>
      </c>
      <c r="AJ31" s="2">
        <v>1605</v>
      </c>
      <c r="AK31" s="2" t="s">
        <v>772</v>
      </c>
      <c r="AL31" s="2" t="s">
        <v>772</v>
      </c>
      <c r="AM31" s="19">
        <v>0.35486111111111113</v>
      </c>
      <c r="AN31" s="57">
        <f>(8+(31/60))*AJ31</f>
        <v>13669.250000000002</v>
      </c>
      <c r="AO31">
        <v>2005</v>
      </c>
      <c r="AX31" s="26">
        <v>7049.4679999999998</v>
      </c>
      <c r="AY31" s="26">
        <v>7231</v>
      </c>
      <c r="AZ31" s="26">
        <v>7091</v>
      </c>
      <c r="BA31" s="26">
        <v>7236</v>
      </c>
      <c r="BB31" s="26">
        <v>6833</v>
      </c>
      <c r="BC31" s="26">
        <v>6218</v>
      </c>
      <c r="BD31" s="26">
        <v>6443</v>
      </c>
      <c r="BE31" s="26">
        <v>5976</v>
      </c>
      <c r="BF31" s="26">
        <v>6607</v>
      </c>
      <c r="BG31" s="26">
        <v>7058</v>
      </c>
      <c r="BH31" s="26">
        <v>6876</v>
      </c>
      <c r="BI31" s="26">
        <v>6420</v>
      </c>
      <c r="BJ31" s="26">
        <v>7010</v>
      </c>
    </row>
    <row r="32" spans="1:63" ht="12.5" x14ac:dyDescent="0.25">
      <c r="A32" s="2">
        <v>3</v>
      </c>
      <c r="B32" s="2">
        <v>4</v>
      </c>
      <c r="C32" s="2">
        <v>9</v>
      </c>
      <c r="D32" s="2">
        <v>7</v>
      </c>
      <c r="E32" t="s">
        <v>22</v>
      </c>
      <c r="F32" t="s">
        <v>2</v>
      </c>
      <c r="G32" t="s">
        <v>1279</v>
      </c>
      <c r="H32" s="2">
        <v>1000000</v>
      </c>
      <c r="J32" s="2">
        <v>74.86</v>
      </c>
      <c r="K32" s="2">
        <v>50.16</v>
      </c>
      <c r="N32" s="1" t="s">
        <v>16</v>
      </c>
      <c r="P32" s="2">
        <v>2372</v>
      </c>
      <c r="Q32" s="2">
        <v>2543</v>
      </c>
      <c r="R32" s="2">
        <v>2692</v>
      </c>
      <c r="S32" s="2">
        <v>2840</v>
      </c>
      <c r="T32" s="2">
        <v>2585</v>
      </c>
      <c r="U32" s="2">
        <v>2571</v>
      </c>
      <c r="V32" s="2">
        <v>2451</v>
      </c>
      <c r="W32" s="2">
        <v>2567</v>
      </c>
      <c r="X32" s="2">
        <v>2337</v>
      </c>
      <c r="Y32" s="2">
        <v>2733</v>
      </c>
      <c r="Z32" s="2">
        <v>3105</v>
      </c>
      <c r="AA32" s="2">
        <v>2818</v>
      </c>
      <c r="AB32" s="2">
        <v>2706</v>
      </c>
      <c r="AC32" s="2">
        <v>2553</v>
      </c>
      <c r="AD32" s="2">
        <v>2702</v>
      </c>
      <c r="AE32" s="2">
        <v>2646</v>
      </c>
      <c r="AF32" s="2">
        <v>2381</v>
      </c>
      <c r="AG32" s="2">
        <v>2195</v>
      </c>
      <c r="AH32" s="2">
        <v>2223</v>
      </c>
      <c r="AI32" s="2">
        <v>2340</v>
      </c>
      <c r="AJ32" s="2">
        <v>2318</v>
      </c>
      <c r="AK32" s="2" t="s">
        <v>772</v>
      </c>
      <c r="AL32" s="2" t="s">
        <v>772</v>
      </c>
      <c r="AM32" s="19">
        <v>0.3125</v>
      </c>
      <c r="AN32" s="57">
        <f>(7+(35/60))*AJ32</f>
        <v>17578.166666666664</v>
      </c>
      <c r="AO32">
        <v>1994</v>
      </c>
      <c r="AS32" t="s">
        <v>1235</v>
      </c>
      <c r="AT32" s="8">
        <f>AN104</f>
        <v>7260.6333333333332</v>
      </c>
      <c r="AU32" s="48">
        <f>AT32/$AQ$3</f>
        <v>2.9152549743245342E-3</v>
      </c>
      <c r="AX32" s="2">
        <v>4429.8999999999996</v>
      </c>
      <c r="AY32" s="2">
        <v>4765.8</v>
      </c>
      <c r="AZ32" s="2">
        <v>4679.8</v>
      </c>
      <c r="BA32" s="2">
        <v>4168.1000000000004</v>
      </c>
      <c r="BB32" s="2">
        <v>3842.9</v>
      </c>
      <c r="BC32" s="2">
        <v>3801.4</v>
      </c>
      <c r="BD32" s="2">
        <v>4234.6000000000004</v>
      </c>
      <c r="BE32" s="2">
        <v>3911.1</v>
      </c>
      <c r="BF32" s="2">
        <v>4317.8999999999996</v>
      </c>
      <c r="BG32" s="2">
        <v>4338.8</v>
      </c>
      <c r="BH32" s="2">
        <v>4590.2</v>
      </c>
      <c r="BI32" s="2">
        <v>4032.7</v>
      </c>
      <c r="BJ32" s="2">
        <v>4393.6000000000004</v>
      </c>
    </row>
    <row r="33" spans="1:63" s="65" customFormat="1" x14ac:dyDescent="0.3">
      <c r="A33" s="67" t="s">
        <v>772</v>
      </c>
      <c r="B33" s="67" t="s">
        <v>772</v>
      </c>
      <c r="C33" s="65">
        <v>73</v>
      </c>
      <c r="D33" s="67" t="s">
        <v>772</v>
      </c>
      <c r="E33" s="65" t="s">
        <v>1550</v>
      </c>
      <c r="F33" s="78" t="s">
        <v>2</v>
      </c>
      <c r="G33" s="78" t="s">
        <v>1279</v>
      </c>
      <c r="H33" s="68">
        <v>1000000</v>
      </c>
      <c r="J33" s="68"/>
      <c r="K33" s="68"/>
      <c r="N33" s="67"/>
      <c r="P33" s="68"/>
      <c r="Q33" s="68">
        <v>368</v>
      </c>
      <c r="R33" s="68">
        <v>373.1</v>
      </c>
      <c r="S33" s="68">
        <v>383.5</v>
      </c>
      <c r="T33" s="68">
        <v>352.6</v>
      </c>
      <c r="U33" s="68">
        <v>350.6</v>
      </c>
      <c r="V33" s="68">
        <v>341.6</v>
      </c>
      <c r="W33" s="68">
        <v>362.4</v>
      </c>
      <c r="X33" s="68">
        <v>332.2</v>
      </c>
      <c r="Y33" s="68">
        <v>386.8</v>
      </c>
      <c r="Z33" s="68">
        <v>448.4</v>
      </c>
      <c r="AA33" s="68">
        <v>407.6</v>
      </c>
      <c r="AB33" s="68">
        <v>393.6</v>
      </c>
      <c r="AE33" s="68"/>
      <c r="AF33" s="68"/>
      <c r="AG33" s="68"/>
      <c r="AH33" s="68"/>
      <c r="AI33" s="68"/>
      <c r="AJ33" s="68"/>
    </row>
    <row r="34" spans="1:63" s="65" customFormat="1" x14ac:dyDescent="0.3">
      <c r="A34" s="67" t="s">
        <v>772</v>
      </c>
      <c r="B34" s="67" t="s">
        <v>772</v>
      </c>
      <c r="C34" s="65">
        <v>126</v>
      </c>
      <c r="D34" s="67" t="s">
        <v>772</v>
      </c>
      <c r="E34" s="65" t="s">
        <v>1583</v>
      </c>
      <c r="F34" s="65" t="s">
        <v>2</v>
      </c>
      <c r="G34" s="65" t="s">
        <v>1279</v>
      </c>
      <c r="H34" s="68">
        <v>1000000</v>
      </c>
      <c r="Q34" s="68">
        <v>188.6</v>
      </c>
      <c r="R34" s="68">
        <v>207.5</v>
      </c>
      <c r="S34" s="68">
        <v>210.3</v>
      </c>
      <c r="T34" s="68">
        <v>185.2</v>
      </c>
      <c r="U34" s="68">
        <v>189.4</v>
      </c>
      <c r="V34" s="68">
        <v>179.3</v>
      </c>
      <c r="W34" s="68">
        <v>185.2</v>
      </c>
      <c r="X34" s="68">
        <v>166.7</v>
      </c>
      <c r="Y34" s="68">
        <v>192.9</v>
      </c>
      <c r="Z34" s="68">
        <v>224.4</v>
      </c>
      <c r="AA34" s="68">
        <v>220.8</v>
      </c>
      <c r="AB34" s="68">
        <v>195</v>
      </c>
    </row>
    <row r="35" spans="1:63" s="65" customFormat="1" x14ac:dyDescent="0.3">
      <c r="A35" s="67" t="s">
        <v>772</v>
      </c>
      <c r="B35" s="67" t="s">
        <v>772</v>
      </c>
      <c r="C35" s="65">
        <v>152</v>
      </c>
      <c r="D35" s="67" t="s">
        <v>772</v>
      </c>
      <c r="E35" s="65" t="s">
        <v>1604</v>
      </c>
      <c r="F35" s="65" t="s">
        <v>2</v>
      </c>
      <c r="G35" s="65" t="s">
        <v>1279</v>
      </c>
      <c r="H35" s="68">
        <v>1000000</v>
      </c>
      <c r="Q35" s="68">
        <v>187.1</v>
      </c>
      <c r="R35" s="68">
        <v>165.3</v>
      </c>
      <c r="S35" s="68">
        <v>194.8</v>
      </c>
      <c r="T35" s="68">
        <v>163.6</v>
      </c>
      <c r="U35" s="68">
        <v>178.6</v>
      </c>
      <c r="V35" s="68">
        <v>168.6</v>
      </c>
      <c r="W35" s="68">
        <v>184.1</v>
      </c>
      <c r="X35" s="68">
        <v>163.19999999999999</v>
      </c>
      <c r="Y35" s="68">
        <v>187.6</v>
      </c>
      <c r="Z35" s="68">
        <v>196.3</v>
      </c>
      <c r="AA35" s="68">
        <v>214</v>
      </c>
      <c r="AB35" s="68">
        <v>191.3</v>
      </c>
    </row>
    <row r="36" spans="1:63" s="65" customFormat="1" x14ac:dyDescent="0.3">
      <c r="A36" s="67" t="s">
        <v>772</v>
      </c>
      <c r="B36" s="67" t="s">
        <v>772</v>
      </c>
      <c r="C36" s="65">
        <v>306</v>
      </c>
      <c r="D36" s="67" t="s">
        <v>772</v>
      </c>
      <c r="E36" s="65" t="s">
        <v>1720</v>
      </c>
      <c r="F36" s="65" t="s">
        <v>2</v>
      </c>
      <c r="G36" s="65" t="s">
        <v>1279</v>
      </c>
      <c r="H36" s="68">
        <v>1000000</v>
      </c>
      <c r="Q36" s="68">
        <v>93.92</v>
      </c>
      <c r="R36" s="68">
        <v>97.63</v>
      </c>
      <c r="S36" s="68">
        <v>111.7</v>
      </c>
      <c r="T36" s="68">
        <v>94.82</v>
      </c>
      <c r="U36" s="68">
        <v>96.69</v>
      </c>
      <c r="V36" s="68">
        <v>86.04</v>
      </c>
      <c r="W36" s="68">
        <v>86.8</v>
      </c>
      <c r="X36" s="68">
        <v>79.040000000000006</v>
      </c>
      <c r="Y36" s="68">
        <v>94.76</v>
      </c>
      <c r="Z36" s="68">
        <v>107.6</v>
      </c>
      <c r="AA36" s="68">
        <v>106.6</v>
      </c>
      <c r="AB36" s="68">
        <v>89.82</v>
      </c>
    </row>
    <row r="37" spans="1:63" s="65" customFormat="1" x14ac:dyDescent="0.3">
      <c r="A37" s="67" t="s">
        <v>772</v>
      </c>
      <c r="B37" s="67" t="s">
        <v>772</v>
      </c>
      <c r="C37" s="67">
        <v>202</v>
      </c>
      <c r="D37" s="67" t="s">
        <v>772</v>
      </c>
      <c r="E37" s="65" t="s">
        <v>1658</v>
      </c>
      <c r="F37" s="65" t="s">
        <v>2</v>
      </c>
      <c r="G37" s="65" t="s">
        <v>1279</v>
      </c>
      <c r="H37" s="68">
        <v>1000000</v>
      </c>
      <c r="Q37" s="68">
        <v>119.7</v>
      </c>
      <c r="R37" s="68">
        <v>127</v>
      </c>
      <c r="S37" s="68">
        <v>130</v>
      </c>
      <c r="T37" s="68">
        <v>112.4</v>
      </c>
      <c r="U37" s="68">
        <v>110.4</v>
      </c>
      <c r="V37" s="68">
        <v>107.7</v>
      </c>
      <c r="W37" s="68">
        <v>112.8</v>
      </c>
      <c r="X37" s="68">
        <v>101.1</v>
      </c>
      <c r="Y37" s="68">
        <v>121.7</v>
      </c>
      <c r="Z37" s="68">
        <v>136.6</v>
      </c>
      <c r="AA37" s="68">
        <v>129.1</v>
      </c>
      <c r="AB37" s="68">
        <v>117.2</v>
      </c>
    </row>
    <row r="38" spans="1:63" s="65" customFormat="1" x14ac:dyDescent="0.3">
      <c r="A38" s="67">
        <v>477</v>
      </c>
      <c r="B38" s="67" t="s">
        <v>772</v>
      </c>
      <c r="C38" s="67">
        <v>339</v>
      </c>
      <c r="D38" s="67" t="s">
        <v>772</v>
      </c>
      <c r="E38" s="65" t="s">
        <v>1689</v>
      </c>
      <c r="F38" s="65" t="s">
        <v>2</v>
      </c>
      <c r="G38" s="65" t="s">
        <v>1279</v>
      </c>
      <c r="H38" s="68">
        <v>1000000</v>
      </c>
      <c r="Q38" s="68">
        <v>110.9</v>
      </c>
      <c r="R38" s="68">
        <v>107.9</v>
      </c>
      <c r="S38" s="68">
        <v>106.7</v>
      </c>
      <c r="T38" s="68">
        <v>101.3</v>
      </c>
      <c r="U38" s="68">
        <v>102.8</v>
      </c>
      <c r="V38" s="68">
        <v>94</v>
      </c>
      <c r="W38" s="68">
        <v>93.68</v>
      </c>
      <c r="X38" s="68">
        <v>86.22</v>
      </c>
      <c r="Y38" s="68">
        <v>101.7</v>
      </c>
      <c r="Z38" s="68">
        <v>88.97</v>
      </c>
      <c r="AA38" s="68">
        <v>92.04</v>
      </c>
      <c r="AB38" s="68">
        <v>96.28</v>
      </c>
    </row>
    <row r="39" spans="1:63" s="65" customFormat="1" x14ac:dyDescent="0.3">
      <c r="A39" s="67" t="s">
        <v>772</v>
      </c>
      <c r="B39" s="67" t="s">
        <v>772</v>
      </c>
      <c r="C39" s="67">
        <v>119</v>
      </c>
      <c r="D39" s="67" t="s">
        <v>772</v>
      </c>
      <c r="E39" s="65" t="s">
        <v>1584</v>
      </c>
      <c r="F39" s="65" t="s">
        <v>2</v>
      </c>
      <c r="G39" s="65" t="s">
        <v>1279</v>
      </c>
      <c r="H39" s="68">
        <v>1000000</v>
      </c>
      <c r="Q39" s="68">
        <v>184</v>
      </c>
      <c r="R39" s="68">
        <v>195.1</v>
      </c>
      <c r="S39" s="68">
        <v>212.1</v>
      </c>
      <c r="T39" s="68">
        <v>186.1</v>
      </c>
      <c r="U39" s="68">
        <v>189.6</v>
      </c>
      <c r="V39" s="68">
        <v>174.7</v>
      </c>
      <c r="W39" s="68">
        <v>178.1</v>
      </c>
      <c r="X39" s="68">
        <v>162.80000000000001</v>
      </c>
      <c r="Y39" s="68">
        <v>204.9</v>
      </c>
      <c r="Z39" s="68">
        <v>243.6</v>
      </c>
      <c r="AA39" s="68">
        <v>226.7</v>
      </c>
      <c r="AB39" s="68">
        <v>208.1</v>
      </c>
    </row>
    <row r="40" spans="1:63" ht="12.5" x14ac:dyDescent="0.25">
      <c r="A40" s="2">
        <v>9</v>
      </c>
      <c r="B40" s="2">
        <v>19</v>
      </c>
      <c r="C40" s="2">
        <v>10</v>
      </c>
      <c r="D40" s="2">
        <v>27</v>
      </c>
      <c r="E40" t="s">
        <v>41</v>
      </c>
      <c r="F40" t="s">
        <v>7</v>
      </c>
      <c r="G40" t="s">
        <v>1543</v>
      </c>
      <c r="H40" s="2">
        <v>2000000</v>
      </c>
      <c r="J40" s="15">
        <v>41.27</v>
      </c>
      <c r="K40" s="15">
        <v>22.19</v>
      </c>
      <c r="N40" s="1" t="s">
        <v>16</v>
      </c>
      <c r="P40" s="2">
        <v>3260</v>
      </c>
      <c r="Q40" s="2">
        <v>3491</v>
      </c>
      <c r="R40" s="2">
        <v>3694</v>
      </c>
      <c r="S40" s="2">
        <v>3761</v>
      </c>
      <c r="T40" s="2">
        <v>3560</v>
      </c>
      <c r="U40" s="2">
        <v>3539</v>
      </c>
      <c r="V40" s="2">
        <v>3437</v>
      </c>
      <c r="W40" s="2">
        <v>3467</v>
      </c>
      <c r="X40" s="2">
        <v>3196</v>
      </c>
      <c r="Y40" s="2">
        <v>3884</v>
      </c>
      <c r="Z40" s="2">
        <v>3753</v>
      </c>
      <c r="AA40" s="2">
        <v>3561</v>
      </c>
      <c r="AB40" s="2">
        <v>3684</v>
      </c>
      <c r="AC40" s="2">
        <v>1755</v>
      </c>
      <c r="AD40" s="2">
        <v>1781</v>
      </c>
      <c r="AE40" s="2">
        <v>1549</v>
      </c>
      <c r="AF40" s="2">
        <v>1190</v>
      </c>
      <c r="AG40" s="2">
        <v>1143</v>
      </c>
      <c r="AH40" s="2">
        <v>1094</v>
      </c>
      <c r="AI40" s="2" t="s">
        <v>772</v>
      </c>
      <c r="AJ40" s="2">
        <v>1095</v>
      </c>
      <c r="AK40" s="2" t="s">
        <v>772</v>
      </c>
      <c r="AL40" s="2" t="s">
        <v>772</v>
      </c>
      <c r="AM40" s="19">
        <v>0.27777777777777779</v>
      </c>
      <c r="AN40" s="57">
        <f>(6+(40/60))*AJ40</f>
        <v>7300</v>
      </c>
      <c r="AO40">
        <v>2009</v>
      </c>
      <c r="AX40" s="8">
        <v>3821.2559190000002</v>
      </c>
      <c r="AY40" s="8">
        <v>3287.9840909999998</v>
      </c>
      <c r="AZ40" s="8">
        <v>3759.4352279999998</v>
      </c>
      <c r="BA40" s="8">
        <v>4124.85538</v>
      </c>
      <c r="BB40" s="8">
        <v>4007.1293179999998</v>
      </c>
      <c r="BC40" s="8">
        <v>3468.1581339999998</v>
      </c>
      <c r="BD40" s="8">
        <v>2123.9030560000001</v>
      </c>
      <c r="BE40" s="8">
        <v>2004.940092</v>
      </c>
      <c r="BF40" s="8">
        <v>3141.7748000000001</v>
      </c>
      <c r="BG40" s="8">
        <v>3222.2638929999998</v>
      </c>
      <c r="BH40" s="8">
        <v>3076.963389</v>
      </c>
      <c r="BI40" s="8">
        <v>2867.9487669999999</v>
      </c>
      <c r="BJ40" s="8">
        <v>2842.979225</v>
      </c>
    </row>
    <row r="41" spans="1:63" ht="12.5" x14ac:dyDescent="0.25">
      <c r="A41" s="2">
        <v>587</v>
      </c>
      <c r="B41" s="2">
        <v>1195</v>
      </c>
      <c r="C41" s="2">
        <v>11</v>
      </c>
      <c r="D41" s="2">
        <v>10</v>
      </c>
      <c r="E41" t="s">
        <v>771</v>
      </c>
      <c r="F41" t="s">
        <v>1204</v>
      </c>
      <c r="G41" t="s">
        <v>1540</v>
      </c>
      <c r="H41" s="2">
        <v>20000</v>
      </c>
      <c r="J41" s="54">
        <v>107.6</v>
      </c>
      <c r="K41" s="54">
        <v>53.1</v>
      </c>
      <c r="P41" s="2">
        <v>2599</v>
      </c>
      <c r="Q41" s="2">
        <v>2799</v>
      </c>
      <c r="R41" s="2">
        <v>2894</v>
      </c>
      <c r="S41" s="2">
        <v>2924</v>
      </c>
      <c r="T41" s="2">
        <v>2805</v>
      </c>
      <c r="U41" s="2">
        <v>2876</v>
      </c>
      <c r="V41" s="2">
        <v>2794</v>
      </c>
      <c r="W41" s="2">
        <v>2866</v>
      </c>
      <c r="X41" s="2">
        <v>2622</v>
      </c>
      <c r="Y41" s="2">
        <v>2902</v>
      </c>
      <c r="Z41" s="2">
        <v>2898</v>
      </c>
      <c r="AA41" s="2">
        <v>2796</v>
      </c>
      <c r="AB41" s="2">
        <v>2860</v>
      </c>
      <c r="AE41" s="2">
        <v>2468</v>
      </c>
      <c r="AF41" s="2">
        <v>2926</v>
      </c>
      <c r="AG41" s="2">
        <v>2953</v>
      </c>
      <c r="AH41" s="2">
        <v>3013</v>
      </c>
      <c r="AI41" s="2">
        <v>3104</v>
      </c>
      <c r="AJ41" s="2">
        <v>3107</v>
      </c>
      <c r="AK41" s="2" t="s">
        <v>772</v>
      </c>
      <c r="AL41" s="2" t="s">
        <v>772</v>
      </c>
      <c r="AM41" s="19">
        <v>0.38194444444444442</v>
      </c>
      <c r="AN41" s="8">
        <f>(9+(10/60))*AJ41</f>
        <v>28480.833333333332</v>
      </c>
      <c r="AO41">
        <v>1997</v>
      </c>
      <c r="AS41" t="s">
        <v>1238</v>
      </c>
      <c r="AT41" s="8">
        <f>AN363</f>
        <v>5511.7333333333336</v>
      </c>
      <c r="AU41" s="48">
        <f>AT41/$AQ$3</f>
        <v>2.2130449617090812E-3</v>
      </c>
      <c r="AX41" s="2">
        <v>2565.6999999999998</v>
      </c>
      <c r="AY41" s="2">
        <v>2521.1</v>
      </c>
      <c r="AZ41" s="2">
        <v>2674.4</v>
      </c>
      <c r="BA41" s="2">
        <v>2093.1999999999998</v>
      </c>
      <c r="BB41" s="2">
        <v>3054</v>
      </c>
      <c r="BC41" s="2">
        <v>2418.3000000000002</v>
      </c>
      <c r="BD41" s="2">
        <v>2869.7</v>
      </c>
      <c r="BE41" s="2">
        <v>2770.6</v>
      </c>
      <c r="BF41" s="2">
        <v>2780.6</v>
      </c>
      <c r="BG41" s="2">
        <v>2727.1</v>
      </c>
      <c r="BH41" s="2">
        <v>3036.9</v>
      </c>
      <c r="BI41" s="2">
        <v>2853.9</v>
      </c>
      <c r="BJ41" s="2">
        <v>3518.2</v>
      </c>
    </row>
    <row r="42" spans="1:63" s="78" customFormat="1" ht="12.5" x14ac:dyDescent="0.25">
      <c r="A42" s="87" t="s">
        <v>772</v>
      </c>
      <c r="B42" s="87" t="s">
        <v>772</v>
      </c>
      <c r="C42" s="87">
        <v>86</v>
      </c>
      <c r="D42" s="87">
        <v>83</v>
      </c>
      <c r="E42" s="78" t="s">
        <v>1480</v>
      </c>
      <c r="F42" s="78" t="s">
        <v>1204</v>
      </c>
      <c r="G42" s="78" t="s">
        <v>1540</v>
      </c>
      <c r="H42" s="87"/>
      <c r="I42" s="87"/>
      <c r="J42" s="93"/>
      <c r="K42" s="93"/>
      <c r="L42" s="87"/>
      <c r="M42" s="90"/>
      <c r="N42" s="90"/>
      <c r="O42" s="90"/>
      <c r="P42" s="87"/>
      <c r="Q42" s="87">
        <v>456.1</v>
      </c>
      <c r="R42" s="87">
        <v>467.8</v>
      </c>
      <c r="S42" s="87">
        <v>473</v>
      </c>
      <c r="T42" s="87">
        <v>452.5</v>
      </c>
      <c r="U42" s="87">
        <v>458.8</v>
      </c>
      <c r="V42" s="87">
        <v>447.4</v>
      </c>
      <c r="W42" s="87">
        <v>466.1</v>
      </c>
      <c r="X42" s="87">
        <v>430.9</v>
      </c>
      <c r="Y42" s="87">
        <v>478.6</v>
      </c>
      <c r="Z42" s="87">
        <v>473.4</v>
      </c>
      <c r="AA42" s="87">
        <v>454.8</v>
      </c>
      <c r="AB42" s="87">
        <v>465.1</v>
      </c>
      <c r="AC42" s="90"/>
      <c r="AD42" s="90"/>
      <c r="AE42" s="87"/>
      <c r="AF42" s="87"/>
      <c r="AG42" s="87"/>
      <c r="AH42" s="87"/>
      <c r="AI42" s="87"/>
      <c r="AJ42" s="87"/>
      <c r="AK42" s="87"/>
      <c r="AL42" s="87"/>
      <c r="AM42" s="92"/>
      <c r="AN42" s="84"/>
      <c r="AT42" s="84"/>
      <c r="AU42" s="85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90"/>
    </row>
    <row r="43" spans="1:63" s="78" customFormat="1" ht="12.5" x14ac:dyDescent="0.25">
      <c r="A43" s="87"/>
      <c r="B43" s="87"/>
      <c r="C43" s="87">
        <v>256</v>
      </c>
      <c r="D43" s="87" t="s">
        <v>772</v>
      </c>
      <c r="E43" s="78" t="s">
        <v>1650</v>
      </c>
      <c r="F43" s="78" t="s">
        <v>1204</v>
      </c>
      <c r="G43" s="78" t="s">
        <v>1540</v>
      </c>
      <c r="H43" s="87"/>
      <c r="I43" s="87"/>
      <c r="J43" s="93"/>
      <c r="K43" s="93"/>
      <c r="L43" s="87"/>
      <c r="M43" s="90"/>
      <c r="N43" s="90"/>
      <c r="O43" s="90"/>
      <c r="P43" s="87"/>
      <c r="Q43" s="87">
        <v>114.3</v>
      </c>
      <c r="R43" s="87">
        <v>123.5</v>
      </c>
      <c r="S43" s="87">
        <v>117.9</v>
      </c>
      <c r="T43" s="87">
        <v>137.30000000000001</v>
      </c>
      <c r="U43" s="87">
        <v>148.19999999999999</v>
      </c>
      <c r="V43" s="87">
        <v>125.6</v>
      </c>
      <c r="W43" s="87">
        <v>95.36</v>
      </c>
      <c r="X43" s="87">
        <v>78.41</v>
      </c>
      <c r="Y43" s="87">
        <v>77.16</v>
      </c>
      <c r="Z43" s="87">
        <v>73.290000000000006</v>
      </c>
      <c r="AA43" s="87">
        <v>76.67</v>
      </c>
      <c r="AB43" s="87">
        <v>68.849999999999994</v>
      </c>
      <c r="AC43" s="90"/>
      <c r="AD43" s="90"/>
      <c r="AE43" s="87"/>
      <c r="AF43" s="87"/>
      <c r="AG43" s="87"/>
      <c r="AH43" s="87"/>
      <c r="AI43" s="87"/>
      <c r="AJ43" s="87"/>
      <c r="AK43" s="87"/>
      <c r="AL43" s="87"/>
      <c r="AM43" s="92"/>
      <c r="AN43" s="84"/>
      <c r="AT43" s="84"/>
      <c r="AU43" s="85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90"/>
    </row>
    <row r="44" spans="1:63" s="78" customFormat="1" ht="12.5" x14ac:dyDescent="0.25">
      <c r="A44" s="87"/>
      <c r="B44" s="87"/>
      <c r="C44" s="87">
        <v>782</v>
      </c>
      <c r="D44" s="87" t="s">
        <v>772</v>
      </c>
      <c r="E44" s="78" t="s">
        <v>1801</v>
      </c>
      <c r="F44" s="78" t="s">
        <v>1204</v>
      </c>
      <c r="G44" s="78" t="s">
        <v>1540</v>
      </c>
      <c r="H44" s="87"/>
      <c r="I44" s="87"/>
      <c r="J44" s="93"/>
      <c r="K44" s="93"/>
      <c r="L44" s="87"/>
      <c r="M44" s="90"/>
      <c r="N44" s="90"/>
      <c r="O44" s="90"/>
      <c r="P44" s="87"/>
      <c r="Q44" s="87">
        <v>72.760000000000005</v>
      </c>
      <c r="R44" s="87">
        <v>77.94</v>
      </c>
      <c r="S44" s="87">
        <v>79.08</v>
      </c>
      <c r="T44" s="87">
        <v>76.31</v>
      </c>
      <c r="U44" s="87">
        <v>74.239999999999995</v>
      </c>
      <c r="V44" s="87">
        <v>74.38</v>
      </c>
      <c r="W44" s="87">
        <v>77</v>
      </c>
      <c r="X44" s="87">
        <v>71.180000000000007</v>
      </c>
      <c r="Y44" s="87">
        <v>81.64</v>
      </c>
      <c r="Z44" s="87">
        <v>80.47</v>
      </c>
      <c r="AA44" s="87">
        <v>73.75</v>
      </c>
      <c r="AB44" s="87">
        <v>77.17</v>
      </c>
      <c r="AC44" s="90"/>
      <c r="AD44" s="90"/>
      <c r="AE44" s="87"/>
      <c r="AF44" s="87"/>
      <c r="AG44" s="87"/>
      <c r="AH44" s="87"/>
      <c r="AI44" s="87"/>
      <c r="AJ44" s="87"/>
      <c r="AK44" s="87"/>
      <c r="AL44" s="87"/>
      <c r="AM44" s="92"/>
      <c r="AN44" s="84"/>
      <c r="AT44" s="84"/>
      <c r="AU44" s="85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90"/>
    </row>
    <row r="45" spans="1:63" s="78" customFormat="1" ht="12.5" x14ac:dyDescent="0.25">
      <c r="A45" s="87"/>
      <c r="B45" s="87"/>
      <c r="C45" s="87">
        <v>419</v>
      </c>
      <c r="D45" s="87" t="s">
        <v>772</v>
      </c>
      <c r="E45" s="78" t="s">
        <v>1790</v>
      </c>
      <c r="F45" s="78" t="s">
        <v>1204</v>
      </c>
      <c r="G45" s="78" t="s">
        <v>1540</v>
      </c>
      <c r="H45" s="87"/>
      <c r="I45" s="87"/>
      <c r="J45" s="93"/>
      <c r="K45" s="93"/>
      <c r="L45" s="87"/>
      <c r="M45" s="90"/>
      <c r="N45" s="90"/>
      <c r="O45" s="90"/>
      <c r="P45" s="87"/>
      <c r="Q45" s="87">
        <v>76.56</v>
      </c>
      <c r="R45" s="87">
        <v>80.040000000000006</v>
      </c>
      <c r="S45" s="87">
        <v>79.67</v>
      </c>
      <c r="T45" s="87">
        <v>76.5</v>
      </c>
      <c r="U45" s="87">
        <v>81.120999999999995</v>
      </c>
      <c r="V45" s="87">
        <v>78.88</v>
      </c>
      <c r="W45" s="87">
        <v>79.599999999999994</v>
      </c>
      <c r="X45" s="87">
        <v>73.349999999999994</v>
      </c>
      <c r="Y45" s="87">
        <v>79.98</v>
      </c>
      <c r="Z45" s="87">
        <v>81</v>
      </c>
      <c r="AA45" s="87">
        <v>76.19</v>
      </c>
      <c r="AB45" s="87">
        <v>78.95</v>
      </c>
      <c r="AC45" s="90"/>
      <c r="AD45" s="90"/>
      <c r="AE45" s="87"/>
      <c r="AF45" s="87"/>
      <c r="AG45" s="87"/>
      <c r="AH45" s="87"/>
      <c r="AI45" s="87"/>
      <c r="AJ45" s="87"/>
      <c r="AK45" s="87"/>
      <c r="AL45" s="87"/>
      <c r="AM45" s="92"/>
      <c r="AN45" s="84"/>
      <c r="AT45" s="84"/>
      <c r="AU45" s="85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90"/>
    </row>
    <row r="46" spans="1:63" s="78" customFormat="1" ht="12.5" x14ac:dyDescent="0.25">
      <c r="A46" s="87"/>
      <c r="B46" s="87"/>
      <c r="C46" s="87">
        <v>177</v>
      </c>
      <c r="D46" s="87" t="s">
        <v>772</v>
      </c>
      <c r="E46" s="78" t="s">
        <v>1610</v>
      </c>
      <c r="F46" s="78" t="s">
        <v>1204</v>
      </c>
      <c r="G46" s="78" t="s">
        <v>1540</v>
      </c>
      <c r="H46" s="87"/>
      <c r="I46" s="87"/>
      <c r="J46" s="93"/>
      <c r="K46" s="93"/>
      <c r="L46" s="87"/>
      <c r="M46" s="90"/>
      <c r="N46" s="90"/>
      <c r="O46" s="90"/>
      <c r="P46" s="87"/>
      <c r="Q46" s="87">
        <v>141.5</v>
      </c>
      <c r="R46" s="87">
        <v>152.9</v>
      </c>
      <c r="S46" s="87">
        <v>157.80000000000001</v>
      </c>
      <c r="T46" s="87">
        <v>154</v>
      </c>
      <c r="U46" s="87">
        <v>149.5</v>
      </c>
      <c r="V46" s="87">
        <v>133.30000000000001</v>
      </c>
      <c r="W46" s="87">
        <v>147.80000000000001</v>
      </c>
      <c r="X46" s="87">
        <v>134.30000000000001</v>
      </c>
      <c r="Y46" s="87">
        <v>147.6</v>
      </c>
      <c r="Z46" s="87">
        <v>158.30000000000001</v>
      </c>
      <c r="AA46" s="87">
        <v>155.6</v>
      </c>
      <c r="AB46" s="87">
        <v>148.80000000000001</v>
      </c>
      <c r="AC46" s="90"/>
      <c r="AD46" s="90"/>
      <c r="AE46" s="87"/>
      <c r="AF46" s="87"/>
      <c r="AG46" s="87"/>
      <c r="AH46" s="87"/>
      <c r="AI46" s="87"/>
      <c r="AJ46" s="87"/>
      <c r="AK46" s="87"/>
      <c r="AL46" s="87"/>
      <c r="AM46" s="92"/>
      <c r="AN46" s="84"/>
      <c r="AT46" s="84"/>
      <c r="AU46" s="85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90"/>
    </row>
    <row r="47" spans="1:63" s="78" customFormat="1" ht="12.5" x14ac:dyDescent="0.25">
      <c r="A47" s="87"/>
      <c r="B47" s="87"/>
      <c r="C47" s="87">
        <v>161</v>
      </c>
      <c r="D47" s="87" t="s">
        <v>772</v>
      </c>
      <c r="E47" s="78" t="s">
        <v>1596</v>
      </c>
      <c r="F47" s="78" t="s">
        <v>1204</v>
      </c>
      <c r="G47" s="78" t="s">
        <v>1540</v>
      </c>
      <c r="H47" s="87"/>
      <c r="I47" s="87"/>
      <c r="J47" s="93"/>
      <c r="K47" s="93"/>
      <c r="L47" s="87"/>
      <c r="M47" s="90"/>
      <c r="N47" s="90"/>
      <c r="O47" s="90"/>
      <c r="P47" s="87"/>
      <c r="Q47" s="87">
        <v>182.8</v>
      </c>
      <c r="R47" s="87">
        <v>185.4</v>
      </c>
      <c r="S47" s="87">
        <v>178.8</v>
      </c>
      <c r="T47" s="87">
        <v>159</v>
      </c>
      <c r="U47" s="87">
        <v>159</v>
      </c>
      <c r="V47" s="87">
        <v>155.4</v>
      </c>
      <c r="W47" s="87">
        <v>162.4</v>
      </c>
      <c r="X47" s="87">
        <v>148.19999999999999</v>
      </c>
      <c r="Y47" s="87">
        <v>163.69999999999999</v>
      </c>
      <c r="Z47" s="87">
        <v>168.7</v>
      </c>
      <c r="AA47" s="87">
        <v>156.9</v>
      </c>
      <c r="AB47" s="90">
        <v>154.6</v>
      </c>
      <c r="AC47" s="90"/>
      <c r="AD47" s="90"/>
      <c r="AE47" s="87"/>
      <c r="AF47" s="87"/>
      <c r="AG47" s="87"/>
      <c r="AH47" s="87"/>
      <c r="AI47" s="87"/>
      <c r="AJ47" s="87"/>
      <c r="AK47" s="87"/>
      <c r="AL47" s="87"/>
      <c r="AM47" s="92"/>
      <c r="AN47" s="84"/>
      <c r="AT47" s="84"/>
      <c r="AU47" s="85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90"/>
    </row>
    <row r="48" spans="1:63" ht="12.5" x14ac:dyDescent="0.25">
      <c r="A48" s="2">
        <v>1819</v>
      </c>
      <c r="B48" s="2">
        <v>1073</v>
      </c>
      <c r="C48" s="2">
        <v>12</v>
      </c>
      <c r="D48" s="2">
        <v>11</v>
      </c>
      <c r="E48" t="s">
        <v>773</v>
      </c>
      <c r="F48" t="s">
        <v>1221</v>
      </c>
      <c r="G48" t="s">
        <v>1540</v>
      </c>
      <c r="H48" s="2">
        <v>30900</v>
      </c>
      <c r="J48" s="54">
        <v>68.23</v>
      </c>
      <c r="K48" s="54">
        <v>29.79</v>
      </c>
      <c r="P48" s="2">
        <v>2865</v>
      </c>
      <c r="Q48" s="2">
        <v>3071</v>
      </c>
      <c r="R48" s="2">
        <v>3194</v>
      </c>
      <c r="S48" s="2">
        <v>3186</v>
      </c>
      <c r="T48" s="2">
        <v>3067</v>
      </c>
      <c r="U48" s="2">
        <v>3239</v>
      </c>
      <c r="V48" s="2">
        <v>3144</v>
      </c>
      <c r="W48" s="2">
        <v>3272</v>
      </c>
      <c r="X48" s="2">
        <v>2986</v>
      </c>
      <c r="Y48" s="2">
        <v>3399</v>
      </c>
      <c r="Z48" s="2">
        <v>3328</v>
      </c>
      <c r="AA48" s="2">
        <v>3133</v>
      </c>
      <c r="AB48" s="2">
        <v>3269</v>
      </c>
      <c r="AE48" s="2">
        <v>3134</v>
      </c>
      <c r="AF48" s="2">
        <v>1824</v>
      </c>
      <c r="AG48" s="2">
        <v>1823</v>
      </c>
      <c r="AH48" s="2">
        <v>1910</v>
      </c>
      <c r="AI48" s="2" t="s">
        <v>772</v>
      </c>
      <c r="AJ48" s="2">
        <v>1892</v>
      </c>
      <c r="AK48" s="2" t="s">
        <v>772</v>
      </c>
      <c r="AL48" s="2" t="s">
        <v>772</v>
      </c>
      <c r="AM48" s="19">
        <v>0.39374999999999999</v>
      </c>
      <c r="AN48" s="8">
        <f>(9+(27/60))*AJ48</f>
        <v>17879.399999999998</v>
      </c>
      <c r="AO48">
        <v>1996</v>
      </c>
      <c r="AX48" s="2">
        <v>3410</v>
      </c>
      <c r="AY48" s="2">
        <v>3507</v>
      </c>
      <c r="AZ48" s="2">
        <v>3407</v>
      </c>
      <c r="BA48" s="2">
        <v>3387</v>
      </c>
      <c r="BB48" s="2">
        <v>3375</v>
      </c>
      <c r="BC48" s="2">
        <v>3513</v>
      </c>
      <c r="BD48" s="2">
        <v>3796</v>
      </c>
      <c r="BE48" s="2">
        <v>3504</v>
      </c>
      <c r="BF48" s="2">
        <v>3469</v>
      </c>
      <c r="BG48" s="2">
        <v>3487</v>
      </c>
      <c r="BH48" s="2">
        <v>3904</v>
      </c>
      <c r="BI48" s="2">
        <v>3514</v>
      </c>
      <c r="BJ48" s="2">
        <v>3703</v>
      </c>
    </row>
    <row r="49" spans="1:63" x14ac:dyDescent="0.3">
      <c r="A49" s="2">
        <v>13</v>
      </c>
      <c r="B49" s="2">
        <v>13</v>
      </c>
      <c r="C49" s="2">
        <v>13</v>
      </c>
      <c r="D49" s="2">
        <v>12</v>
      </c>
      <c r="E49" t="s">
        <v>26</v>
      </c>
      <c r="F49" s="5" t="s">
        <v>5</v>
      </c>
      <c r="G49" s="5" t="s">
        <v>1540</v>
      </c>
      <c r="H49" s="6">
        <v>0</v>
      </c>
      <c r="I49" s="6"/>
      <c r="J49" s="56">
        <v>150.5</v>
      </c>
      <c r="K49" s="56">
        <v>110.2</v>
      </c>
      <c r="L49" s="6">
        <v>320.39999999999998</v>
      </c>
      <c r="M49" s="7" t="s">
        <v>11</v>
      </c>
      <c r="N49" s="7" t="s">
        <v>11</v>
      </c>
      <c r="O49" s="7"/>
      <c r="P49" s="6">
        <v>3301</v>
      </c>
      <c r="Q49" s="2">
        <v>3543</v>
      </c>
      <c r="R49" s="2">
        <v>3620</v>
      </c>
      <c r="S49" s="2">
        <v>3642</v>
      </c>
      <c r="T49" s="6">
        <v>3580</v>
      </c>
      <c r="U49" s="6">
        <v>3809</v>
      </c>
      <c r="V49" s="6">
        <v>3721</v>
      </c>
      <c r="W49" s="6">
        <v>3961</v>
      </c>
      <c r="X49" s="6">
        <v>3621</v>
      </c>
      <c r="Y49" s="6">
        <v>4138</v>
      </c>
      <c r="Z49" s="6">
        <v>3987</v>
      </c>
      <c r="AA49" s="6">
        <v>3961</v>
      </c>
      <c r="AB49" s="6">
        <v>4009</v>
      </c>
      <c r="AC49" s="6">
        <v>3829</v>
      </c>
      <c r="AD49" s="6">
        <v>3954</v>
      </c>
      <c r="AE49" s="6">
        <v>3551</v>
      </c>
      <c r="AF49" s="6">
        <v>3960</v>
      </c>
      <c r="AG49" s="6">
        <v>4056</v>
      </c>
      <c r="AH49" s="6">
        <v>4000</v>
      </c>
      <c r="AI49" s="6">
        <v>3988</v>
      </c>
      <c r="AJ49" s="6">
        <v>4022</v>
      </c>
      <c r="AK49" s="2" t="s">
        <v>772</v>
      </c>
      <c r="AL49" s="2" t="s">
        <v>772</v>
      </c>
      <c r="AM49" s="19">
        <v>0.16111111111111112</v>
      </c>
      <c r="AN49" s="8">
        <f>(3+(52/60))*AJ49</f>
        <v>15551.733333333334</v>
      </c>
      <c r="AO49">
        <v>2001</v>
      </c>
      <c r="AQ49" s="8"/>
      <c r="AR49" s="48"/>
      <c r="AX49" s="2">
        <v>8438.8410000000003</v>
      </c>
      <c r="AY49" s="2">
        <v>9029.41</v>
      </c>
      <c r="AZ49" s="2">
        <v>8424.1200000000008</v>
      </c>
      <c r="BA49" s="2">
        <v>8516.0400000000009</v>
      </c>
      <c r="BB49" s="2">
        <v>8427.4079999999994</v>
      </c>
      <c r="BC49" s="2">
        <v>7952.1090000000004</v>
      </c>
      <c r="BD49" s="2">
        <v>8774.4770000000008</v>
      </c>
      <c r="BE49" s="2">
        <v>8476.2950000000001</v>
      </c>
      <c r="BF49" s="2">
        <v>9625.5239999999994</v>
      </c>
      <c r="BG49" s="2">
        <v>9472.3459999999995</v>
      </c>
      <c r="BH49" s="2">
        <v>9750.4869999999992</v>
      </c>
      <c r="BI49" s="2">
        <v>9250.7739999999994</v>
      </c>
      <c r="BJ49" s="2">
        <v>9994.43</v>
      </c>
      <c r="BK49" s="7"/>
    </row>
    <row r="50" spans="1:63" ht="12.5" x14ac:dyDescent="0.25">
      <c r="A50" s="2">
        <v>15932</v>
      </c>
      <c r="B50" s="2" t="s">
        <v>772</v>
      </c>
      <c r="C50" s="2">
        <v>14</v>
      </c>
      <c r="D50" s="2">
        <v>15</v>
      </c>
      <c r="E50" t="s">
        <v>1477</v>
      </c>
      <c r="J50" s="54"/>
      <c r="K50" s="54"/>
      <c r="P50" s="2">
        <v>1989</v>
      </c>
      <c r="Q50" s="2">
        <v>2115</v>
      </c>
      <c r="R50" s="2">
        <v>2211</v>
      </c>
      <c r="S50" s="2">
        <v>2074</v>
      </c>
      <c r="T50" s="2">
        <v>2027</v>
      </c>
      <c r="U50" s="2">
        <v>2128</v>
      </c>
      <c r="V50" s="2">
        <v>1997</v>
      </c>
      <c r="W50" s="2">
        <v>1807</v>
      </c>
      <c r="X50" s="2">
        <v>1470</v>
      </c>
      <c r="Y50" s="2">
        <v>1708</v>
      </c>
      <c r="Z50" s="2">
        <v>2.2989999999999999</v>
      </c>
      <c r="AA50" s="2">
        <v>4.2699000000000001E-2</v>
      </c>
      <c r="AB50" s="2">
        <v>2.4206999999999999E-2</v>
      </c>
      <c r="AE50" s="2"/>
      <c r="AG50" s="2"/>
      <c r="AH50" s="2"/>
      <c r="AI50" s="2"/>
      <c r="AJ50" s="2"/>
      <c r="AK50" s="14"/>
      <c r="AL50" s="50"/>
      <c r="AM50" s="19"/>
      <c r="AN50" s="57"/>
      <c r="AT50" s="8"/>
      <c r="AU50" s="48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spans="1:63" x14ac:dyDescent="0.3">
      <c r="A51" s="2">
        <v>168</v>
      </c>
      <c r="B51" s="2">
        <v>151</v>
      </c>
      <c r="C51" s="2">
        <v>15</v>
      </c>
      <c r="D51" s="2">
        <v>13</v>
      </c>
      <c r="E51" t="s">
        <v>122</v>
      </c>
      <c r="F51" t="s">
        <v>1</v>
      </c>
      <c r="G51" t="s">
        <v>1542</v>
      </c>
      <c r="H51" s="2">
        <v>600000</v>
      </c>
      <c r="I51" s="54"/>
      <c r="J51" s="54">
        <v>96.34</v>
      </c>
      <c r="K51" s="55">
        <v>57.67</v>
      </c>
      <c r="P51" s="2">
        <v>3447</v>
      </c>
      <c r="Q51" s="2">
        <v>3725</v>
      </c>
      <c r="R51" s="2">
        <v>3730</v>
      </c>
      <c r="S51" s="2">
        <v>3938</v>
      </c>
      <c r="T51" s="2">
        <v>3843</v>
      </c>
      <c r="U51" s="2">
        <v>4211</v>
      </c>
      <c r="V51" s="2">
        <v>4168</v>
      </c>
      <c r="W51" s="2">
        <v>4286</v>
      </c>
      <c r="X51" s="2">
        <v>4018</v>
      </c>
      <c r="Y51" s="2">
        <v>4422</v>
      </c>
      <c r="Z51" s="2">
        <v>4423</v>
      </c>
      <c r="AA51" s="2">
        <v>4529</v>
      </c>
      <c r="AB51" s="2">
        <v>4673</v>
      </c>
      <c r="AE51" s="2">
        <v>4161</v>
      </c>
      <c r="AF51" s="2">
        <v>2614</v>
      </c>
      <c r="AG51" s="2">
        <v>2786</v>
      </c>
      <c r="AH51" s="2">
        <v>2697</v>
      </c>
      <c r="AI51" s="14" t="s">
        <v>772</v>
      </c>
      <c r="AJ51" s="2">
        <v>2715</v>
      </c>
      <c r="AK51" s="2" t="s">
        <v>772</v>
      </c>
      <c r="AL51" s="2" t="s">
        <v>772</v>
      </c>
      <c r="AM51" s="19">
        <v>0.78263888888888899</v>
      </c>
      <c r="AN51" s="57">
        <f>(18+(47/60))*AJ51</f>
        <v>50996.750000000007</v>
      </c>
      <c r="AO51">
        <v>2009</v>
      </c>
      <c r="AX51" s="2">
        <v>3056.1</v>
      </c>
      <c r="AY51" s="2">
        <v>2874</v>
      </c>
      <c r="AZ51" s="2">
        <v>3111</v>
      </c>
      <c r="BA51" s="2">
        <v>3055</v>
      </c>
      <c r="BB51" s="2">
        <v>3016</v>
      </c>
      <c r="BC51" s="2">
        <v>2639</v>
      </c>
      <c r="BD51" s="2">
        <v>2533</v>
      </c>
      <c r="BE51" s="2">
        <v>2619</v>
      </c>
      <c r="BF51" s="2">
        <v>2403</v>
      </c>
      <c r="BG51" s="2">
        <v>2425</v>
      </c>
      <c r="BH51" s="2">
        <v>2203</v>
      </c>
      <c r="BI51" s="2">
        <v>2200</v>
      </c>
      <c r="BJ51" s="2">
        <v>2172</v>
      </c>
    </row>
    <row r="52" spans="1:63" x14ac:dyDescent="0.3">
      <c r="A52" s="2">
        <v>7</v>
      </c>
      <c r="B52" s="2">
        <v>7</v>
      </c>
      <c r="C52" s="2">
        <v>16</v>
      </c>
      <c r="D52" s="2">
        <v>14</v>
      </c>
      <c r="E52" s="3" t="s">
        <v>23</v>
      </c>
      <c r="F52" s="3" t="s">
        <v>722</v>
      </c>
      <c r="G52" s="3" t="s">
        <v>1540</v>
      </c>
      <c r="H52" s="4">
        <v>4400</v>
      </c>
      <c r="I52" s="4"/>
      <c r="J52" s="55">
        <v>106.7</v>
      </c>
      <c r="K52" s="54">
        <v>56.75</v>
      </c>
      <c r="N52" s="1" t="s">
        <v>16</v>
      </c>
      <c r="P52" s="2">
        <v>2756</v>
      </c>
      <c r="Q52" s="2">
        <v>2955</v>
      </c>
      <c r="R52" s="2">
        <v>3080</v>
      </c>
      <c r="S52" s="2">
        <v>3171</v>
      </c>
      <c r="T52" s="2">
        <v>2981</v>
      </c>
      <c r="U52" s="2">
        <v>3060</v>
      </c>
      <c r="V52" s="2">
        <v>3092</v>
      </c>
      <c r="W52" s="2">
        <v>3230</v>
      </c>
      <c r="X52" s="2">
        <v>2986</v>
      </c>
      <c r="Y52" s="2">
        <v>3375</v>
      </c>
      <c r="Z52" s="2">
        <v>3436</v>
      </c>
      <c r="AA52" s="2">
        <v>3391</v>
      </c>
      <c r="AB52" s="2">
        <v>3522</v>
      </c>
      <c r="AC52" s="2">
        <v>3437</v>
      </c>
      <c r="AD52" s="2">
        <v>3588</v>
      </c>
      <c r="AE52" s="2">
        <v>3237</v>
      </c>
      <c r="AF52" s="2">
        <v>3174</v>
      </c>
      <c r="AG52" s="2">
        <v>3413</v>
      </c>
      <c r="AH52" s="2">
        <v>3476</v>
      </c>
      <c r="AI52" s="2">
        <v>3346</v>
      </c>
      <c r="AJ52" s="2">
        <v>3203</v>
      </c>
      <c r="AK52" s="2" t="s">
        <v>772</v>
      </c>
      <c r="AL52" s="2" t="s">
        <v>772</v>
      </c>
      <c r="AM52" s="19">
        <v>0.39166666666666666</v>
      </c>
      <c r="AN52" s="8">
        <f>(8+(49/60))*AJ52</f>
        <v>28239.783333333333</v>
      </c>
      <c r="AO52">
        <v>1995</v>
      </c>
      <c r="AQ52" s="8"/>
      <c r="AR52" s="48"/>
      <c r="AS52" t="s">
        <v>1237</v>
      </c>
      <c r="AT52" s="8">
        <f>AN28</f>
        <v>5602.9</v>
      </c>
      <c r="AU52" s="48">
        <f>AT52/$AQ$3</f>
        <v>2.2496497682446799E-3</v>
      </c>
      <c r="AX52" s="2">
        <v>4189.2</v>
      </c>
      <c r="AY52" s="2">
        <v>4023.1</v>
      </c>
      <c r="AZ52" s="2">
        <v>4150.1000000000004</v>
      </c>
      <c r="BA52" s="2">
        <v>4298.3999999999996</v>
      </c>
      <c r="BB52" s="2">
        <v>4262.2</v>
      </c>
      <c r="BC52" s="2">
        <v>3773.5</v>
      </c>
      <c r="BD52" s="2">
        <v>4191.5</v>
      </c>
      <c r="BE52" s="2">
        <v>4533.3</v>
      </c>
      <c r="BF52" s="2">
        <v>5092.7</v>
      </c>
      <c r="BG52" s="2">
        <v>5225.8</v>
      </c>
      <c r="BH52" s="2">
        <v>5512.9</v>
      </c>
      <c r="BI52" s="2">
        <v>5102.6000000000004</v>
      </c>
      <c r="BJ52" s="2">
        <v>5550.2</v>
      </c>
    </row>
    <row r="53" spans="1:63" s="65" customFormat="1" x14ac:dyDescent="0.3">
      <c r="A53" s="64">
        <v>131</v>
      </c>
      <c r="B53" s="64">
        <v>131</v>
      </c>
      <c r="C53" s="64">
        <v>293</v>
      </c>
      <c r="D53" s="64">
        <v>264</v>
      </c>
      <c r="E53" s="65" t="s">
        <v>117</v>
      </c>
      <c r="F53" s="65" t="s">
        <v>3</v>
      </c>
      <c r="G53" s="65" t="s">
        <v>1236</v>
      </c>
      <c r="H53" s="64">
        <v>5000</v>
      </c>
      <c r="I53" s="64"/>
      <c r="J53" s="66">
        <v>8.8260000000000005</v>
      </c>
      <c r="K53" s="66">
        <v>6.173</v>
      </c>
      <c r="L53" s="64"/>
      <c r="M53" s="67"/>
      <c r="N53" s="67"/>
      <c r="O53" s="67"/>
      <c r="P53" s="64"/>
      <c r="Q53" s="64">
        <v>165.9</v>
      </c>
      <c r="R53" s="64">
        <v>172.8</v>
      </c>
      <c r="S53" s="64">
        <v>182.3</v>
      </c>
      <c r="T53" s="64">
        <v>169.3</v>
      </c>
      <c r="U53" s="64">
        <v>172.8</v>
      </c>
      <c r="V53" s="64">
        <v>169.3</v>
      </c>
      <c r="W53" s="64">
        <v>176.6</v>
      </c>
      <c r="X53" s="64">
        <v>165.8</v>
      </c>
      <c r="Y53" s="64">
        <v>186.6</v>
      </c>
      <c r="Z53" s="64">
        <v>186.2</v>
      </c>
      <c r="AA53" s="64">
        <v>185.9</v>
      </c>
      <c r="AB53" s="64">
        <v>196.4</v>
      </c>
      <c r="AC53" s="64">
        <v>190.3</v>
      </c>
      <c r="AD53" s="64">
        <v>206</v>
      </c>
      <c r="AE53" s="64">
        <v>187.9</v>
      </c>
      <c r="AF53" s="64">
        <v>222.3</v>
      </c>
      <c r="AG53" s="64">
        <v>229.6</v>
      </c>
      <c r="AH53" s="64">
        <v>247.1</v>
      </c>
      <c r="AI53" s="69" t="s">
        <v>772</v>
      </c>
      <c r="AJ53" s="64">
        <v>235.2</v>
      </c>
      <c r="AK53" s="64" t="s">
        <v>772</v>
      </c>
      <c r="AL53" s="64" t="s">
        <v>772</v>
      </c>
      <c r="AM53" s="70">
        <v>0.14444444444444446</v>
      </c>
      <c r="AN53" s="68">
        <f>(3+(28/60))*AJ53</f>
        <v>815.36</v>
      </c>
      <c r="AX53" s="68">
        <v>231.66085699999999</v>
      </c>
      <c r="AY53" s="68">
        <v>237.376271</v>
      </c>
      <c r="AZ53" s="68">
        <v>198.447181</v>
      </c>
      <c r="BA53" s="68">
        <v>307.26507700000002</v>
      </c>
      <c r="BB53" s="68">
        <v>271.55150400000002</v>
      </c>
      <c r="BC53" s="68">
        <v>207.07722899999999</v>
      </c>
      <c r="BD53" s="68">
        <v>163.83543599999999</v>
      </c>
      <c r="BE53" s="68">
        <v>221.15690799999999</v>
      </c>
      <c r="BF53" s="68">
        <v>231.88516899999999</v>
      </c>
      <c r="BG53" s="68">
        <v>233.777952</v>
      </c>
      <c r="BH53" s="68">
        <v>241.191666</v>
      </c>
      <c r="BI53" s="68">
        <v>215.81000299999999</v>
      </c>
      <c r="BJ53" s="68">
        <v>228.492806</v>
      </c>
      <c r="BK53" s="67"/>
    </row>
    <row r="54" spans="1:63" s="72" customFormat="1" x14ac:dyDescent="0.3">
      <c r="A54" s="71">
        <v>83</v>
      </c>
      <c r="B54" s="71">
        <v>73</v>
      </c>
      <c r="C54" s="71">
        <v>201</v>
      </c>
      <c r="D54" s="71">
        <v>232</v>
      </c>
      <c r="E54" s="72" t="s">
        <v>89</v>
      </c>
      <c r="F54" s="72" t="s">
        <v>3</v>
      </c>
      <c r="G54" s="72" t="s">
        <v>1270</v>
      </c>
      <c r="H54" s="71">
        <v>5000</v>
      </c>
      <c r="I54" s="71"/>
      <c r="J54" s="73">
        <v>7.1340000000000003</v>
      </c>
      <c r="K54" s="73">
        <v>3.895</v>
      </c>
      <c r="L54" s="71"/>
      <c r="M54" s="74" t="s">
        <v>1475</v>
      </c>
      <c r="N54" s="74" t="s">
        <v>16</v>
      </c>
      <c r="O54" s="74"/>
      <c r="P54" s="71"/>
      <c r="Q54" s="71">
        <v>210</v>
      </c>
      <c r="R54" s="71">
        <v>221.6</v>
      </c>
      <c r="S54" s="71">
        <v>226.2</v>
      </c>
      <c r="T54" s="71">
        <v>208.2</v>
      </c>
      <c r="U54" s="71">
        <v>219.1</v>
      </c>
      <c r="V54" s="71">
        <v>249.6</v>
      </c>
      <c r="W54" s="71">
        <v>248.5</v>
      </c>
      <c r="X54" s="71">
        <v>227.3</v>
      </c>
      <c r="Y54" s="64">
        <v>252.6</v>
      </c>
      <c r="Z54" s="64">
        <v>234.5</v>
      </c>
      <c r="AA54" s="64">
        <v>226.3</v>
      </c>
      <c r="AB54" s="64">
        <v>229.4</v>
      </c>
      <c r="AC54" s="64">
        <v>190.3</v>
      </c>
      <c r="AD54" s="64">
        <v>206</v>
      </c>
      <c r="AE54" s="64">
        <v>208.4</v>
      </c>
      <c r="AF54" s="71">
        <v>211.6</v>
      </c>
      <c r="AG54" s="71">
        <v>199.7</v>
      </c>
      <c r="AH54" s="71">
        <v>243.4</v>
      </c>
      <c r="AI54" s="71" t="s">
        <v>772</v>
      </c>
      <c r="AJ54" s="71">
        <v>205.9</v>
      </c>
      <c r="AK54" s="71" t="s">
        <v>772</v>
      </c>
      <c r="AL54" s="71" t="s">
        <v>772</v>
      </c>
      <c r="AM54" s="76">
        <v>0.18402777777777779</v>
      </c>
      <c r="AN54" s="77">
        <f>(4+(25/60))*AJ54</f>
        <v>909.39166666666677</v>
      </c>
      <c r="AV54" s="78"/>
      <c r="AX54" s="75">
        <v>239.6</v>
      </c>
      <c r="AY54" s="75">
        <v>300.48</v>
      </c>
      <c r="AZ54" s="75">
        <v>250.77</v>
      </c>
      <c r="BA54" s="75">
        <v>231.7</v>
      </c>
      <c r="BB54" s="75">
        <v>203.4</v>
      </c>
      <c r="BC54" s="75">
        <v>202.7</v>
      </c>
      <c r="BD54" s="75">
        <v>234.7</v>
      </c>
      <c r="BE54" s="75">
        <v>241</v>
      </c>
      <c r="BF54" s="75">
        <v>288.39999999999998</v>
      </c>
      <c r="BG54" s="75">
        <v>277.5</v>
      </c>
      <c r="BH54" s="75">
        <v>311.95</v>
      </c>
      <c r="BI54" s="75">
        <v>261.8</v>
      </c>
      <c r="BJ54" s="75">
        <v>281.44</v>
      </c>
      <c r="BK54" s="74"/>
    </row>
    <row r="55" spans="1:63" s="65" customFormat="1" x14ac:dyDescent="0.3">
      <c r="A55" s="64">
        <v>128</v>
      </c>
      <c r="B55" s="64">
        <v>208</v>
      </c>
      <c r="C55" s="64">
        <v>481</v>
      </c>
      <c r="D55" s="64">
        <v>832</v>
      </c>
      <c r="E55" s="65" t="s">
        <v>154</v>
      </c>
      <c r="F55" s="65" t="s">
        <v>3</v>
      </c>
      <c r="H55" s="64">
        <v>5000</v>
      </c>
      <c r="I55" s="64"/>
      <c r="J55" s="66">
        <v>3.0529999999999999</v>
      </c>
      <c r="K55" s="66">
        <v>1.9610000000000001</v>
      </c>
      <c r="L55" s="64"/>
      <c r="M55" s="67"/>
      <c r="N55" s="67"/>
      <c r="O55" s="67"/>
      <c r="P55" s="64"/>
      <c r="Q55" s="64">
        <v>112.2</v>
      </c>
      <c r="R55" s="64">
        <v>92.4</v>
      </c>
      <c r="S55" s="64">
        <v>79.67</v>
      </c>
      <c r="T55" s="64">
        <v>77.47</v>
      </c>
      <c r="U55" s="64">
        <v>81.94</v>
      </c>
      <c r="V55" s="64">
        <v>86.88</v>
      </c>
      <c r="W55" s="64">
        <v>82.3</v>
      </c>
      <c r="X55" s="64">
        <v>68.45</v>
      </c>
      <c r="Y55" s="64">
        <v>86.97</v>
      </c>
      <c r="Z55" s="64">
        <v>101.2</v>
      </c>
      <c r="AA55" s="64">
        <v>103.8</v>
      </c>
      <c r="AB55" s="64">
        <v>109.8</v>
      </c>
      <c r="AC55" s="64">
        <v>108.6</v>
      </c>
      <c r="AD55" s="64">
        <v>105</v>
      </c>
      <c r="AE55" s="64">
        <v>69.89</v>
      </c>
      <c r="AF55" s="64">
        <v>91.47</v>
      </c>
      <c r="AG55" s="64">
        <v>93.98</v>
      </c>
      <c r="AH55" s="64">
        <v>85.49</v>
      </c>
      <c r="AI55" s="69" t="s">
        <v>772</v>
      </c>
      <c r="AJ55" s="64">
        <v>71.12</v>
      </c>
      <c r="AK55" s="69" t="s">
        <v>772</v>
      </c>
      <c r="AL55" s="69" t="s">
        <v>772</v>
      </c>
      <c r="AM55" s="70">
        <v>9.6527777777777768E-2</v>
      </c>
      <c r="AN55" s="68">
        <f>(2+(19/60))*AJ55</f>
        <v>164.76133333333334</v>
      </c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</row>
    <row r="56" spans="1:63" ht="12.5" x14ac:dyDescent="0.25">
      <c r="A56" s="2">
        <v>469</v>
      </c>
      <c r="B56" s="2">
        <v>343</v>
      </c>
      <c r="C56" s="2">
        <v>17</v>
      </c>
      <c r="D56" s="2">
        <v>16</v>
      </c>
      <c r="E56" t="s">
        <v>494</v>
      </c>
      <c r="F56" t="s">
        <v>564</v>
      </c>
      <c r="G56" t="s">
        <v>1540</v>
      </c>
      <c r="H56" s="2">
        <v>50000</v>
      </c>
      <c r="J56" s="54">
        <v>175.6</v>
      </c>
      <c r="K56" s="54">
        <v>86.99</v>
      </c>
      <c r="P56" s="2">
        <v>1910</v>
      </c>
      <c r="Q56" s="2">
        <v>2042</v>
      </c>
      <c r="R56" s="2">
        <v>2122</v>
      </c>
      <c r="S56" s="2">
        <v>2160</v>
      </c>
      <c r="T56" s="2">
        <v>2100</v>
      </c>
      <c r="U56" s="2">
        <v>2150</v>
      </c>
      <c r="V56" s="2">
        <v>2154</v>
      </c>
      <c r="W56" s="2">
        <v>2295</v>
      </c>
      <c r="X56" s="2">
        <v>2106</v>
      </c>
      <c r="Y56" s="2">
        <v>2248</v>
      </c>
      <c r="Z56" s="2">
        <v>2387</v>
      </c>
      <c r="AA56" s="2">
        <v>2350</v>
      </c>
      <c r="AB56" s="2">
        <v>2443</v>
      </c>
      <c r="AE56" s="2">
        <v>2297</v>
      </c>
      <c r="AF56" s="2">
        <v>4270</v>
      </c>
      <c r="AG56" s="2">
        <v>4397</v>
      </c>
      <c r="AH56" s="2">
        <v>4917</v>
      </c>
      <c r="AI56" s="2">
        <v>4827</v>
      </c>
      <c r="AJ56" s="2">
        <v>4797</v>
      </c>
      <c r="AK56" s="14"/>
      <c r="AL56" s="50"/>
      <c r="AM56" s="19">
        <v>0.21180555555555555</v>
      </c>
      <c r="AN56" s="57">
        <f>(5+(5/60))*AJ56</f>
        <v>24384.75</v>
      </c>
      <c r="AO56">
        <v>2000</v>
      </c>
      <c r="AS56" t="s">
        <v>1236</v>
      </c>
      <c r="AT56" s="8">
        <f>AN124+AN138+AN162+AN218+AN335+AN270+AN432+AN233+AN136+AN345+AN216+AN609+AN377+AN401</f>
        <v>12277.512833333332</v>
      </c>
      <c r="AU56" s="48">
        <f>AT56/$AQ$3</f>
        <v>4.9296085777239314E-3</v>
      </c>
      <c r="AX56" s="2">
        <v>340.3</v>
      </c>
      <c r="AY56" s="2">
        <v>286.39999999999998</v>
      </c>
      <c r="AZ56" s="2">
        <v>346.9</v>
      </c>
      <c r="BA56" s="2">
        <v>324.5</v>
      </c>
      <c r="BB56" s="2">
        <v>346</v>
      </c>
      <c r="BC56" s="2">
        <v>386.9</v>
      </c>
      <c r="BD56" s="2">
        <v>224.7</v>
      </c>
      <c r="BE56" s="2">
        <v>210.1</v>
      </c>
      <c r="BF56" s="2">
        <v>310.2</v>
      </c>
      <c r="BG56" s="2">
        <v>315.39999999999998</v>
      </c>
      <c r="BH56" s="2">
        <v>486.2</v>
      </c>
      <c r="BI56" s="2">
        <v>477.4</v>
      </c>
      <c r="BJ56" s="2">
        <v>369.2</v>
      </c>
    </row>
    <row r="57" spans="1:63" ht="12.5" x14ac:dyDescent="0.25">
      <c r="A57" s="2">
        <v>11</v>
      </c>
      <c r="B57" s="2">
        <v>9</v>
      </c>
      <c r="C57" s="2">
        <v>18</v>
      </c>
      <c r="D57" s="2">
        <v>18</v>
      </c>
      <c r="E57" t="s">
        <v>34</v>
      </c>
      <c r="F57" t="s">
        <v>7</v>
      </c>
      <c r="G57" t="s">
        <v>1476</v>
      </c>
      <c r="H57" s="2">
        <v>2000000</v>
      </c>
      <c r="J57" s="54">
        <v>54.08</v>
      </c>
      <c r="K57" s="54">
        <v>31.73</v>
      </c>
      <c r="M57" s="1" t="s">
        <v>735</v>
      </c>
      <c r="N57" s="1" t="s">
        <v>16</v>
      </c>
      <c r="P57" s="2">
        <v>1681</v>
      </c>
      <c r="Q57" s="2">
        <v>1826</v>
      </c>
      <c r="R57" s="2">
        <v>1793</v>
      </c>
      <c r="S57" s="2">
        <v>1873</v>
      </c>
      <c r="T57" s="2">
        <v>1748</v>
      </c>
      <c r="U57" s="2">
        <v>1756</v>
      </c>
      <c r="V57" s="2">
        <v>1744</v>
      </c>
      <c r="W57" s="2">
        <v>1812</v>
      </c>
      <c r="X57" s="2">
        <v>1676</v>
      </c>
      <c r="Y57" s="2">
        <v>1777</v>
      </c>
      <c r="Z57" s="2">
        <v>1525</v>
      </c>
      <c r="AA57" s="2">
        <v>1622</v>
      </c>
      <c r="AB57" s="2">
        <v>1762</v>
      </c>
      <c r="AC57" s="2">
        <v>1714</v>
      </c>
      <c r="AD57" s="2">
        <v>1733</v>
      </c>
      <c r="AE57" s="2">
        <v>1584</v>
      </c>
      <c r="AF57" s="2">
        <v>1459</v>
      </c>
      <c r="AG57" s="2">
        <v>1645</v>
      </c>
      <c r="AH57" s="2">
        <v>1598</v>
      </c>
      <c r="AI57" s="2" t="s">
        <v>772</v>
      </c>
      <c r="AJ57" s="2">
        <v>1570</v>
      </c>
      <c r="AK57" s="2" t="s">
        <v>772</v>
      </c>
      <c r="AL57" s="2" t="s">
        <v>772</v>
      </c>
      <c r="AM57" s="19">
        <v>0.3125</v>
      </c>
      <c r="AN57" s="57">
        <f>(7.5)*AJ57</f>
        <v>11775</v>
      </c>
      <c r="AO57">
        <v>2002</v>
      </c>
      <c r="AX57" s="2">
        <v>1697</v>
      </c>
      <c r="AY57" s="2">
        <v>1585</v>
      </c>
      <c r="AZ57" s="2">
        <v>1704</v>
      </c>
      <c r="BA57" s="2">
        <v>1703</v>
      </c>
      <c r="BB57" s="2">
        <v>1683</v>
      </c>
      <c r="BC57" s="2">
        <v>1584</v>
      </c>
      <c r="BD57" s="2">
        <v>1684</v>
      </c>
      <c r="BE57" s="2">
        <v>1667</v>
      </c>
      <c r="BF57" s="2">
        <v>1820</v>
      </c>
      <c r="BG57" s="2">
        <v>1744</v>
      </c>
      <c r="BH57" s="2">
        <v>1902</v>
      </c>
      <c r="BI57" s="2">
        <v>1708</v>
      </c>
      <c r="BJ57" s="2">
        <v>1718</v>
      </c>
    </row>
    <row r="58" spans="1:63" ht="12.5" x14ac:dyDescent="0.25">
      <c r="A58" s="2">
        <v>25</v>
      </c>
      <c r="B58" s="2">
        <v>19</v>
      </c>
      <c r="C58" s="2">
        <v>19</v>
      </c>
      <c r="D58" s="2">
        <v>17</v>
      </c>
      <c r="E58" t="s">
        <v>28</v>
      </c>
      <c r="F58" t="s">
        <v>6</v>
      </c>
      <c r="G58" t="s">
        <v>1233</v>
      </c>
      <c r="H58" s="2">
        <v>1000</v>
      </c>
      <c r="J58" s="54">
        <v>78.819999999999993</v>
      </c>
      <c r="K58" s="54">
        <v>60.58</v>
      </c>
      <c r="N58" s="1" t="s">
        <v>16</v>
      </c>
      <c r="P58" s="2">
        <v>1410</v>
      </c>
      <c r="Q58" s="2">
        <v>1504</v>
      </c>
      <c r="R58" s="2">
        <v>1625</v>
      </c>
      <c r="S58" s="2">
        <v>1720</v>
      </c>
      <c r="T58" s="2">
        <v>1687</v>
      </c>
      <c r="U58" s="2">
        <v>1733</v>
      </c>
      <c r="V58" s="2">
        <v>1682</v>
      </c>
      <c r="W58" s="2">
        <v>1649</v>
      </c>
      <c r="X58" s="2">
        <v>1523</v>
      </c>
      <c r="Y58" s="2">
        <v>1774</v>
      </c>
      <c r="Z58" s="2">
        <v>1841</v>
      </c>
      <c r="AA58" s="2">
        <v>1729</v>
      </c>
      <c r="AB58" s="2">
        <v>1760</v>
      </c>
      <c r="AC58" s="2">
        <v>1708</v>
      </c>
      <c r="AD58" s="2">
        <v>1833</v>
      </c>
      <c r="AE58" s="2">
        <v>1682</v>
      </c>
      <c r="AF58" s="2">
        <v>2142</v>
      </c>
      <c r="AG58" s="2">
        <v>2027</v>
      </c>
      <c r="AH58" s="2">
        <v>2206</v>
      </c>
      <c r="AI58" s="2" t="s">
        <v>772</v>
      </c>
      <c r="AJ58" s="2">
        <v>2392</v>
      </c>
      <c r="AK58" s="2" t="s">
        <v>772</v>
      </c>
      <c r="AL58" s="2" t="s">
        <v>772</v>
      </c>
      <c r="AM58" s="19">
        <v>0.35486111111111113</v>
      </c>
      <c r="AN58" s="57">
        <f>(8+(31/60))*AJ58</f>
        <v>20371.866666666669</v>
      </c>
      <c r="AO58">
        <v>2007</v>
      </c>
      <c r="AX58" s="2">
        <v>12529</v>
      </c>
      <c r="AY58" s="2">
        <v>12333</v>
      </c>
      <c r="AZ58" s="2">
        <v>12084</v>
      </c>
      <c r="BA58" s="2">
        <v>13858</v>
      </c>
      <c r="BB58" s="2">
        <v>12573</v>
      </c>
      <c r="BC58" s="2">
        <v>11383</v>
      </c>
      <c r="BD58" s="2">
        <v>11967</v>
      </c>
      <c r="BE58" s="2">
        <v>12347</v>
      </c>
      <c r="BF58" s="2">
        <v>11620</v>
      </c>
      <c r="BG58" s="2">
        <v>13248</v>
      </c>
      <c r="BH58" s="2">
        <v>12062</v>
      </c>
      <c r="BI58" s="2">
        <v>10868</v>
      </c>
      <c r="BJ58" s="2">
        <v>12210</v>
      </c>
    </row>
    <row r="59" spans="1:63" s="65" customFormat="1" x14ac:dyDescent="0.3">
      <c r="A59" s="64"/>
      <c r="B59" s="64"/>
      <c r="C59" s="64">
        <v>182</v>
      </c>
      <c r="D59" s="64" t="s">
        <v>772</v>
      </c>
      <c r="E59" s="65" t="s">
        <v>1625</v>
      </c>
      <c r="F59" s="65" t="s">
        <v>6</v>
      </c>
      <c r="G59" s="65" t="s">
        <v>1233</v>
      </c>
      <c r="H59" s="68">
        <v>1000</v>
      </c>
      <c r="I59" s="64"/>
      <c r="J59" s="66"/>
      <c r="K59" s="66"/>
      <c r="L59" s="64"/>
      <c r="M59" s="67"/>
      <c r="N59" s="67"/>
      <c r="O59" s="67"/>
      <c r="P59" s="64"/>
      <c r="Q59" s="64">
        <v>130.1</v>
      </c>
      <c r="R59" s="64">
        <v>144</v>
      </c>
      <c r="S59" s="64">
        <v>142</v>
      </c>
      <c r="T59" s="64">
        <v>142.30000000000001</v>
      </c>
      <c r="U59" s="64">
        <v>136.5</v>
      </c>
      <c r="V59" s="64">
        <v>118.4</v>
      </c>
      <c r="W59" s="64">
        <v>147.5</v>
      </c>
      <c r="X59" s="64">
        <v>115.4</v>
      </c>
      <c r="Y59" s="64">
        <v>125.1</v>
      </c>
      <c r="Z59" s="64">
        <v>127.8</v>
      </c>
      <c r="AA59" s="64">
        <v>122.6</v>
      </c>
      <c r="AB59" s="64">
        <v>127</v>
      </c>
      <c r="AC59" s="64"/>
      <c r="AD59" s="64"/>
      <c r="AE59" s="64"/>
      <c r="AF59" s="64"/>
      <c r="AG59" s="64"/>
      <c r="AH59" s="64"/>
      <c r="AI59" s="69"/>
      <c r="AJ59" s="64"/>
      <c r="AK59" s="69"/>
      <c r="AL59" s="69"/>
      <c r="AM59" s="70"/>
      <c r="AN59" s="68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</row>
    <row r="60" spans="1:63" x14ac:dyDescent="0.3">
      <c r="A60" s="2">
        <v>464</v>
      </c>
      <c r="B60" s="2">
        <v>362</v>
      </c>
      <c r="C60" s="2">
        <v>20</v>
      </c>
      <c r="D60" s="2">
        <v>19</v>
      </c>
      <c r="E60" t="s">
        <v>446</v>
      </c>
      <c r="J60" s="15">
        <v>39.049999999999997</v>
      </c>
      <c r="K60" s="16">
        <v>15.39</v>
      </c>
      <c r="P60" s="2">
        <v>1473</v>
      </c>
      <c r="Q60" s="2">
        <v>1581</v>
      </c>
      <c r="R60" s="2">
        <v>1620</v>
      </c>
      <c r="S60" s="2">
        <v>1595</v>
      </c>
      <c r="T60" s="2">
        <v>1556</v>
      </c>
      <c r="U60" s="2">
        <v>1628</v>
      </c>
      <c r="V60" s="2">
        <v>1592</v>
      </c>
      <c r="W60" s="2">
        <v>1635</v>
      </c>
      <c r="X60" s="2">
        <v>1500</v>
      </c>
      <c r="Y60" s="2">
        <v>1649</v>
      </c>
      <c r="Z60" s="2">
        <v>1638</v>
      </c>
      <c r="AA60" s="2">
        <v>1577</v>
      </c>
      <c r="AB60" s="2">
        <v>1621</v>
      </c>
      <c r="AE60" s="2">
        <v>1483</v>
      </c>
      <c r="AF60" s="2">
        <v>1093</v>
      </c>
      <c r="AG60" s="2">
        <v>1044</v>
      </c>
      <c r="AH60" s="2">
        <v>1093</v>
      </c>
      <c r="AI60" s="14" t="s">
        <v>772</v>
      </c>
      <c r="AJ60" s="14" t="s">
        <v>772</v>
      </c>
      <c r="AK60" s="14" t="s">
        <v>772</v>
      </c>
      <c r="AL60" s="14" t="s">
        <v>772</v>
      </c>
      <c r="AM60" s="19">
        <v>0.66805555555555562</v>
      </c>
      <c r="AN60" s="8">
        <f>(16+(2/60))*AH60</f>
        <v>17524.433333333334</v>
      </c>
      <c r="AX60" s="8">
        <v>1189.846532</v>
      </c>
      <c r="AY60" s="8">
        <v>1331.180891</v>
      </c>
      <c r="AZ60" s="8">
        <v>1489.067466</v>
      </c>
      <c r="BA60" s="8">
        <v>576.67145100000005</v>
      </c>
      <c r="BB60" s="8">
        <v>1113.6501450000001</v>
      </c>
      <c r="BC60" s="8">
        <v>723.16618000000005</v>
      </c>
      <c r="BD60" s="8">
        <v>885.76111000000003</v>
      </c>
      <c r="BE60" s="8">
        <v>1010.269867</v>
      </c>
      <c r="BF60" s="8">
        <v>870.687231</v>
      </c>
      <c r="BG60" s="8">
        <v>800.60578199999998</v>
      </c>
      <c r="BH60" s="8">
        <v>909.76755400000002</v>
      </c>
      <c r="BI60" s="8">
        <v>855.65192200000001</v>
      </c>
      <c r="BJ60" s="8">
        <v>867.31711499999994</v>
      </c>
    </row>
    <row r="61" spans="1:63" s="65" customFormat="1" x14ac:dyDescent="0.3">
      <c r="A61" s="64"/>
      <c r="B61" s="64"/>
      <c r="C61" s="64">
        <v>225</v>
      </c>
      <c r="D61" s="64" t="s">
        <v>772</v>
      </c>
      <c r="E61" s="65" t="s">
        <v>1580</v>
      </c>
      <c r="H61" s="68"/>
      <c r="I61" s="64"/>
      <c r="J61" s="66"/>
      <c r="K61" s="66"/>
      <c r="L61" s="64"/>
      <c r="M61" s="67"/>
      <c r="N61" s="67"/>
      <c r="O61" s="67"/>
      <c r="P61" s="64"/>
      <c r="Q61" s="64">
        <v>211.3</v>
      </c>
      <c r="R61" s="64">
        <v>216.1</v>
      </c>
      <c r="S61" s="64">
        <v>215.2</v>
      </c>
      <c r="T61" s="64">
        <v>216.5</v>
      </c>
      <c r="U61" s="64">
        <v>239.9</v>
      </c>
      <c r="V61" s="64">
        <v>239.8</v>
      </c>
      <c r="W61" s="64">
        <v>241.8</v>
      </c>
      <c r="X61" s="64">
        <v>217.5</v>
      </c>
      <c r="Y61" s="64">
        <v>243.8</v>
      </c>
      <c r="Z61" s="64">
        <v>261.60000000000002</v>
      </c>
      <c r="AA61" s="64">
        <v>233.8</v>
      </c>
      <c r="AB61" s="64">
        <v>240.6</v>
      </c>
      <c r="AC61" s="64"/>
      <c r="AD61" s="64"/>
      <c r="AE61" s="64"/>
      <c r="AF61" s="64"/>
      <c r="AG61" s="64"/>
      <c r="AH61" s="64"/>
      <c r="AI61" s="69"/>
      <c r="AJ61" s="64"/>
      <c r="AK61" s="69"/>
      <c r="AL61" s="69"/>
      <c r="AM61" s="70"/>
      <c r="AN61" s="68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</row>
    <row r="62" spans="1:63" s="65" customFormat="1" x14ac:dyDescent="0.3">
      <c r="A62" s="64"/>
      <c r="B62" s="64"/>
      <c r="C62" s="64">
        <v>162</v>
      </c>
      <c r="D62" s="64" t="s">
        <v>772</v>
      </c>
      <c r="E62" s="65" t="s">
        <v>1768</v>
      </c>
      <c r="H62" s="68"/>
      <c r="I62" s="64"/>
      <c r="J62" s="66"/>
      <c r="K62" s="66"/>
      <c r="L62" s="64"/>
      <c r="M62" s="67"/>
      <c r="N62" s="67"/>
      <c r="O62" s="67"/>
      <c r="P62" s="64"/>
      <c r="Q62" s="64">
        <v>83.86</v>
      </c>
      <c r="R62" s="64">
        <v>84.4</v>
      </c>
      <c r="S62" s="64">
        <v>86.77</v>
      </c>
      <c r="T62" s="64">
        <v>76.44</v>
      </c>
      <c r="U62" s="64">
        <v>78.69</v>
      </c>
      <c r="V62" s="64">
        <v>78.52</v>
      </c>
      <c r="W62" s="64">
        <v>77.64</v>
      </c>
      <c r="X62" s="64">
        <v>70.31</v>
      </c>
      <c r="Y62" s="64">
        <v>73.61</v>
      </c>
      <c r="Z62" s="64">
        <v>77.36</v>
      </c>
      <c r="AA62" s="64">
        <v>75.02</v>
      </c>
      <c r="AB62" s="64">
        <v>78.989999999999995</v>
      </c>
      <c r="AC62" s="64"/>
      <c r="AD62" s="64"/>
      <c r="AE62" s="64"/>
      <c r="AF62" s="64"/>
      <c r="AG62" s="64"/>
      <c r="AH62" s="64"/>
      <c r="AI62" s="69"/>
      <c r="AJ62" s="64"/>
      <c r="AK62" s="69"/>
      <c r="AL62" s="69"/>
      <c r="AM62" s="70"/>
      <c r="AN62" s="68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</row>
    <row r="63" spans="1:63" s="65" customFormat="1" x14ac:dyDescent="0.3">
      <c r="A63" s="64"/>
      <c r="B63" s="64"/>
      <c r="C63" s="64">
        <v>346</v>
      </c>
      <c r="D63" s="64" t="s">
        <v>772</v>
      </c>
      <c r="E63" s="65" t="s">
        <v>1735</v>
      </c>
      <c r="H63" s="68"/>
      <c r="I63" s="64"/>
      <c r="J63" s="66"/>
      <c r="K63" s="66"/>
      <c r="L63" s="64"/>
      <c r="M63" s="67"/>
      <c r="N63" s="67"/>
      <c r="O63" s="67"/>
      <c r="P63" s="64"/>
      <c r="Q63" s="64">
        <v>92.68</v>
      </c>
      <c r="R63" s="64">
        <v>93.59</v>
      </c>
      <c r="S63" s="64">
        <v>93.03</v>
      </c>
      <c r="T63" s="64">
        <v>89.72</v>
      </c>
      <c r="U63" s="64">
        <v>92.03</v>
      </c>
      <c r="V63" s="64">
        <v>92.13</v>
      </c>
      <c r="W63" s="64">
        <v>93.43</v>
      </c>
      <c r="X63" s="64">
        <v>86.45</v>
      </c>
      <c r="Y63" s="64">
        <v>91.75</v>
      </c>
      <c r="Z63" s="64">
        <v>92.56</v>
      </c>
      <c r="AA63" s="64">
        <v>92.88</v>
      </c>
      <c r="AB63" s="64">
        <v>94.97</v>
      </c>
      <c r="AC63" s="64"/>
      <c r="AD63" s="64"/>
      <c r="AE63" s="64"/>
      <c r="AF63" s="64"/>
      <c r="AG63" s="64"/>
      <c r="AH63" s="64"/>
      <c r="AI63" s="69"/>
      <c r="AJ63" s="64"/>
      <c r="AK63" s="69"/>
      <c r="AL63" s="69"/>
      <c r="AM63" s="70"/>
      <c r="AN63" s="68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</row>
    <row r="64" spans="1:63" ht="12.5" x14ac:dyDescent="0.25">
      <c r="A64" s="2">
        <v>22</v>
      </c>
      <c r="B64" s="2">
        <v>20</v>
      </c>
      <c r="C64" s="2">
        <v>21</v>
      </c>
      <c r="D64" s="2">
        <v>22</v>
      </c>
      <c r="E64" t="s">
        <v>50</v>
      </c>
      <c r="F64" t="s">
        <v>531</v>
      </c>
      <c r="G64" t="s">
        <v>1542</v>
      </c>
      <c r="H64" s="2">
        <v>14720</v>
      </c>
      <c r="J64" s="15">
        <v>32.74</v>
      </c>
      <c r="K64" s="15">
        <v>24.51</v>
      </c>
      <c r="P64" s="2">
        <v>1253</v>
      </c>
      <c r="Q64" s="2">
        <v>1351</v>
      </c>
      <c r="R64" s="2">
        <v>1371</v>
      </c>
      <c r="S64" s="2">
        <v>1325</v>
      </c>
      <c r="T64" s="2">
        <v>1248</v>
      </c>
      <c r="U64" s="2">
        <v>1285</v>
      </c>
      <c r="V64" s="2">
        <v>1236</v>
      </c>
      <c r="W64" s="2">
        <v>1278</v>
      </c>
      <c r="X64" s="2">
        <v>1167</v>
      </c>
      <c r="Y64" s="2">
        <v>1285</v>
      </c>
      <c r="Z64" s="2">
        <v>1264</v>
      </c>
      <c r="AA64" s="2">
        <v>1219</v>
      </c>
      <c r="AB64" s="2">
        <v>1218</v>
      </c>
      <c r="AE64" s="2">
        <v>827.4</v>
      </c>
      <c r="AF64" s="2">
        <v>1057</v>
      </c>
      <c r="AG64" s="2">
        <v>1003</v>
      </c>
      <c r="AH64" s="2">
        <v>958.1</v>
      </c>
      <c r="AI64" s="2" t="s">
        <v>772</v>
      </c>
      <c r="AJ64" s="2">
        <v>945.3</v>
      </c>
      <c r="AK64" s="2" t="s">
        <v>772</v>
      </c>
      <c r="AL64" s="2" t="s">
        <v>772</v>
      </c>
      <c r="AM64" s="19">
        <v>0.25</v>
      </c>
      <c r="AN64" s="8">
        <f>6*AJ64</f>
        <v>5671.7999999999993</v>
      </c>
      <c r="AX64" s="8">
        <v>907.66303500000004</v>
      </c>
      <c r="AY64" s="8">
        <v>935.21033399999999</v>
      </c>
      <c r="AZ64" s="8">
        <v>938.94520699999998</v>
      </c>
      <c r="BA64" s="8">
        <v>908.69497000000001</v>
      </c>
      <c r="BB64" s="8">
        <v>807.720327</v>
      </c>
      <c r="BC64" s="8">
        <v>742.11727299999995</v>
      </c>
      <c r="BD64" s="8">
        <v>821.76327700000002</v>
      </c>
      <c r="BE64" s="8">
        <v>726.57657200000006</v>
      </c>
      <c r="BF64" s="8">
        <v>744.189255</v>
      </c>
      <c r="BG64" s="8">
        <v>764.07541600000002</v>
      </c>
      <c r="BH64" s="8">
        <v>793.42004099999997</v>
      </c>
      <c r="BI64" s="8">
        <v>730.26431000000002</v>
      </c>
      <c r="BJ64" s="8">
        <v>759.75205900000003</v>
      </c>
    </row>
    <row r="65" spans="1:65" ht="12.5" x14ac:dyDescent="0.25">
      <c r="A65" s="2">
        <v>23</v>
      </c>
      <c r="B65" s="2">
        <v>21</v>
      </c>
      <c r="C65" s="2">
        <v>22</v>
      </c>
      <c r="D65" s="2">
        <v>21</v>
      </c>
      <c r="E65" t="s">
        <v>30</v>
      </c>
      <c r="F65" t="s">
        <v>6</v>
      </c>
      <c r="G65" t="s">
        <v>1233</v>
      </c>
      <c r="H65" s="2">
        <v>1000</v>
      </c>
      <c r="J65" s="54">
        <v>93.7</v>
      </c>
      <c r="K65" s="54">
        <v>68.84</v>
      </c>
      <c r="N65" s="1" t="s">
        <v>16</v>
      </c>
      <c r="P65" s="2">
        <v>1099</v>
      </c>
      <c r="Q65" s="2">
        <v>1166</v>
      </c>
      <c r="R65" s="2">
        <v>1324</v>
      </c>
      <c r="S65" s="2">
        <v>1296</v>
      </c>
      <c r="T65" s="2">
        <v>1228</v>
      </c>
      <c r="U65" s="2">
        <v>1233</v>
      </c>
      <c r="V65" s="2">
        <v>1196</v>
      </c>
      <c r="W65" s="2">
        <v>1208</v>
      </c>
      <c r="X65" s="2">
        <v>1131</v>
      </c>
      <c r="Y65" s="2">
        <v>1335</v>
      </c>
      <c r="Z65" s="2">
        <v>1360</v>
      </c>
      <c r="AA65" s="2">
        <v>1262</v>
      </c>
      <c r="AB65" s="2">
        <v>1317</v>
      </c>
      <c r="AC65" s="2">
        <v>1307</v>
      </c>
      <c r="AD65" s="2">
        <v>1365</v>
      </c>
      <c r="AE65" s="2">
        <v>1208</v>
      </c>
      <c r="AF65" s="2">
        <v>2536</v>
      </c>
      <c r="AG65" s="2">
        <v>2388</v>
      </c>
      <c r="AH65" s="2">
        <v>2623</v>
      </c>
      <c r="AI65" s="2" t="s">
        <v>772</v>
      </c>
      <c r="AJ65" s="2">
        <v>2697</v>
      </c>
      <c r="AK65" s="2" t="s">
        <v>772</v>
      </c>
      <c r="AL65" s="2" t="s">
        <v>772</v>
      </c>
      <c r="AM65" s="19">
        <v>0.36180555555555555</v>
      </c>
      <c r="AN65" s="57">
        <f>(8+(41/60))*AJ65</f>
        <v>23418.95</v>
      </c>
      <c r="AO65">
        <v>2007</v>
      </c>
      <c r="AX65" s="2">
        <v>8807</v>
      </c>
      <c r="AY65" s="2">
        <v>7717</v>
      </c>
      <c r="AZ65" s="2">
        <v>8596</v>
      </c>
      <c r="BA65" s="2">
        <v>9236</v>
      </c>
      <c r="BB65" s="2">
        <v>9053</v>
      </c>
      <c r="BC65" s="2">
        <v>8528</v>
      </c>
      <c r="BD65" s="2">
        <v>9067</v>
      </c>
      <c r="BE65" s="2">
        <v>9473</v>
      </c>
      <c r="BF65" s="2">
        <v>8971</v>
      </c>
      <c r="BG65" s="2">
        <v>10391</v>
      </c>
      <c r="BH65" s="2">
        <v>9848</v>
      </c>
      <c r="BI65" s="2">
        <v>9468</v>
      </c>
      <c r="BJ65" s="2">
        <v>10512</v>
      </c>
    </row>
    <row r="66" spans="1:65" s="65" customFormat="1" x14ac:dyDescent="0.3">
      <c r="A66" s="64"/>
      <c r="B66" s="64"/>
      <c r="C66" s="64">
        <v>146</v>
      </c>
      <c r="D66" s="64" t="s">
        <v>772</v>
      </c>
      <c r="E66" s="65" t="s">
        <v>1605</v>
      </c>
      <c r="H66" s="68"/>
      <c r="I66" s="64"/>
      <c r="J66" s="66"/>
      <c r="K66" s="66"/>
      <c r="L66" s="64"/>
      <c r="M66" s="67"/>
      <c r="N66" s="67"/>
      <c r="O66" s="67"/>
      <c r="P66" s="64"/>
      <c r="Q66" s="64">
        <v>150.6</v>
      </c>
      <c r="R66" s="64">
        <v>169</v>
      </c>
      <c r="S66" s="64">
        <v>161.9</v>
      </c>
      <c r="T66" s="64">
        <v>158.4</v>
      </c>
      <c r="U66" s="64">
        <v>152.30000000000001</v>
      </c>
      <c r="V66" s="64">
        <v>143.4</v>
      </c>
      <c r="W66" s="64">
        <v>147.69999999999999</v>
      </c>
      <c r="X66" s="64">
        <v>132.30000000000001</v>
      </c>
      <c r="Y66" s="64">
        <v>138.4</v>
      </c>
      <c r="Z66" s="64">
        <v>125</v>
      </c>
      <c r="AA66" s="64">
        <v>86.95</v>
      </c>
      <c r="AB66" s="64">
        <v>93.52</v>
      </c>
      <c r="AC66" s="64"/>
      <c r="AD66" s="64"/>
      <c r="AE66" s="64"/>
      <c r="AF66" s="64"/>
      <c r="AG66" s="64"/>
      <c r="AH66" s="64"/>
      <c r="AI66" s="69"/>
      <c r="AJ66" s="64"/>
      <c r="AK66" s="69"/>
      <c r="AL66" s="69"/>
      <c r="AM66" s="70"/>
      <c r="AN66" s="68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</row>
    <row r="67" spans="1:65" x14ac:dyDescent="0.3">
      <c r="A67" s="2">
        <v>14</v>
      </c>
      <c r="B67" s="2">
        <v>15</v>
      </c>
      <c r="C67" s="2">
        <v>23</v>
      </c>
      <c r="D67" s="2">
        <v>26</v>
      </c>
      <c r="E67" t="s">
        <v>31</v>
      </c>
      <c r="F67" t="s">
        <v>7</v>
      </c>
      <c r="G67" t="s">
        <v>1543</v>
      </c>
      <c r="H67" s="2">
        <v>2000000</v>
      </c>
      <c r="J67" s="54">
        <v>47.78</v>
      </c>
      <c r="K67" s="54">
        <v>22.4</v>
      </c>
      <c r="M67" s="1" t="s">
        <v>18</v>
      </c>
      <c r="N67" s="1" t="s">
        <v>11</v>
      </c>
      <c r="P67" s="2">
        <v>1388</v>
      </c>
      <c r="Q67" s="2">
        <v>1524</v>
      </c>
      <c r="R67" s="2">
        <v>1308</v>
      </c>
      <c r="S67" s="2">
        <v>1287</v>
      </c>
      <c r="T67" s="2">
        <v>1294</v>
      </c>
      <c r="U67" s="2">
        <v>1369</v>
      </c>
      <c r="V67" s="2">
        <v>1433</v>
      </c>
      <c r="W67" s="2">
        <v>1543</v>
      </c>
      <c r="X67" s="2">
        <v>1441</v>
      </c>
      <c r="Y67" s="2">
        <v>1501</v>
      </c>
      <c r="Z67" s="2">
        <v>1351</v>
      </c>
      <c r="AA67" s="2">
        <v>1543</v>
      </c>
      <c r="AB67" s="2">
        <v>1683</v>
      </c>
      <c r="AC67" s="2">
        <v>1591</v>
      </c>
      <c r="AD67" s="2">
        <v>1455</v>
      </c>
      <c r="AE67" s="2">
        <v>1268</v>
      </c>
      <c r="AF67" s="2">
        <v>1104</v>
      </c>
      <c r="AG67" s="2">
        <v>1484</v>
      </c>
      <c r="AH67" s="2">
        <v>1195</v>
      </c>
      <c r="AI67" s="2">
        <v>1174</v>
      </c>
      <c r="AJ67" s="2">
        <v>1201</v>
      </c>
      <c r="AK67" s="2" t="s">
        <v>772</v>
      </c>
      <c r="AL67" s="2" t="s">
        <v>772</v>
      </c>
      <c r="AM67" s="19">
        <v>0.41875000000000001</v>
      </c>
      <c r="AN67" s="57">
        <f>(10+(3/60))*AJ67</f>
        <v>12070.050000000001</v>
      </c>
      <c r="AO67">
        <v>2010</v>
      </c>
      <c r="AT67" s="1">
        <v>2800</v>
      </c>
      <c r="AV67" s="10"/>
      <c r="AX67" s="2">
        <v>1406</v>
      </c>
      <c r="AY67" s="2">
        <v>1204</v>
      </c>
      <c r="AZ67" s="2">
        <v>1442</v>
      </c>
      <c r="BA67" s="2">
        <v>1419</v>
      </c>
      <c r="BB67" s="2">
        <v>1339</v>
      </c>
      <c r="BC67" s="2">
        <v>1086</v>
      </c>
      <c r="BD67" s="2">
        <v>1091</v>
      </c>
      <c r="BE67" s="2">
        <v>1198</v>
      </c>
      <c r="BF67" s="2">
        <v>1341</v>
      </c>
      <c r="BG67" s="2">
        <v>1373</v>
      </c>
      <c r="BH67" s="2">
        <v>1541</v>
      </c>
      <c r="BI67" s="2">
        <v>1501</v>
      </c>
      <c r="BJ67" s="2">
        <v>1453</v>
      </c>
    </row>
    <row r="68" spans="1:65" s="65" customFormat="1" x14ac:dyDescent="0.3">
      <c r="A68" s="64" t="s">
        <v>772</v>
      </c>
      <c r="B68" s="87" t="s">
        <v>772</v>
      </c>
      <c r="C68" s="64" t="s">
        <v>772</v>
      </c>
      <c r="D68" s="64" t="s">
        <v>772</v>
      </c>
      <c r="E68" s="65" t="s">
        <v>1208</v>
      </c>
      <c r="F68" s="65" t="s">
        <v>7</v>
      </c>
      <c r="H68" s="64">
        <v>2000000</v>
      </c>
      <c r="I68" s="64"/>
      <c r="J68" s="79">
        <v>35.1</v>
      </c>
      <c r="K68" s="79">
        <v>14.85</v>
      </c>
      <c r="L68" s="64"/>
      <c r="M68" s="67"/>
      <c r="N68" s="67"/>
      <c r="O68" s="67"/>
      <c r="P68" s="64"/>
      <c r="Q68" s="64">
        <v>1312</v>
      </c>
      <c r="R68" s="64">
        <v>1124</v>
      </c>
      <c r="S68" s="64">
        <v>1106</v>
      </c>
      <c r="T68" s="64">
        <v>1110</v>
      </c>
      <c r="U68" s="64">
        <v>1173</v>
      </c>
      <c r="V68" s="64">
        <v>1236</v>
      </c>
      <c r="W68" s="64">
        <v>1335</v>
      </c>
      <c r="X68" s="64">
        <v>1250</v>
      </c>
      <c r="Y68" s="64">
        <v>1273</v>
      </c>
      <c r="Z68" s="64">
        <v>1131</v>
      </c>
      <c r="AA68" s="64">
        <v>1283</v>
      </c>
      <c r="AB68" s="64">
        <v>1411</v>
      </c>
      <c r="AC68" s="64">
        <v>1330</v>
      </c>
      <c r="AD68" s="64">
        <v>1220</v>
      </c>
      <c r="AE68" s="64">
        <v>1066</v>
      </c>
      <c r="AF68" s="64">
        <v>917.5</v>
      </c>
      <c r="AG68" s="64">
        <v>1214</v>
      </c>
      <c r="AH68" s="64">
        <v>982.8</v>
      </c>
      <c r="AI68" s="64">
        <v>982.8</v>
      </c>
      <c r="AJ68" s="69" t="s">
        <v>772</v>
      </c>
      <c r="AK68" s="69" t="s">
        <v>772</v>
      </c>
      <c r="AL68" s="69" t="s">
        <v>772</v>
      </c>
      <c r="AM68" s="70">
        <v>0.50138888888888888</v>
      </c>
      <c r="AN68" s="83" t="s">
        <v>772</v>
      </c>
      <c r="AO68" s="67" t="s">
        <v>772</v>
      </c>
      <c r="AS68" s="78"/>
      <c r="AT68" s="78"/>
      <c r="AU68" s="78"/>
      <c r="AV68" s="78"/>
      <c r="AW68" s="78"/>
      <c r="AX68" s="64">
        <v>808</v>
      </c>
      <c r="AY68" s="64">
        <v>734</v>
      </c>
      <c r="AZ68" s="64">
        <v>824</v>
      </c>
      <c r="BA68" s="64">
        <v>811</v>
      </c>
      <c r="BB68" s="64">
        <v>795</v>
      </c>
      <c r="BC68" s="64">
        <v>673</v>
      </c>
      <c r="BD68" s="64">
        <v>687</v>
      </c>
      <c r="BE68" s="64">
        <v>702</v>
      </c>
      <c r="BF68" s="64">
        <v>785</v>
      </c>
      <c r="BG68" s="64">
        <v>832</v>
      </c>
      <c r="BH68" s="64">
        <v>904</v>
      </c>
      <c r="BI68" s="64">
        <v>930</v>
      </c>
      <c r="BJ68" s="64">
        <v>915</v>
      </c>
      <c r="BK68" s="67"/>
    </row>
    <row r="69" spans="1:65" ht="12.5" x14ac:dyDescent="0.25">
      <c r="A69" s="2">
        <v>24</v>
      </c>
      <c r="B69" s="2">
        <v>23</v>
      </c>
      <c r="C69" s="2">
        <v>24</v>
      </c>
      <c r="D69" s="2">
        <v>23</v>
      </c>
      <c r="E69" t="s">
        <v>39</v>
      </c>
      <c r="F69" t="s">
        <v>7</v>
      </c>
      <c r="H69" s="2">
        <v>2000000</v>
      </c>
      <c r="J69" s="15">
        <v>66.55</v>
      </c>
      <c r="K69" s="15">
        <v>35.92</v>
      </c>
      <c r="P69" s="2">
        <v>1317</v>
      </c>
      <c r="Q69" s="2">
        <v>1423</v>
      </c>
      <c r="R69" s="2">
        <v>1436</v>
      </c>
      <c r="S69" s="2">
        <v>1508</v>
      </c>
      <c r="T69" s="2">
        <v>1460</v>
      </c>
      <c r="U69" s="2">
        <v>1533</v>
      </c>
      <c r="V69" s="2">
        <v>1521</v>
      </c>
      <c r="W69" s="2">
        <v>1593</v>
      </c>
      <c r="X69" s="2">
        <v>1448</v>
      </c>
      <c r="Y69" s="2">
        <v>1612</v>
      </c>
      <c r="Z69" s="2">
        <v>1584</v>
      </c>
      <c r="AA69" s="2">
        <v>1583</v>
      </c>
      <c r="AB69" s="2">
        <v>1670</v>
      </c>
      <c r="AC69" s="2">
        <v>1624</v>
      </c>
      <c r="AD69" s="2">
        <v>1661</v>
      </c>
      <c r="AE69" s="2">
        <v>1522</v>
      </c>
      <c r="AF69" s="2">
        <v>1707</v>
      </c>
      <c r="AG69" s="2">
        <v>1828</v>
      </c>
      <c r="AH69" s="2">
        <v>1852</v>
      </c>
      <c r="AI69" s="2" t="s">
        <v>772</v>
      </c>
      <c r="AJ69" s="2">
        <v>1846</v>
      </c>
      <c r="AK69" s="2" t="s">
        <v>772</v>
      </c>
      <c r="AL69" s="2" t="s">
        <v>772</v>
      </c>
      <c r="AM69" s="19">
        <v>0.33611111111111108</v>
      </c>
      <c r="AN69" s="57">
        <f>(8+(4/60))*AJ69</f>
        <v>14891.066666666666</v>
      </c>
      <c r="AO69">
        <v>2005</v>
      </c>
      <c r="AV69" s="11"/>
      <c r="AX69" s="8">
        <v>1864.963176</v>
      </c>
      <c r="AY69" s="8">
        <v>1717.608068</v>
      </c>
      <c r="AZ69" s="8">
        <v>1889.8825119999999</v>
      </c>
      <c r="BA69" s="8">
        <v>1846.681135</v>
      </c>
      <c r="BB69" s="8">
        <v>1815.0162789999999</v>
      </c>
      <c r="BC69" s="8">
        <v>1689.1683949999999</v>
      </c>
      <c r="BD69" s="8">
        <v>1869.9168199999999</v>
      </c>
      <c r="BE69" s="8">
        <v>1897.889457</v>
      </c>
      <c r="BF69" s="8">
        <v>2029.1436080000001</v>
      </c>
      <c r="BG69" s="8">
        <v>2031.7123099999999</v>
      </c>
      <c r="BH69" s="8">
        <v>2128.4706649999998</v>
      </c>
      <c r="BI69" s="8">
        <v>1985.7654110000001</v>
      </c>
      <c r="BJ69" s="8">
        <v>2066.01784</v>
      </c>
      <c r="BM69" s="2"/>
    </row>
    <row r="70" spans="1:65" s="65" customFormat="1" x14ac:dyDescent="0.3">
      <c r="A70" s="87" t="s">
        <v>772</v>
      </c>
      <c r="B70" s="87" t="s">
        <v>772</v>
      </c>
      <c r="C70" s="87" t="s">
        <v>772</v>
      </c>
      <c r="D70" s="87" t="s">
        <v>772</v>
      </c>
      <c r="E70" s="65" t="s">
        <v>1207</v>
      </c>
      <c r="F70" s="65" t="s">
        <v>7</v>
      </c>
      <c r="H70" s="64">
        <v>2000000</v>
      </c>
      <c r="I70" s="64"/>
      <c r="J70" s="66">
        <v>53.77</v>
      </c>
      <c r="K70" s="66">
        <v>26</v>
      </c>
      <c r="L70" s="64"/>
      <c r="M70" s="67"/>
      <c r="N70" s="67"/>
      <c r="O70" s="67"/>
      <c r="P70" s="64"/>
      <c r="Q70" s="64">
        <v>1022</v>
      </c>
      <c r="R70" s="64">
        <v>1044</v>
      </c>
      <c r="S70" s="64">
        <v>1097</v>
      </c>
      <c r="T70" s="64">
        <v>1047</v>
      </c>
      <c r="U70" s="64">
        <v>1089</v>
      </c>
      <c r="V70" s="64">
        <v>1065</v>
      </c>
      <c r="W70" s="64">
        <v>1138</v>
      </c>
      <c r="X70" s="64">
        <v>1048</v>
      </c>
      <c r="Y70" s="64">
        <v>1175</v>
      </c>
      <c r="Z70" s="64">
        <v>1167</v>
      </c>
      <c r="AA70" s="64">
        <v>1159</v>
      </c>
      <c r="AB70" s="64">
        <v>1220</v>
      </c>
      <c r="AC70" s="64">
        <v>1203</v>
      </c>
      <c r="AD70" s="64">
        <v>1245</v>
      </c>
      <c r="AE70" s="64">
        <v>1151</v>
      </c>
      <c r="AF70" s="64">
        <v>1321</v>
      </c>
      <c r="AG70" s="64">
        <v>1424</v>
      </c>
      <c r="AH70" s="64">
        <v>1505</v>
      </c>
      <c r="AI70" s="64" t="s">
        <v>772</v>
      </c>
      <c r="AJ70" s="64" t="s">
        <v>772</v>
      </c>
      <c r="AK70" s="69" t="s">
        <v>772</v>
      </c>
      <c r="AL70" s="69" t="s">
        <v>772</v>
      </c>
      <c r="AM70" s="70">
        <v>0.36388888888888887</v>
      </c>
      <c r="AN70" s="64" t="s">
        <v>772</v>
      </c>
      <c r="AO70" s="67" t="s">
        <v>772</v>
      </c>
      <c r="AS70" s="78"/>
      <c r="AT70" s="78"/>
      <c r="AU70" s="78"/>
      <c r="AV70" s="88"/>
      <c r="AX70" s="84">
        <v>826.30406300000004</v>
      </c>
      <c r="AY70" s="84">
        <v>724.39842599999997</v>
      </c>
      <c r="AZ70" s="84">
        <v>820.59456499999999</v>
      </c>
      <c r="BA70" s="84">
        <v>809.85747300000003</v>
      </c>
      <c r="BB70" s="84">
        <v>860.72620500000005</v>
      </c>
      <c r="BC70" s="84">
        <v>848.14286400000003</v>
      </c>
      <c r="BD70" s="84">
        <v>950.06540500000006</v>
      </c>
      <c r="BE70" s="84">
        <v>925.198714</v>
      </c>
      <c r="BF70" s="84">
        <v>981.83465000000001</v>
      </c>
      <c r="BG70" s="84">
        <v>999.40998100000002</v>
      </c>
      <c r="BH70" s="84">
        <v>1061.4133429999999</v>
      </c>
      <c r="BI70" s="84">
        <v>1103.3240040000001</v>
      </c>
      <c r="BJ70" s="84">
        <v>1179.8600160000001</v>
      </c>
      <c r="BK70" s="67"/>
    </row>
    <row r="71" spans="1:65" ht="12.5" x14ac:dyDescent="0.25">
      <c r="A71" s="2">
        <v>31</v>
      </c>
      <c r="B71" s="2">
        <v>30</v>
      </c>
      <c r="C71" s="2">
        <v>25</v>
      </c>
      <c r="D71" s="2">
        <v>24</v>
      </c>
      <c r="E71" t="s">
        <v>58</v>
      </c>
      <c r="F71" t="s">
        <v>6</v>
      </c>
      <c r="G71" t="s">
        <v>1233</v>
      </c>
      <c r="H71" s="2" t="s">
        <v>6</v>
      </c>
      <c r="J71" s="15">
        <v>50.21</v>
      </c>
      <c r="K71" s="15">
        <v>39.44</v>
      </c>
      <c r="P71" s="2">
        <v>1095</v>
      </c>
      <c r="Q71" s="2">
        <v>1170</v>
      </c>
      <c r="R71" s="2">
        <v>1298</v>
      </c>
      <c r="S71" s="2">
        <v>1286</v>
      </c>
      <c r="T71" s="2">
        <v>1161</v>
      </c>
      <c r="U71" s="2">
        <v>1121</v>
      </c>
      <c r="V71" s="2">
        <v>1071</v>
      </c>
      <c r="W71" s="2">
        <v>1055</v>
      </c>
      <c r="X71" s="2">
        <v>1008</v>
      </c>
      <c r="Y71" s="2">
        <v>1111</v>
      </c>
      <c r="Z71" s="2">
        <v>1096</v>
      </c>
      <c r="AA71" s="2">
        <v>1016</v>
      </c>
      <c r="AB71" s="2">
        <v>1000</v>
      </c>
      <c r="AE71" s="2">
        <v>897.8</v>
      </c>
      <c r="AF71" s="2">
        <v>1280</v>
      </c>
      <c r="AG71" s="2">
        <v>1341</v>
      </c>
      <c r="AH71" s="2">
        <v>1405</v>
      </c>
      <c r="AI71" s="2" t="s">
        <v>772</v>
      </c>
      <c r="AJ71" s="2" t="s">
        <v>772</v>
      </c>
      <c r="AK71" s="2" t="s">
        <v>772</v>
      </c>
      <c r="AL71" s="2" t="s">
        <v>772</v>
      </c>
      <c r="AM71" s="19">
        <v>0.31597222222222221</v>
      </c>
      <c r="AN71" s="57">
        <f>(7+(35/60))*AH71</f>
        <v>10654.583333333332</v>
      </c>
      <c r="AX71" s="8">
        <v>2679.828368</v>
      </c>
      <c r="AY71" s="8">
        <v>2381.0986480000001</v>
      </c>
      <c r="AZ71" s="8">
        <v>2621.7744560000001</v>
      </c>
      <c r="BA71" s="8">
        <v>2767.5447610000001</v>
      </c>
      <c r="BB71" s="8">
        <v>2812.636927</v>
      </c>
      <c r="BC71" s="8">
        <v>2705.6786229999998</v>
      </c>
      <c r="BD71" s="8">
        <v>2653.7896949999999</v>
      </c>
      <c r="BE71" s="8">
        <v>2693.2647609999999</v>
      </c>
      <c r="BF71" s="8">
        <v>2687.0294749999998</v>
      </c>
      <c r="BG71" s="8">
        <v>2964.8757740000001</v>
      </c>
      <c r="BH71" s="8">
        <v>2882.2098719999999</v>
      </c>
      <c r="BI71" s="8">
        <v>2599.618892</v>
      </c>
      <c r="BJ71" s="8">
        <v>2854.4972550000002</v>
      </c>
    </row>
    <row r="72" spans="1:65" s="65" customFormat="1" x14ac:dyDescent="0.3">
      <c r="A72" s="87"/>
      <c r="B72" s="87"/>
      <c r="C72" s="87">
        <v>97</v>
      </c>
      <c r="D72" s="87" t="s">
        <v>772</v>
      </c>
      <c r="E72" s="65" t="s">
        <v>1554</v>
      </c>
      <c r="F72" s="65" t="s">
        <v>6</v>
      </c>
      <c r="G72" s="65" t="s">
        <v>1233</v>
      </c>
      <c r="H72" s="64"/>
      <c r="I72" s="64"/>
      <c r="J72" s="66"/>
      <c r="K72" s="66"/>
      <c r="L72" s="64"/>
      <c r="M72" s="67"/>
      <c r="N72" s="67"/>
      <c r="O72" s="67"/>
      <c r="P72" s="64"/>
      <c r="Q72" s="64">
        <v>295.10000000000002</v>
      </c>
      <c r="R72" s="64">
        <v>309.2</v>
      </c>
      <c r="S72" s="64">
        <v>311.60000000000002</v>
      </c>
      <c r="T72" s="64">
        <v>285.5</v>
      </c>
      <c r="U72" s="64">
        <v>294.8</v>
      </c>
      <c r="V72" s="64">
        <v>309.39999999999998</v>
      </c>
      <c r="W72" s="64">
        <v>292.3</v>
      </c>
      <c r="X72" s="64">
        <v>275.60000000000002</v>
      </c>
      <c r="Y72" s="64">
        <v>319</v>
      </c>
      <c r="Z72" s="64">
        <v>361.5</v>
      </c>
      <c r="AA72" s="64">
        <v>339.1</v>
      </c>
      <c r="AB72" s="64">
        <v>314.60000000000002</v>
      </c>
      <c r="AC72" s="64"/>
      <c r="AD72" s="64"/>
      <c r="AE72" s="64"/>
      <c r="AF72" s="64"/>
      <c r="AG72" s="64"/>
      <c r="AH72" s="64"/>
      <c r="AI72" s="64"/>
      <c r="AJ72" s="64"/>
      <c r="AK72" s="69"/>
      <c r="AL72" s="69"/>
      <c r="AM72" s="70"/>
      <c r="AN72" s="64"/>
      <c r="AO72" s="67"/>
      <c r="AS72" s="78"/>
      <c r="AT72" s="78"/>
      <c r="AU72" s="78"/>
      <c r="AV72" s="88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67"/>
    </row>
    <row r="73" spans="1:65" ht="12.5" x14ac:dyDescent="0.25">
      <c r="A73" s="2">
        <v>347</v>
      </c>
      <c r="B73" s="2">
        <v>367</v>
      </c>
      <c r="C73" s="2">
        <v>26</v>
      </c>
      <c r="D73" s="2">
        <v>25</v>
      </c>
      <c r="E73" t="s">
        <v>414</v>
      </c>
      <c r="F73" t="s">
        <v>715</v>
      </c>
      <c r="H73" s="2">
        <v>5260</v>
      </c>
      <c r="J73" s="15">
        <v>32.090000000000003</v>
      </c>
      <c r="K73" s="15">
        <v>13.55</v>
      </c>
      <c r="P73" s="2">
        <v>1198</v>
      </c>
      <c r="Q73" s="2">
        <v>1276</v>
      </c>
      <c r="R73" s="2">
        <v>1352</v>
      </c>
      <c r="S73" s="2">
        <v>1322</v>
      </c>
      <c r="T73" s="2">
        <v>1265</v>
      </c>
      <c r="U73" s="2">
        <v>1308</v>
      </c>
      <c r="V73" s="2">
        <v>1219</v>
      </c>
      <c r="W73" s="2">
        <v>1249</v>
      </c>
      <c r="X73" s="2">
        <v>1180</v>
      </c>
      <c r="Y73" s="2">
        <v>1369</v>
      </c>
      <c r="Z73" s="2">
        <v>1246</v>
      </c>
      <c r="AA73" s="2">
        <v>1208</v>
      </c>
      <c r="AB73" s="1">
        <v>1318</v>
      </c>
      <c r="AE73" s="2">
        <v>1162</v>
      </c>
      <c r="AF73" s="2">
        <v>1097</v>
      </c>
      <c r="AG73" s="2">
        <v>1165</v>
      </c>
      <c r="AH73" s="2">
        <v>898.6</v>
      </c>
      <c r="AI73" s="14" t="s">
        <v>772</v>
      </c>
      <c r="AJ73" s="14" t="s">
        <v>772</v>
      </c>
      <c r="AK73" s="14" t="s">
        <v>772</v>
      </c>
      <c r="AL73" s="14" t="s">
        <v>772</v>
      </c>
      <c r="AM73" s="19">
        <v>0.86388888888888893</v>
      </c>
      <c r="AN73" s="8">
        <f>(20+(44/60))*AH73</f>
        <v>18630.973333333335</v>
      </c>
      <c r="AX73" s="8">
        <v>255.47768199999999</v>
      </c>
      <c r="AY73" s="8">
        <v>219.208091</v>
      </c>
      <c r="AZ73" s="8">
        <v>263.58977800000002</v>
      </c>
      <c r="BA73" s="8">
        <v>243.66030900000001</v>
      </c>
      <c r="BB73" s="8">
        <v>252.06861000000001</v>
      </c>
      <c r="BC73" s="8">
        <v>260.33903500000002</v>
      </c>
      <c r="BD73" s="8">
        <v>174.21491900000001</v>
      </c>
      <c r="BE73" s="8">
        <v>162.81508199999999</v>
      </c>
      <c r="BF73" s="8">
        <v>227.10964999999999</v>
      </c>
      <c r="BG73" s="8">
        <v>229.062363</v>
      </c>
      <c r="BH73" s="8">
        <v>282.15379899999999</v>
      </c>
      <c r="BI73" s="8">
        <v>307.255292</v>
      </c>
      <c r="BJ73" s="8">
        <v>286.84138400000001</v>
      </c>
    </row>
    <row r="74" spans="1:65" s="65" customFormat="1" x14ac:dyDescent="0.3">
      <c r="A74" s="87"/>
      <c r="B74" s="87"/>
      <c r="C74" s="87">
        <v>656</v>
      </c>
      <c r="D74" s="87" t="s">
        <v>772</v>
      </c>
      <c r="E74" s="65" t="s">
        <v>1788</v>
      </c>
      <c r="H74" s="64"/>
      <c r="I74" s="64"/>
      <c r="J74" s="66"/>
      <c r="K74" s="66"/>
      <c r="L74" s="64"/>
      <c r="M74" s="67"/>
      <c r="N74" s="67"/>
      <c r="O74" s="67"/>
      <c r="P74" s="64"/>
      <c r="Q74" s="64">
        <v>73.86</v>
      </c>
      <c r="R74" s="64">
        <v>80.709999999999994</v>
      </c>
      <c r="S74" s="64">
        <v>76.150000000000006</v>
      </c>
      <c r="T74" s="64">
        <v>67.41</v>
      </c>
      <c r="U74" s="64">
        <v>68.81</v>
      </c>
      <c r="V74" s="64">
        <v>67.23</v>
      </c>
      <c r="W74" s="64">
        <v>69.22</v>
      </c>
      <c r="X74" s="64">
        <v>72.8</v>
      </c>
      <c r="Y74" s="64">
        <v>85.56</v>
      </c>
      <c r="Z74" s="64">
        <v>82.57</v>
      </c>
      <c r="AA74" s="64">
        <v>65.88</v>
      </c>
      <c r="AB74" s="64">
        <v>59.86</v>
      </c>
      <c r="AC74" s="64"/>
      <c r="AD74" s="64"/>
      <c r="AE74" s="64"/>
      <c r="AF74" s="64"/>
      <c r="AG74" s="64"/>
      <c r="AH74" s="64"/>
      <c r="AI74" s="64"/>
      <c r="AJ74" s="64"/>
      <c r="AK74" s="69"/>
      <c r="AL74" s="69"/>
      <c r="AM74" s="70"/>
      <c r="AN74" s="64"/>
      <c r="AO74" s="67"/>
      <c r="AS74" s="78"/>
      <c r="AT74" s="78"/>
      <c r="AU74" s="78"/>
      <c r="AV74" s="88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67"/>
    </row>
    <row r="75" spans="1:65" ht="12.5" x14ac:dyDescent="0.25">
      <c r="A75" s="2">
        <v>28</v>
      </c>
      <c r="B75" s="2">
        <v>29</v>
      </c>
      <c r="C75" s="2">
        <v>27</v>
      </c>
      <c r="D75" s="2">
        <v>26</v>
      </c>
      <c r="E75" t="s">
        <v>123</v>
      </c>
      <c r="F75" t="s">
        <v>688</v>
      </c>
      <c r="G75" t="s">
        <v>1279</v>
      </c>
      <c r="H75" s="2">
        <v>84130</v>
      </c>
      <c r="J75" s="15">
        <v>8.7490000000000006</v>
      </c>
      <c r="K75" s="15">
        <v>7.01</v>
      </c>
      <c r="P75" s="2">
        <v>1365</v>
      </c>
      <c r="Q75" s="2">
        <v>1450</v>
      </c>
      <c r="R75" s="2">
        <v>1782</v>
      </c>
      <c r="S75" s="2">
        <v>1706</v>
      </c>
      <c r="T75" s="2">
        <v>1395</v>
      </c>
      <c r="U75" s="2">
        <v>1437</v>
      </c>
      <c r="V75" s="2">
        <v>1253</v>
      </c>
      <c r="W75" s="2">
        <v>1260</v>
      </c>
      <c r="X75" s="2">
        <v>990.6</v>
      </c>
      <c r="Y75" s="2">
        <v>1077</v>
      </c>
      <c r="Z75" s="2">
        <v>817.1</v>
      </c>
      <c r="AA75" s="2">
        <v>689.2</v>
      </c>
      <c r="AB75" s="2">
        <v>678.5</v>
      </c>
      <c r="AE75" s="2">
        <v>589.79999999999995</v>
      </c>
      <c r="AF75" s="2">
        <v>442.8</v>
      </c>
      <c r="AG75" s="2">
        <v>302.60000000000002</v>
      </c>
      <c r="AH75" s="2">
        <v>244.9</v>
      </c>
      <c r="AI75" s="14" t="s">
        <v>772</v>
      </c>
      <c r="AJ75" s="2">
        <v>212.1</v>
      </c>
      <c r="AK75" s="2" t="s">
        <v>772</v>
      </c>
      <c r="AL75" s="2" t="s">
        <v>772</v>
      </c>
      <c r="AM75" s="19">
        <v>0.20555555555555557</v>
      </c>
      <c r="AN75" s="8">
        <f>(4+(56/60))*AJ75</f>
        <v>1046.3600000000001</v>
      </c>
      <c r="AX75" s="8">
        <v>380.517675</v>
      </c>
      <c r="AY75" s="8">
        <v>420.99044900000001</v>
      </c>
      <c r="AZ75" s="8">
        <v>404.519723</v>
      </c>
      <c r="BA75" s="8">
        <v>362.95341300000001</v>
      </c>
      <c r="BB75" s="8">
        <v>341.467534</v>
      </c>
      <c r="BC75" s="8">
        <v>296.19216499999999</v>
      </c>
      <c r="BD75" s="8">
        <v>265.29326800000001</v>
      </c>
      <c r="BE75" s="8">
        <v>256.31611700000002</v>
      </c>
      <c r="BF75" s="8">
        <v>269.64378499999998</v>
      </c>
      <c r="BG75" s="8">
        <v>161.789739</v>
      </c>
      <c r="BH75" s="8">
        <v>116.822216</v>
      </c>
      <c r="BI75" s="8">
        <v>104.52454</v>
      </c>
      <c r="BJ75" s="8">
        <v>99.960665000000006</v>
      </c>
    </row>
    <row r="76" spans="1:65" ht="12.5" x14ac:dyDescent="0.25">
      <c r="A76" s="2">
        <v>36</v>
      </c>
      <c r="B76" s="2">
        <v>37</v>
      </c>
      <c r="C76" s="2">
        <v>28</v>
      </c>
      <c r="D76" s="2">
        <v>29</v>
      </c>
      <c r="E76" t="s">
        <v>44</v>
      </c>
      <c r="F76" t="s">
        <v>519</v>
      </c>
      <c r="G76" t="s">
        <v>1289</v>
      </c>
      <c r="H76" s="2">
        <v>152910</v>
      </c>
      <c r="J76" s="15">
        <v>46.11</v>
      </c>
      <c r="K76" s="15">
        <v>24.61</v>
      </c>
      <c r="P76" s="2">
        <v>1381</v>
      </c>
      <c r="Q76" s="2">
        <v>1477</v>
      </c>
      <c r="R76" s="2">
        <v>1608</v>
      </c>
      <c r="S76" s="2">
        <v>1635</v>
      </c>
      <c r="T76" s="2">
        <v>1544</v>
      </c>
      <c r="U76" s="2">
        <v>1505</v>
      </c>
      <c r="V76" s="2">
        <v>1603</v>
      </c>
      <c r="W76" s="2">
        <v>1667</v>
      </c>
      <c r="X76" s="2">
        <v>1622</v>
      </c>
      <c r="Y76" s="2">
        <v>2104</v>
      </c>
      <c r="Z76" s="2">
        <v>2045</v>
      </c>
      <c r="AA76" s="2">
        <v>1926</v>
      </c>
      <c r="AB76" s="2">
        <v>1817</v>
      </c>
      <c r="AC76" s="2">
        <v>1736</v>
      </c>
      <c r="AD76" s="2">
        <v>1813</v>
      </c>
      <c r="AE76" s="2">
        <v>1619</v>
      </c>
      <c r="AF76" s="2">
        <v>1652</v>
      </c>
      <c r="AG76" s="2">
        <v>1316</v>
      </c>
      <c r="AH76" s="2">
        <v>1375</v>
      </c>
      <c r="AI76" s="2" t="s">
        <v>772</v>
      </c>
      <c r="AJ76" s="2">
        <v>1390</v>
      </c>
      <c r="AK76" s="2" t="s">
        <v>772</v>
      </c>
      <c r="AL76" s="2" t="s">
        <v>772</v>
      </c>
      <c r="AM76" s="19">
        <v>0.2298611111111111</v>
      </c>
      <c r="AN76" s="8">
        <f>(5+(31/60))*AJ76</f>
        <v>7668.166666666667</v>
      </c>
      <c r="AO76">
        <v>1997</v>
      </c>
      <c r="AX76" s="8">
        <v>1435.6338330000001</v>
      </c>
      <c r="AY76" s="8">
        <v>1545.101314</v>
      </c>
      <c r="AZ76" s="8">
        <v>1460.321179</v>
      </c>
      <c r="BA76" s="8">
        <v>1413.0307330000001</v>
      </c>
      <c r="BB76" s="8">
        <v>1375.825542</v>
      </c>
      <c r="BC76" s="8">
        <v>1281.951184</v>
      </c>
      <c r="BD76" s="8">
        <v>1522.9679389999999</v>
      </c>
      <c r="BE76" s="8">
        <v>1528.8113189999999</v>
      </c>
      <c r="BF76" s="8">
        <v>1508.7252080000001</v>
      </c>
      <c r="BG76" s="8">
        <v>1499.9739079999999</v>
      </c>
      <c r="BH76" s="8">
        <v>1599.604767</v>
      </c>
      <c r="BI76" s="8">
        <v>1515.5638019999999</v>
      </c>
      <c r="BJ76" s="8">
        <v>1697.100586</v>
      </c>
    </row>
    <row r="77" spans="1:65" ht="12.5" x14ac:dyDescent="0.25">
      <c r="A77" s="2">
        <v>785</v>
      </c>
      <c r="B77" s="2">
        <v>407</v>
      </c>
      <c r="C77" s="2">
        <v>29</v>
      </c>
      <c r="D77" s="2">
        <v>28</v>
      </c>
      <c r="E77" t="s">
        <v>776</v>
      </c>
      <c r="F77" t="s">
        <v>1245</v>
      </c>
      <c r="H77" s="2">
        <v>1700</v>
      </c>
      <c r="J77" s="54">
        <v>39.619999999999997</v>
      </c>
      <c r="K77" s="54">
        <v>18.62</v>
      </c>
      <c r="P77" s="2">
        <v>849.8</v>
      </c>
      <c r="Q77" s="2">
        <v>908.4</v>
      </c>
      <c r="R77" s="2">
        <v>968.3</v>
      </c>
      <c r="S77" s="2">
        <v>983.6</v>
      </c>
      <c r="T77" s="2">
        <v>996.4</v>
      </c>
      <c r="U77" s="2">
        <v>1008</v>
      </c>
      <c r="V77" s="2">
        <v>971.2</v>
      </c>
      <c r="W77" s="2">
        <v>1007</v>
      </c>
      <c r="X77" s="2">
        <v>923.9</v>
      </c>
      <c r="Y77" s="2">
        <v>1100</v>
      </c>
      <c r="Z77" s="2">
        <v>1113</v>
      </c>
      <c r="AA77" s="2">
        <v>1137</v>
      </c>
      <c r="AB77" s="2">
        <v>1173</v>
      </c>
      <c r="AE77" s="1">
        <v>991</v>
      </c>
      <c r="AF77" s="2">
        <v>1117</v>
      </c>
      <c r="AG77" s="2">
        <v>1085</v>
      </c>
      <c r="AH77" s="2">
        <v>1109</v>
      </c>
      <c r="AI77" s="2" t="s">
        <v>772</v>
      </c>
      <c r="AJ77" s="2">
        <v>1162</v>
      </c>
      <c r="AK77" s="2" t="s">
        <v>772</v>
      </c>
      <c r="AL77" s="2" t="s">
        <v>772</v>
      </c>
      <c r="AM77" s="19">
        <v>0.52500000000000002</v>
      </c>
      <c r="AN77" s="8">
        <f>(12+(36/60))*AJ77</f>
        <v>14641.199999999999</v>
      </c>
      <c r="AO77">
        <v>2006</v>
      </c>
      <c r="AX77" s="8">
        <v>1278.553795</v>
      </c>
      <c r="AY77" s="8">
        <v>1202.441161</v>
      </c>
      <c r="AZ77" s="8">
        <v>1299.942759</v>
      </c>
      <c r="BA77" s="8">
        <v>1129.355448</v>
      </c>
      <c r="BB77" s="8">
        <v>1486.663939</v>
      </c>
      <c r="BC77" s="8">
        <v>1265.4689410000001</v>
      </c>
      <c r="BD77" s="8">
        <v>1349.1682920000001</v>
      </c>
      <c r="BE77" s="8">
        <v>1488.1335790000001</v>
      </c>
      <c r="BF77" s="8">
        <v>1538.3773160000001</v>
      </c>
      <c r="BG77" s="8">
        <v>1560.220599</v>
      </c>
      <c r="BH77" s="8">
        <v>1642.6299200000001</v>
      </c>
      <c r="BI77" s="8">
        <v>1545.5089800000001</v>
      </c>
      <c r="BJ77" s="8">
        <v>1512.9513549999999</v>
      </c>
    </row>
    <row r="78" spans="1:65" ht="12.5" x14ac:dyDescent="0.25">
      <c r="A78" s="2">
        <v>21</v>
      </c>
      <c r="B78" s="2">
        <v>21</v>
      </c>
      <c r="C78" s="2">
        <v>30</v>
      </c>
      <c r="D78" s="2">
        <v>30</v>
      </c>
      <c r="E78" s="163" t="s">
        <v>33</v>
      </c>
      <c r="F78" t="s">
        <v>6</v>
      </c>
      <c r="G78" t="s">
        <v>1233</v>
      </c>
      <c r="H78" s="2">
        <v>1000</v>
      </c>
      <c r="J78" s="54">
        <v>74.41</v>
      </c>
      <c r="K78" s="54">
        <v>54.03</v>
      </c>
      <c r="N78" s="1" t="s">
        <v>16</v>
      </c>
      <c r="P78" s="2">
        <v>665.1</v>
      </c>
      <c r="Q78" s="2">
        <v>705.7</v>
      </c>
      <c r="R78" s="2">
        <v>813.3</v>
      </c>
      <c r="S78" s="2">
        <v>806.6</v>
      </c>
      <c r="T78" s="2">
        <v>740.4</v>
      </c>
      <c r="U78" s="2">
        <v>736.3</v>
      </c>
      <c r="V78" s="2">
        <v>697</v>
      </c>
      <c r="W78" s="2">
        <v>696</v>
      </c>
      <c r="X78" s="2">
        <v>682.2</v>
      </c>
      <c r="Y78" s="2">
        <v>778.8</v>
      </c>
      <c r="Z78" s="2">
        <v>817.4</v>
      </c>
      <c r="AA78" s="2">
        <v>781.3</v>
      </c>
      <c r="AB78" s="2">
        <v>807.3</v>
      </c>
      <c r="AE78" s="2">
        <v>657.4</v>
      </c>
      <c r="AF78" s="2">
        <v>2120</v>
      </c>
      <c r="AG78" s="2">
        <v>1980</v>
      </c>
      <c r="AH78" s="2">
        <v>2083</v>
      </c>
      <c r="AI78" s="2" t="s">
        <v>772</v>
      </c>
      <c r="AJ78" s="2">
        <v>2157</v>
      </c>
      <c r="AK78" s="2" t="s">
        <v>772</v>
      </c>
      <c r="AL78" s="2" t="s">
        <v>772</v>
      </c>
      <c r="AM78" s="19">
        <v>0.3</v>
      </c>
      <c r="AN78" s="57">
        <f>(7+(12/60))*AJ78</f>
        <v>15530.4</v>
      </c>
      <c r="AO78">
        <v>1997</v>
      </c>
      <c r="AX78" s="2">
        <v>4121</v>
      </c>
      <c r="AY78" s="2">
        <v>3606</v>
      </c>
      <c r="AZ78" s="2">
        <v>4044</v>
      </c>
      <c r="BA78" s="2">
        <v>4330</v>
      </c>
      <c r="BB78" s="2">
        <v>4276</v>
      </c>
      <c r="BC78" s="2">
        <v>3622</v>
      </c>
      <c r="BD78" s="2">
        <v>4186</v>
      </c>
      <c r="BE78" s="2">
        <v>3870</v>
      </c>
      <c r="BF78" s="2">
        <v>4341</v>
      </c>
      <c r="BG78" s="2">
        <v>4627</v>
      </c>
      <c r="BH78" s="2">
        <v>4211</v>
      </c>
      <c r="BI78" s="2">
        <v>4212</v>
      </c>
      <c r="BJ78" s="2">
        <v>4566</v>
      </c>
    </row>
    <row r="79" spans="1:65" s="166" customFormat="1" x14ac:dyDescent="0.3">
      <c r="A79" s="164" t="s">
        <v>772</v>
      </c>
      <c r="B79" s="164" t="s">
        <v>772</v>
      </c>
      <c r="C79" s="164">
        <v>166</v>
      </c>
      <c r="D79" s="164" t="s">
        <v>772</v>
      </c>
      <c r="E79" s="165" t="s">
        <v>1612</v>
      </c>
      <c r="F79" s="166" t="s">
        <v>6</v>
      </c>
      <c r="G79" s="166" t="s">
        <v>1233</v>
      </c>
      <c r="H79" s="164"/>
      <c r="I79" s="164"/>
      <c r="J79" s="167"/>
      <c r="K79" s="167"/>
      <c r="L79" s="164"/>
      <c r="M79" s="168"/>
      <c r="N79" s="168"/>
      <c r="O79" s="168"/>
      <c r="P79" s="164"/>
      <c r="Q79" s="164">
        <v>131.80000000000001</v>
      </c>
      <c r="R79" s="164">
        <v>151</v>
      </c>
      <c r="S79" s="164">
        <v>156.9</v>
      </c>
      <c r="T79" s="164">
        <v>147.6</v>
      </c>
      <c r="U79" s="164">
        <v>155.19999999999999</v>
      </c>
      <c r="V79" s="164">
        <v>142.30000000000001</v>
      </c>
      <c r="W79" s="164">
        <v>156.4</v>
      </c>
      <c r="X79" s="164">
        <v>145.5</v>
      </c>
      <c r="Y79" s="164">
        <v>167</v>
      </c>
      <c r="Z79" s="164">
        <v>170.7</v>
      </c>
      <c r="AA79" s="164">
        <v>155.5</v>
      </c>
      <c r="AB79" s="164">
        <v>161.5</v>
      </c>
      <c r="AC79" s="168"/>
      <c r="AD79" s="168"/>
      <c r="AE79" s="164"/>
      <c r="AF79" s="164"/>
      <c r="AG79" s="164"/>
      <c r="AH79" s="164"/>
      <c r="AI79" s="164"/>
      <c r="AJ79" s="164"/>
      <c r="AK79" s="164"/>
      <c r="AL79" s="164"/>
      <c r="AM79" s="169"/>
      <c r="AN79" s="170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8"/>
    </row>
    <row r="80" spans="1:65" s="166" customFormat="1" x14ac:dyDescent="0.3">
      <c r="A80" s="164" t="s">
        <v>772</v>
      </c>
      <c r="B80" s="164" t="s">
        <v>772</v>
      </c>
      <c r="C80" s="164">
        <v>386</v>
      </c>
      <c r="D80" s="164" t="s">
        <v>772</v>
      </c>
      <c r="E80" s="172" t="s">
        <v>1756</v>
      </c>
      <c r="H80" s="164"/>
      <c r="I80" s="164"/>
      <c r="J80" s="167"/>
      <c r="K80" s="167"/>
      <c r="L80" s="164"/>
      <c r="M80" s="168"/>
      <c r="N80" s="168"/>
      <c r="O80" s="168"/>
      <c r="P80" s="164"/>
      <c r="Q80" s="164">
        <v>74.81</v>
      </c>
      <c r="R80" s="164">
        <v>87.93</v>
      </c>
      <c r="S80" s="164">
        <v>76.3</v>
      </c>
      <c r="T80" s="164">
        <v>71</v>
      </c>
      <c r="U80" s="164">
        <v>73.55</v>
      </c>
      <c r="V80" s="164">
        <v>71.040000000000006</v>
      </c>
      <c r="W80" s="164">
        <v>42.44</v>
      </c>
      <c r="X80" s="164">
        <v>38.130000000000003</v>
      </c>
      <c r="Y80" s="164">
        <v>60.56</v>
      </c>
      <c r="Z80" s="164">
        <v>62.06</v>
      </c>
      <c r="AA80" s="164">
        <v>36.31</v>
      </c>
      <c r="AB80" s="164">
        <v>65.84</v>
      </c>
      <c r="AC80" s="168"/>
      <c r="AD80" s="168"/>
      <c r="AE80" s="164"/>
      <c r="AF80" s="164"/>
      <c r="AG80" s="164"/>
      <c r="AH80" s="164"/>
      <c r="AI80" s="164"/>
      <c r="AJ80" s="164"/>
      <c r="AK80" s="164"/>
      <c r="AL80" s="164"/>
      <c r="AM80" s="169"/>
      <c r="AN80" s="170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8"/>
    </row>
    <row r="81" spans="1:64" s="166" customFormat="1" x14ac:dyDescent="0.3">
      <c r="A81" s="164" t="s">
        <v>772</v>
      </c>
      <c r="B81" s="164" t="s">
        <v>772</v>
      </c>
      <c r="C81" s="164">
        <v>157</v>
      </c>
      <c r="D81" s="164" t="s">
        <v>772</v>
      </c>
      <c r="E81" s="172" t="s">
        <v>1631</v>
      </c>
      <c r="H81" s="164"/>
      <c r="I81" s="164"/>
      <c r="J81" s="167"/>
      <c r="K81" s="167"/>
      <c r="L81" s="164"/>
      <c r="M81" s="168"/>
      <c r="N81" s="168"/>
      <c r="O81" s="168"/>
      <c r="P81" s="164"/>
      <c r="Q81" s="164">
        <v>150.30000000000001</v>
      </c>
      <c r="R81" s="164">
        <v>136.30000000000001</v>
      </c>
      <c r="S81" s="164">
        <v>135.9</v>
      </c>
      <c r="T81" s="164">
        <v>110.7</v>
      </c>
      <c r="U81" s="164">
        <v>110.3</v>
      </c>
      <c r="V81" s="164">
        <v>107.5</v>
      </c>
      <c r="W81" s="164">
        <v>128.19999999999999</v>
      </c>
      <c r="X81" s="164">
        <v>125.7</v>
      </c>
      <c r="Y81" s="164">
        <v>188</v>
      </c>
      <c r="Z81" s="164">
        <v>231</v>
      </c>
      <c r="AA81" s="164">
        <v>253.1</v>
      </c>
      <c r="AB81" s="164">
        <v>328.5</v>
      </c>
      <c r="AC81" s="168"/>
      <c r="AD81" s="168"/>
      <c r="AE81" s="164"/>
      <c r="AF81" s="164"/>
      <c r="AG81" s="164"/>
      <c r="AH81" s="164"/>
      <c r="AI81" s="164"/>
      <c r="AJ81" s="164"/>
      <c r="AK81" s="164"/>
      <c r="AL81" s="164"/>
      <c r="AM81" s="169"/>
      <c r="AN81" s="170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8"/>
    </row>
    <row r="82" spans="1:64" ht="12.5" x14ac:dyDescent="0.25">
      <c r="A82" s="2">
        <v>39</v>
      </c>
      <c r="B82" s="2">
        <v>40</v>
      </c>
      <c r="C82" s="2">
        <v>31</v>
      </c>
      <c r="D82" s="2">
        <v>32</v>
      </c>
      <c r="E82" s="163" t="s">
        <v>73</v>
      </c>
      <c r="F82" t="s">
        <v>7</v>
      </c>
      <c r="G82" t="s">
        <v>1543</v>
      </c>
      <c r="H82" s="2">
        <v>2000000</v>
      </c>
      <c r="I82" s="2">
        <v>739.4</v>
      </c>
      <c r="J82" s="15">
        <v>26.41</v>
      </c>
      <c r="K82" s="15">
        <v>19.96</v>
      </c>
      <c r="P82" s="2">
        <v>1122</v>
      </c>
      <c r="Q82" s="2">
        <v>1220</v>
      </c>
      <c r="R82" s="2">
        <v>1171</v>
      </c>
      <c r="S82" s="2">
        <v>1169</v>
      </c>
      <c r="T82" s="2">
        <v>1178</v>
      </c>
      <c r="U82" s="2">
        <v>1209</v>
      </c>
      <c r="V82" s="2">
        <v>1187</v>
      </c>
      <c r="W82" s="2">
        <v>1243</v>
      </c>
      <c r="X82" s="2">
        <v>1154</v>
      </c>
      <c r="Y82" s="2">
        <v>1231</v>
      </c>
      <c r="Z82" s="2">
        <v>1182</v>
      </c>
      <c r="AA82" s="2">
        <v>1269</v>
      </c>
      <c r="AB82" s="2">
        <v>1328</v>
      </c>
      <c r="AE82" s="2">
        <v>1027</v>
      </c>
      <c r="AF82" s="2">
        <v>880.2</v>
      </c>
      <c r="AG82" s="2">
        <v>965.4</v>
      </c>
      <c r="AH82" s="2">
        <v>739.4</v>
      </c>
      <c r="AI82" s="2">
        <v>721.3</v>
      </c>
      <c r="AJ82" s="2">
        <v>729.4</v>
      </c>
      <c r="AK82" s="2" t="s">
        <v>772</v>
      </c>
      <c r="AL82" s="2" t="s">
        <v>772</v>
      </c>
      <c r="AM82" s="19">
        <v>0.18402777777777779</v>
      </c>
      <c r="AN82" s="57">
        <f>(4+(25/60))*AJ82</f>
        <v>3221.5166666666669</v>
      </c>
      <c r="AV82" t="s">
        <v>283</v>
      </c>
      <c r="AX82" s="8">
        <v>1714.7534479999999</v>
      </c>
      <c r="AY82" s="8">
        <v>1666.4195850000001</v>
      </c>
      <c r="AZ82" s="8">
        <v>1768.5094529999999</v>
      </c>
      <c r="BA82" s="8">
        <v>1725.5144439999999</v>
      </c>
      <c r="BB82" s="8">
        <v>1599.4893219999999</v>
      </c>
      <c r="BC82" s="8">
        <v>1311.8647840000001</v>
      </c>
      <c r="BD82" s="8">
        <v>1356.482205</v>
      </c>
      <c r="BE82" s="8">
        <v>1390.2091499999999</v>
      </c>
      <c r="BF82" s="8">
        <v>1540.4905670000001</v>
      </c>
      <c r="BG82" s="8">
        <v>1489.6557560000001</v>
      </c>
      <c r="BH82" s="8">
        <v>1599.4215799999999</v>
      </c>
      <c r="BI82" s="8">
        <v>1352.3435569999999</v>
      </c>
      <c r="BJ82" s="8">
        <v>1272.9684970000001</v>
      </c>
    </row>
    <row r="83" spans="1:64" s="176" customFormat="1" x14ac:dyDescent="0.3">
      <c r="A83" s="171">
        <v>529</v>
      </c>
      <c r="B83" s="171" t="s">
        <v>772</v>
      </c>
      <c r="C83" s="171">
        <v>460</v>
      </c>
      <c r="D83" s="171" t="s">
        <v>772</v>
      </c>
      <c r="E83" s="172" t="s">
        <v>1725</v>
      </c>
      <c r="G83" s="176" t="s">
        <v>1543</v>
      </c>
      <c r="H83" s="171"/>
      <c r="I83" s="171"/>
      <c r="J83" s="177"/>
      <c r="K83" s="177"/>
      <c r="L83" s="171"/>
      <c r="M83" s="173"/>
      <c r="N83" s="173"/>
      <c r="O83" s="173"/>
      <c r="P83" s="171">
        <v>99.56</v>
      </c>
      <c r="Q83" s="171">
        <v>95.94</v>
      </c>
      <c r="R83" s="171">
        <v>93.64</v>
      </c>
      <c r="S83" s="171">
        <v>83.57</v>
      </c>
      <c r="T83" s="171">
        <v>92.36</v>
      </c>
      <c r="U83" s="171">
        <v>89.84</v>
      </c>
      <c r="V83" s="171">
        <v>76.28</v>
      </c>
      <c r="W83" s="171">
        <v>66.5</v>
      </c>
      <c r="X83" s="171">
        <v>67.319999999999993</v>
      </c>
      <c r="Y83" s="171">
        <v>70.209999999999994</v>
      </c>
      <c r="Z83" s="171">
        <v>80.06</v>
      </c>
      <c r="AA83" s="171">
        <v>69.39</v>
      </c>
      <c r="AB83" s="173"/>
      <c r="AC83" s="173"/>
      <c r="AD83" s="173"/>
      <c r="AE83" s="171"/>
      <c r="AF83" s="171"/>
      <c r="AG83" s="171"/>
      <c r="AH83" s="171"/>
      <c r="AI83" s="171"/>
      <c r="AJ83" s="171"/>
      <c r="AK83" s="171"/>
      <c r="AL83" s="171"/>
      <c r="AM83" s="174"/>
      <c r="AN83" s="175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  <c r="BJ83" s="178"/>
      <c r="BK83" s="173"/>
    </row>
    <row r="84" spans="1:64" s="65" customFormat="1" x14ac:dyDescent="0.3">
      <c r="A84" s="64">
        <v>4735</v>
      </c>
      <c r="B84" s="64">
        <v>736</v>
      </c>
      <c r="C84" s="64">
        <v>3259</v>
      </c>
      <c r="D84" s="64">
        <v>713</v>
      </c>
      <c r="E84" s="65" t="s">
        <v>1396</v>
      </c>
      <c r="F84" s="65" t="s">
        <v>7</v>
      </c>
      <c r="G84" s="65" t="s">
        <v>1543</v>
      </c>
      <c r="H84" s="64">
        <v>2000000</v>
      </c>
      <c r="I84" s="64"/>
      <c r="J84" s="66"/>
      <c r="K84" s="66"/>
      <c r="L84" s="64"/>
      <c r="M84" s="67"/>
      <c r="N84" s="67"/>
      <c r="O84" s="67"/>
      <c r="P84" s="64"/>
      <c r="Q84" s="64">
        <v>16.89</v>
      </c>
      <c r="R84" s="64">
        <v>17.399999999999999</v>
      </c>
      <c r="S84" s="64">
        <v>42.99</v>
      </c>
      <c r="T84" s="64">
        <v>82.84</v>
      </c>
      <c r="U84" s="64">
        <v>90.33</v>
      </c>
      <c r="V84" s="64">
        <v>95.02</v>
      </c>
      <c r="W84" s="64">
        <v>111.6</v>
      </c>
      <c r="X84" s="64">
        <v>109.1</v>
      </c>
      <c r="Y84" s="64">
        <v>126.5</v>
      </c>
      <c r="Z84" s="64">
        <v>122.6</v>
      </c>
      <c r="AA84" s="64">
        <v>115.7</v>
      </c>
      <c r="AB84" s="64">
        <v>119.6</v>
      </c>
      <c r="AC84" s="67"/>
      <c r="AD84" s="67"/>
      <c r="AE84" s="64">
        <v>105.7</v>
      </c>
      <c r="AF84" s="64" t="s">
        <v>772</v>
      </c>
      <c r="AG84" s="64" t="s">
        <v>772</v>
      </c>
      <c r="AH84" s="64" t="s">
        <v>772</v>
      </c>
      <c r="AI84" s="64" t="s">
        <v>772</v>
      </c>
      <c r="AJ84" s="64" t="s">
        <v>772</v>
      </c>
      <c r="AK84" s="64" t="s">
        <v>772</v>
      </c>
      <c r="AL84" s="64" t="s">
        <v>772</v>
      </c>
      <c r="AM84" s="70">
        <v>8.4027777777777785E-2</v>
      </c>
      <c r="AN84" s="94">
        <f>(2+(1/60))*AE84</f>
        <v>213.16166666666666</v>
      </c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7"/>
    </row>
    <row r="85" spans="1:64" ht="12.5" x14ac:dyDescent="0.25">
      <c r="A85" s="2">
        <v>3727</v>
      </c>
      <c r="B85" s="2">
        <v>3522</v>
      </c>
      <c r="C85" s="2">
        <v>32</v>
      </c>
      <c r="D85" s="2">
        <v>31</v>
      </c>
      <c r="E85" s="163" t="s">
        <v>775</v>
      </c>
      <c r="F85" t="s">
        <v>1245</v>
      </c>
      <c r="H85" s="2">
        <v>1700</v>
      </c>
      <c r="I85" s="2">
        <v>1330</v>
      </c>
      <c r="J85" s="54">
        <v>47.51</v>
      </c>
      <c r="K85" s="54">
        <v>19.87</v>
      </c>
      <c r="P85" s="2">
        <v>1239</v>
      </c>
      <c r="Q85" s="2">
        <v>1316</v>
      </c>
      <c r="R85" s="2">
        <v>1455</v>
      </c>
      <c r="S85" s="2">
        <v>1449</v>
      </c>
      <c r="T85" s="2">
        <v>1426</v>
      </c>
      <c r="U85" s="2">
        <v>1424</v>
      </c>
      <c r="V85" s="2">
        <v>1434</v>
      </c>
      <c r="W85" s="2">
        <v>1539</v>
      </c>
      <c r="X85" s="2">
        <v>1507</v>
      </c>
      <c r="Y85" s="2">
        <v>1737</v>
      </c>
      <c r="Z85" s="2">
        <v>1649</v>
      </c>
      <c r="AA85" s="2">
        <v>1574</v>
      </c>
      <c r="AB85" s="2">
        <v>1600</v>
      </c>
      <c r="AE85" s="2">
        <v>1468</v>
      </c>
      <c r="AF85" s="2">
        <v>1246</v>
      </c>
      <c r="AG85" s="2">
        <v>1278</v>
      </c>
      <c r="AH85" s="2">
        <v>1330</v>
      </c>
      <c r="AI85" s="2" t="s">
        <v>772</v>
      </c>
      <c r="AJ85" s="2">
        <v>1343</v>
      </c>
      <c r="AK85" s="2" t="s">
        <v>772</v>
      </c>
      <c r="AL85" s="2" t="s">
        <v>772</v>
      </c>
      <c r="AM85" s="19">
        <v>0.37083333333333335</v>
      </c>
      <c r="AN85" s="8">
        <f>(8+(54/60))*AJ85</f>
        <v>11952.7</v>
      </c>
      <c r="AO85">
        <v>2015</v>
      </c>
      <c r="AX85" s="8">
        <v>671.41321000000005</v>
      </c>
      <c r="AY85" s="8">
        <v>649.72007399999995</v>
      </c>
      <c r="AZ85" s="8">
        <v>718.26497400000005</v>
      </c>
      <c r="BA85" s="8">
        <v>547.792461</v>
      </c>
      <c r="BB85" s="8">
        <v>717.00321499999995</v>
      </c>
      <c r="BC85" s="8">
        <v>600.88959399999999</v>
      </c>
      <c r="BD85" s="8">
        <v>648.36924499999998</v>
      </c>
      <c r="BE85" s="8">
        <v>671.44078999999999</v>
      </c>
      <c r="BF85" s="8">
        <v>736.42003499999998</v>
      </c>
      <c r="BG85" s="8">
        <v>680.161835</v>
      </c>
      <c r="BH85" s="8">
        <v>785.89646600000003</v>
      </c>
      <c r="BI85" s="8">
        <v>752.09014000000002</v>
      </c>
      <c r="BJ85" s="8">
        <v>843.51755200000002</v>
      </c>
    </row>
    <row r="86" spans="1:64" ht="12.5" x14ac:dyDescent="0.25">
      <c r="A86" s="2">
        <v>2258</v>
      </c>
      <c r="B86" s="2">
        <v>1202</v>
      </c>
      <c r="C86" s="2">
        <v>34</v>
      </c>
      <c r="D86" s="2">
        <v>33</v>
      </c>
      <c r="E86" s="163" t="s">
        <v>1224</v>
      </c>
      <c r="G86" t="s">
        <v>1543</v>
      </c>
      <c r="I86" s="2">
        <v>1046</v>
      </c>
      <c r="J86" s="15">
        <v>37.369999999999997</v>
      </c>
      <c r="K86" s="15">
        <v>19.16</v>
      </c>
      <c r="P86" s="2">
        <v>796.5</v>
      </c>
      <c r="Q86" s="2">
        <v>855.1</v>
      </c>
      <c r="R86" s="2">
        <v>892.5</v>
      </c>
      <c r="S86" s="2">
        <v>924.9</v>
      </c>
      <c r="T86" s="2">
        <v>898.9</v>
      </c>
      <c r="U86" s="2">
        <v>937.4</v>
      </c>
      <c r="V86" s="2">
        <v>958</v>
      </c>
      <c r="W86" s="2">
        <v>1001</v>
      </c>
      <c r="X86" s="2">
        <v>914.9</v>
      </c>
      <c r="Y86" s="2">
        <v>983.6</v>
      </c>
      <c r="Z86" s="2">
        <v>1018</v>
      </c>
      <c r="AA86" s="2">
        <v>984.9</v>
      </c>
      <c r="AB86" s="2">
        <v>1023</v>
      </c>
      <c r="AE86" s="2">
        <v>927.4</v>
      </c>
      <c r="AF86" s="2">
        <v>1008</v>
      </c>
      <c r="AG86" s="2">
        <v>1087</v>
      </c>
      <c r="AH86" s="2">
        <v>1046</v>
      </c>
      <c r="AI86" s="14" t="s">
        <v>772</v>
      </c>
      <c r="AJ86" s="2" t="s">
        <v>772</v>
      </c>
      <c r="AK86" s="14" t="s">
        <v>772</v>
      </c>
      <c r="AL86" s="14" t="s">
        <v>772</v>
      </c>
      <c r="AM86" s="19">
        <v>0.33958333333333335</v>
      </c>
      <c r="AN86" s="8">
        <f>(8+(9/60))*AH86</f>
        <v>8524.9</v>
      </c>
    </row>
    <row r="87" spans="1:64" s="172" customFormat="1" x14ac:dyDescent="0.3">
      <c r="A87" s="179"/>
      <c r="B87" s="179"/>
      <c r="C87" s="179">
        <v>341</v>
      </c>
      <c r="D87" s="179" t="s">
        <v>772</v>
      </c>
      <c r="E87" s="172" t="s">
        <v>1722</v>
      </c>
      <c r="H87" s="179"/>
      <c r="I87" s="179"/>
      <c r="J87" s="180"/>
      <c r="K87" s="180"/>
      <c r="L87" s="179"/>
      <c r="M87" s="181"/>
      <c r="N87" s="181"/>
      <c r="O87" s="181"/>
      <c r="P87" s="179"/>
      <c r="Q87" s="171">
        <v>104.2</v>
      </c>
      <c r="R87" s="171">
        <v>96.67</v>
      </c>
      <c r="S87" s="171">
        <v>105.4</v>
      </c>
      <c r="T87" s="171">
        <v>103.9</v>
      </c>
      <c r="U87" s="171">
        <v>104.7</v>
      </c>
      <c r="V87" s="171">
        <v>116.6</v>
      </c>
      <c r="W87" s="171">
        <v>118.8</v>
      </c>
      <c r="X87" s="171">
        <v>112.4</v>
      </c>
      <c r="Y87" s="171">
        <v>109.6</v>
      </c>
      <c r="Z87" s="171">
        <v>129</v>
      </c>
      <c r="AA87" s="171">
        <v>132.69999999999999</v>
      </c>
      <c r="AB87" s="171">
        <v>141.69999999999999</v>
      </c>
      <c r="AC87" s="181"/>
      <c r="AD87" s="181"/>
      <c r="AE87" s="179"/>
      <c r="AF87" s="179"/>
      <c r="AG87" s="179"/>
      <c r="AH87" s="179"/>
      <c r="AI87" s="182"/>
      <c r="AJ87" s="179"/>
      <c r="AK87" s="182"/>
      <c r="AL87" s="182"/>
      <c r="AM87" s="183"/>
      <c r="AN87" s="184"/>
      <c r="AX87" s="181"/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</row>
    <row r="88" spans="1:64" s="166" customFormat="1" x14ac:dyDescent="0.3">
      <c r="A88" s="164"/>
      <c r="B88" s="164"/>
      <c r="C88" s="164">
        <v>503</v>
      </c>
      <c r="D88" s="164" t="s">
        <v>772</v>
      </c>
      <c r="E88" s="172" t="s">
        <v>1753</v>
      </c>
      <c r="H88" s="164"/>
      <c r="I88" s="164"/>
      <c r="J88" s="185"/>
      <c r="K88" s="185"/>
      <c r="L88" s="164"/>
      <c r="M88" s="168"/>
      <c r="N88" s="168"/>
      <c r="O88" s="168"/>
      <c r="P88" s="164"/>
      <c r="Q88" s="171">
        <v>74.819999999999993</v>
      </c>
      <c r="R88" s="171">
        <v>88.52</v>
      </c>
      <c r="S88" s="171">
        <v>89.91</v>
      </c>
      <c r="T88" s="171">
        <v>89.07</v>
      </c>
      <c r="U88" s="171">
        <v>90.15</v>
      </c>
      <c r="V88" s="171">
        <v>84.45</v>
      </c>
      <c r="W88" s="171">
        <v>101.3</v>
      </c>
      <c r="X88" s="171">
        <v>89.43</v>
      </c>
      <c r="Y88" s="164">
        <v>96.62</v>
      </c>
      <c r="Z88" s="164">
        <v>97.17</v>
      </c>
      <c r="AA88" s="164">
        <v>91.97</v>
      </c>
      <c r="AB88" s="164">
        <v>91.51</v>
      </c>
      <c r="AC88" s="168"/>
      <c r="AD88" s="168"/>
      <c r="AE88" s="164"/>
      <c r="AF88" s="164"/>
      <c r="AG88" s="164"/>
      <c r="AH88" s="164"/>
      <c r="AI88" s="186"/>
      <c r="AJ88" s="164"/>
      <c r="AK88" s="186"/>
      <c r="AL88" s="186"/>
      <c r="AM88" s="169"/>
      <c r="AN88" s="187"/>
      <c r="AX88" s="168"/>
      <c r="AY88" s="168"/>
      <c r="AZ88" s="168"/>
      <c r="BA88" s="168"/>
      <c r="BB88" s="168"/>
      <c r="BC88" s="168"/>
      <c r="BD88" s="168"/>
      <c r="BE88" s="168"/>
      <c r="BF88" s="168"/>
      <c r="BG88" s="168"/>
      <c r="BH88" s="168"/>
      <c r="BI88" s="168"/>
      <c r="BJ88" s="168"/>
      <c r="BK88" s="168"/>
    </row>
    <row r="89" spans="1:64" x14ac:dyDescent="0.3">
      <c r="A89" s="2">
        <v>30</v>
      </c>
      <c r="B89" s="2">
        <v>33</v>
      </c>
      <c r="C89" s="2">
        <v>35</v>
      </c>
      <c r="D89" s="2">
        <v>34</v>
      </c>
      <c r="E89" s="163" t="s">
        <v>61</v>
      </c>
      <c r="F89" t="s">
        <v>7</v>
      </c>
      <c r="G89" t="s">
        <v>1543</v>
      </c>
      <c r="H89" s="2">
        <v>2000000</v>
      </c>
      <c r="K89" s="15"/>
      <c r="P89" s="2">
        <v>872.5</v>
      </c>
      <c r="Q89" s="2">
        <v>965.8</v>
      </c>
      <c r="R89" s="2">
        <v>812.1</v>
      </c>
      <c r="S89" s="2">
        <v>837.8</v>
      </c>
      <c r="T89" s="2">
        <v>845.7</v>
      </c>
      <c r="U89" s="2">
        <v>882.5</v>
      </c>
      <c r="V89" s="2">
        <v>890.2</v>
      </c>
      <c r="W89" s="2">
        <v>921.7</v>
      </c>
      <c r="X89" s="2">
        <v>849.4</v>
      </c>
      <c r="Y89" s="2">
        <v>841.2</v>
      </c>
      <c r="Z89" s="2">
        <v>758.1</v>
      </c>
      <c r="AA89" s="2">
        <v>897.5</v>
      </c>
      <c r="AB89" s="2">
        <v>973.8</v>
      </c>
      <c r="AE89" s="2">
        <v>707.3</v>
      </c>
      <c r="AF89" s="2" t="s">
        <v>772</v>
      </c>
      <c r="AG89" s="2" t="s">
        <v>772</v>
      </c>
      <c r="AH89" s="2" t="s">
        <v>772</v>
      </c>
      <c r="AI89" s="2" t="s">
        <v>772</v>
      </c>
      <c r="AJ89" s="2" t="s">
        <v>772</v>
      </c>
      <c r="AK89" s="2" t="s">
        <v>772</v>
      </c>
      <c r="AL89" s="2" t="s">
        <v>772</v>
      </c>
      <c r="AM89" s="19">
        <v>0.36805555555555558</v>
      </c>
      <c r="AN89" s="8">
        <f>(8+(50/60))*AE89</f>
        <v>6247.8166666666666</v>
      </c>
      <c r="AS89" s="3"/>
      <c r="AT89" s="3"/>
      <c r="AU89" s="3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4" ht="12.5" x14ac:dyDescent="0.25">
      <c r="A90" s="2">
        <v>58</v>
      </c>
      <c r="B90" s="2">
        <v>61</v>
      </c>
      <c r="C90" s="2">
        <v>36</v>
      </c>
      <c r="D90" s="2">
        <v>35</v>
      </c>
      <c r="E90" s="163" t="s">
        <v>139</v>
      </c>
      <c r="F90" t="s">
        <v>6</v>
      </c>
      <c r="G90" t="s">
        <v>1543</v>
      </c>
      <c r="H90" s="2">
        <v>19000</v>
      </c>
      <c r="I90" s="2">
        <v>485.4</v>
      </c>
      <c r="J90" s="15">
        <v>17.329999999999998</v>
      </c>
      <c r="K90" s="15">
        <v>10.87</v>
      </c>
      <c r="P90" s="2">
        <v>847.2</v>
      </c>
      <c r="Q90" s="2">
        <v>925.5</v>
      </c>
      <c r="R90" s="2">
        <v>821.4</v>
      </c>
      <c r="S90" s="2">
        <v>787.1</v>
      </c>
      <c r="T90" s="2">
        <v>791</v>
      </c>
      <c r="U90" s="2">
        <v>844.4</v>
      </c>
      <c r="V90" s="2">
        <v>779.2</v>
      </c>
      <c r="W90" s="2">
        <v>793.9</v>
      </c>
      <c r="X90" s="2">
        <v>709.8</v>
      </c>
      <c r="Y90" s="2">
        <v>723.4</v>
      </c>
      <c r="Z90" s="2">
        <v>717.1</v>
      </c>
      <c r="AA90" s="2">
        <v>791.8</v>
      </c>
      <c r="AB90" s="2">
        <v>782.4</v>
      </c>
      <c r="AE90" s="2">
        <v>572.79999999999995</v>
      </c>
      <c r="AF90" s="2">
        <v>414.6</v>
      </c>
      <c r="AG90" s="2">
        <v>485.4</v>
      </c>
      <c r="AH90" s="2">
        <v>390.1</v>
      </c>
      <c r="AI90" s="14" t="s">
        <v>772</v>
      </c>
      <c r="AJ90" s="2">
        <v>392.4</v>
      </c>
      <c r="AK90" s="14" t="s">
        <v>772</v>
      </c>
      <c r="AL90" s="14" t="s">
        <v>772</v>
      </c>
      <c r="AM90" s="19">
        <v>0.43888888888888888</v>
      </c>
      <c r="AN90" s="8">
        <f>(10+(32/60))*AJ90</f>
        <v>4133.28</v>
      </c>
      <c r="AX90" s="8">
        <v>789.85226799999998</v>
      </c>
      <c r="AY90" s="8">
        <v>708.35487499999999</v>
      </c>
      <c r="AZ90" s="8">
        <v>832.17317600000001</v>
      </c>
      <c r="BA90" s="8">
        <v>772.499686</v>
      </c>
      <c r="BB90" s="8">
        <v>697.56350599999996</v>
      </c>
      <c r="BC90" s="8">
        <v>574.00708799999995</v>
      </c>
      <c r="BD90" s="8">
        <v>603.34695599999998</v>
      </c>
      <c r="BE90" s="8">
        <v>646.34732599999995</v>
      </c>
      <c r="BF90" s="8">
        <v>736.28967499999999</v>
      </c>
      <c r="BG90" s="8">
        <v>665.856131</v>
      </c>
      <c r="BH90" s="8">
        <v>723.02603799999997</v>
      </c>
      <c r="BI90" s="8">
        <v>609.25093900000002</v>
      </c>
      <c r="BJ90" s="8">
        <v>571.95993999999996</v>
      </c>
    </row>
    <row r="91" spans="1:64" ht="12.5" x14ac:dyDescent="0.25">
      <c r="A91" s="2">
        <v>60</v>
      </c>
      <c r="B91" s="2">
        <v>79</v>
      </c>
      <c r="C91" s="2">
        <v>37</v>
      </c>
      <c r="D91" s="2">
        <v>36</v>
      </c>
      <c r="E91" s="163" t="s">
        <v>77</v>
      </c>
      <c r="F91" t="s">
        <v>1233</v>
      </c>
      <c r="G91" t="s">
        <v>1233</v>
      </c>
      <c r="H91" s="2">
        <v>0</v>
      </c>
      <c r="I91" s="2">
        <v>672.2</v>
      </c>
      <c r="J91" s="15">
        <v>24</v>
      </c>
      <c r="K91" s="15">
        <v>19.64</v>
      </c>
      <c r="P91" s="2">
        <v>677.9</v>
      </c>
      <c r="Q91" s="2">
        <v>724.3</v>
      </c>
      <c r="R91" s="2">
        <v>743.2</v>
      </c>
      <c r="S91" s="2">
        <v>689.8</v>
      </c>
      <c r="T91" s="2">
        <v>649.1</v>
      </c>
      <c r="U91" s="2">
        <v>662.9</v>
      </c>
      <c r="V91" s="2">
        <v>645.29999999999995</v>
      </c>
      <c r="W91" s="2">
        <v>669.9</v>
      </c>
      <c r="X91" s="2">
        <v>591.29999999999995</v>
      </c>
      <c r="Y91" s="2">
        <v>727.3</v>
      </c>
      <c r="Z91" s="2">
        <v>709.9</v>
      </c>
      <c r="AA91" s="2">
        <v>616.29999999999995</v>
      </c>
      <c r="AB91" s="2">
        <v>634.70000000000005</v>
      </c>
      <c r="AE91" s="2">
        <v>561.9</v>
      </c>
      <c r="AF91" s="2">
        <v>698.4</v>
      </c>
      <c r="AG91" s="2">
        <v>655.7</v>
      </c>
      <c r="AH91" s="2">
        <v>672.2</v>
      </c>
      <c r="AI91" s="14" t="s">
        <v>772</v>
      </c>
      <c r="AJ91" s="14" t="s">
        <v>772</v>
      </c>
      <c r="AK91" s="14" t="s">
        <v>772</v>
      </c>
      <c r="AL91" s="14" t="s">
        <v>772</v>
      </c>
      <c r="AM91" s="19">
        <v>0.19444444444444445</v>
      </c>
      <c r="AN91" s="8">
        <f>(4+(40/60))*AH91</f>
        <v>3136.9333333333338</v>
      </c>
      <c r="AX91" s="8">
        <v>457.08951999999999</v>
      </c>
      <c r="AY91" s="8">
        <v>405.06271700000002</v>
      </c>
      <c r="AZ91" s="8">
        <v>468.99963500000001</v>
      </c>
      <c r="BA91" s="8">
        <v>453.91099200000002</v>
      </c>
      <c r="BB91" s="8">
        <v>430.89439700000003</v>
      </c>
      <c r="BC91" s="8">
        <v>389.00809700000002</v>
      </c>
      <c r="BD91" s="8">
        <v>396.55180799999999</v>
      </c>
      <c r="BE91" s="8">
        <v>434.59229099999999</v>
      </c>
      <c r="BF91" s="8">
        <v>392.88372700000002</v>
      </c>
      <c r="BG91" s="8">
        <v>448.96148299999999</v>
      </c>
      <c r="BH91" s="8">
        <v>437.32213200000001</v>
      </c>
      <c r="BI91" s="8">
        <v>393.53108400000002</v>
      </c>
      <c r="BJ91" s="8">
        <v>478.784695</v>
      </c>
    </row>
    <row r="92" spans="1:64" x14ac:dyDescent="0.3">
      <c r="A92" s="2">
        <v>48</v>
      </c>
      <c r="B92" s="2">
        <v>49</v>
      </c>
      <c r="C92" s="2">
        <v>38</v>
      </c>
      <c r="D92" s="2">
        <v>36</v>
      </c>
      <c r="E92" s="163" t="s">
        <v>60</v>
      </c>
      <c r="F92" t="s">
        <v>2</v>
      </c>
      <c r="G92" t="s">
        <v>1289</v>
      </c>
      <c r="H92" s="2">
        <v>1000000</v>
      </c>
      <c r="I92" s="2">
        <v>1071</v>
      </c>
      <c r="J92" s="15">
        <v>35</v>
      </c>
      <c r="K92" s="15">
        <v>12.88</v>
      </c>
      <c r="P92" s="2">
        <v>1044</v>
      </c>
      <c r="Q92" s="2">
        <v>1111</v>
      </c>
      <c r="R92" s="2">
        <v>1227</v>
      </c>
      <c r="S92" s="2">
        <v>1221</v>
      </c>
      <c r="T92" s="2">
        <v>1175</v>
      </c>
      <c r="U92" s="2">
        <v>1154</v>
      </c>
      <c r="V92" s="2">
        <v>1114</v>
      </c>
      <c r="W92" s="2">
        <v>1144</v>
      </c>
      <c r="X92" s="2">
        <v>1048</v>
      </c>
      <c r="Y92" s="2">
        <v>1200</v>
      </c>
      <c r="Z92" s="2">
        <v>1206</v>
      </c>
      <c r="AA92" s="2">
        <v>1143</v>
      </c>
      <c r="AB92" s="2">
        <v>1153</v>
      </c>
      <c r="AE92" s="2">
        <v>1121</v>
      </c>
      <c r="AF92" s="2">
        <v>1017</v>
      </c>
      <c r="AG92" s="2">
        <v>918.4</v>
      </c>
      <c r="AH92" s="2">
        <v>1025</v>
      </c>
      <c r="AI92" s="2" t="s">
        <v>772</v>
      </c>
      <c r="AJ92" s="2">
        <v>1002</v>
      </c>
      <c r="AK92" s="2" t="s">
        <v>772</v>
      </c>
      <c r="AL92" s="2" t="s">
        <v>772</v>
      </c>
      <c r="AM92" s="19">
        <v>0.37847222222222227</v>
      </c>
      <c r="AN92" s="57">
        <f>(9+(5/60))*AJ92</f>
        <v>9101.5</v>
      </c>
      <c r="AX92" s="46">
        <v>1519.856</v>
      </c>
      <c r="AY92" s="4">
        <v>1733.0429999999999</v>
      </c>
      <c r="AZ92" s="4">
        <v>1514.9010000000001</v>
      </c>
      <c r="BA92" s="4">
        <v>1510.088</v>
      </c>
      <c r="BB92" s="4">
        <v>1529.415</v>
      </c>
      <c r="BC92" s="4">
        <v>1512.759</v>
      </c>
      <c r="BD92" s="4">
        <v>1694.201</v>
      </c>
      <c r="BE92" s="4">
        <v>1693.4939999999999</v>
      </c>
      <c r="BF92" s="4">
        <v>1728.6949999999999</v>
      </c>
      <c r="BG92" s="4">
        <v>1777.5239999999999</v>
      </c>
      <c r="BH92" s="4">
        <v>1801.384</v>
      </c>
      <c r="BI92" s="4">
        <v>1745.702</v>
      </c>
      <c r="BJ92" s="4">
        <v>1746.2339999999999</v>
      </c>
      <c r="BL92" s="2"/>
    </row>
    <row r="93" spans="1:64" ht="12.5" x14ac:dyDescent="0.25">
      <c r="A93" s="2">
        <v>75</v>
      </c>
      <c r="B93" s="2">
        <v>73</v>
      </c>
      <c r="C93" s="2">
        <v>39</v>
      </c>
      <c r="D93" s="2">
        <v>37</v>
      </c>
      <c r="E93" s="163" t="s">
        <v>178</v>
      </c>
      <c r="F93" t="s">
        <v>1233</v>
      </c>
      <c r="G93" t="s">
        <v>1233</v>
      </c>
      <c r="H93" s="2">
        <v>0</v>
      </c>
      <c r="K93" s="15"/>
      <c r="P93" s="2">
        <v>506.5</v>
      </c>
      <c r="Q93" s="2">
        <v>541.4</v>
      </c>
      <c r="R93" s="2">
        <v>581.70000000000005</v>
      </c>
      <c r="S93" s="2">
        <v>601.5</v>
      </c>
      <c r="T93" s="2">
        <v>585.79999999999995</v>
      </c>
      <c r="U93" s="2">
        <v>554.20000000000005</v>
      </c>
      <c r="V93" s="2">
        <v>502.5</v>
      </c>
      <c r="W93" s="2">
        <v>521.5</v>
      </c>
      <c r="X93" s="2">
        <v>499.5</v>
      </c>
      <c r="Y93" s="2">
        <v>578</v>
      </c>
      <c r="Z93" s="2">
        <v>568.1</v>
      </c>
      <c r="AA93" s="2">
        <v>548</v>
      </c>
      <c r="AB93" s="2">
        <v>529.9</v>
      </c>
      <c r="AE93" s="2">
        <v>418</v>
      </c>
      <c r="AF93" s="2" t="s">
        <v>772</v>
      </c>
      <c r="AG93" s="2" t="s">
        <v>772</v>
      </c>
      <c r="AH93" s="2" t="s">
        <v>772</v>
      </c>
      <c r="AI93" s="2" t="s">
        <v>772</v>
      </c>
      <c r="AJ93" s="2" t="s">
        <v>772</v>
      </c>
      <c r="AK93" s="2" t="s">
        <v>772</v>
      </c>
      <c r="AL93" s="2" t="s">
        <v>772</v>
      </c>
      <c r="AM93" s="19">
        <v>0.27291666666666664</v>
      </c>
      <c r="AN93" s="8">
        <f>(6+(33/60))*AE93</f>
        <v>2737.9</v>
      </c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4" ht="12.5" x14ac:dyDescent="0.25">
      <c r="A94" s="2">
        <v>32</v>
      </c>
      <c r="B94" s="2">
        <v>31</v>
      </c>
      <c r="C94" s="2">
        <v>40</v>
      </c>
      <c r="D94" s="2">
        <v>41</v>
      </c>
      <c r="E94" s="163" t="s">
        <v>62</v>
      </c>
      <c r="F94" t="s">
        <v>1233</v>
      </c>
      <c r="G94" t="s">
        <v>1233</v>
      </c>
      <c r="K94" s="15"/>
      <c r="P94" s="2">
        <v>500</v>
      </c>
      <c r="Q94" s="2">
        <v>535.70000000000005</v>
      </c>
      <c r="R94" s="2">
        <v>569.1</v>
      </c>
      <c r="S94" s="2">
        <v>553.70000000000005</v>
      </c>
      <c r="T94" s="2">
        <v>535</v>
      </c>
      <c r="U94" s="2">
        <v>570.20000000000005</v>
      </c>
      <c r="V94" s="2">
        <v>561</v>
      </c>
      <c r="W94" s="2">
        <v>569.9</v>
      </c>
      <c r="X94" s="2">
        <v>504</v>
      </c>
      <c r="Y94" s="2">
        <v>567.70000000000005</v>
      </c>
      <c r="Z94" s="2">
        <v>600.5</v>
      </c>
      <c r="AA94" s="2">
        <v>532.9</v>
      </c>
      <c r="AB94" s="2">
        <v>528.1</v>
      </c>
      <c r="AE94" s="2">
        <v>444.2</v>
      </c>
      <c r="AF94" s="2" t="s">
        <v>772</v>
      </c>
      <c r="AG94" s="2" t="s">
        <v>772</v>
      </c>
      <c r="AH94" s="2" t="s">
        <v>772</v>
      </c>
      <c r="AI94" s="2" t="s">
        <v>772</v>
      </c>
      <c r="AJ94" s="2" t="s">
        <v>772</v>
      </c>
      <c r="AK94" s="2" t="s">
        <v>772</v>
      </c>
      <c r="AL94" s="2" t="s">
        <v>772</v>
      </c>
      <c r="AM94" s="19">
        <v>0.3923611111111111</v>
      </c>
      <c r="AN94" s="8">
        <f>(9+(25/60))*AE94</f>
        <v>4182.8833333333332</v>
      </c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L94" s="2"/>
    </row>
    <row r="95" spans="1:64" ht="12.5" x14ac:dyDescent="0.25">
      <c r="A95" s="2">
        <v>3496</v>
      </c>
      <c r="B95" s="2" t="s">
        <v>772</v>
      </c>
      <c r="C95" s="2">
        <v>41</v>
      </c>
      <c r="D95" s="2">
        <v>43</v>
      </c>
      <c r="E95" s="188" t="s">
        <v>1514</v>
      </c>
      <c r="K95" s="15"/>
      <c r="P95" s="2">
        <v>471.9</v>
      </c>
      <c r="Q95" s="2">
        <v>506</v>
      </c>
      <c r="R95" s="2">
        <v>548.20000000000005</v>
      </c>
      <c r="S95" s="2">
        <v>536.70000000000005</v>
      </c>
      <c r="T95" s="2">
        <v>495.1</v>
      </c>
      <c r="U95" s="2">
        <v>474.1</v>
      </c>
      <c r="V95" s="2">
        <v>450.6</v>
      </c>
      <c r="W95" s="2">
        <v>463</v>
      </c>
      <c r="X95" s="2">
        <v>406.3</v>
      </c>
      <c r="Y95" s="2">
        <v>436.7</v>
      </c>
      <c r="Z95" s="2">
        <v>464.3</v>
      </c>
      <c r="AA95" s="2">
        <v>442.7</v>
      </c>
      <c r="AB95" s="2">
        <v>423.8</v>
      </c>
      <c r="AE95" s="2"/>
      <c r="AG95" s="2"/>
      <c r="AH95" s="2"/>
      <c r="AI95" s="14"/>
      <c r="AJ95" s="2"/>
      <c r="AK95" s="14"/>
      <c r="AL95" s="14"/>
      <c r="AM95" s="19"/>
      <c r="AN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4" ht="12.5" x14ac:dyDescent="0.25">
      <c r="A96" s="2">
        <v>4482</v>
      </c>
      <c r="B96" s="2">
        <v>3168</v>
      </c>
      <c r="C96" s="2">
        <v>42</v>
      </c>
      <c r="D96" s="2">
        <v>39</v>
      </c>
      <c r="E96" s="163" t="s">
        <v>1229</v>
      </c>
      <c r="F96" t="s">
        <v>1221</v>
      </c>
      <c r="G96" t="s">
        <v>1236</v>
      </c>
      <c r="I96" s="2">
        <v>587.5</v>
      </c>
      <c r="J96" s="15">
        <v>20.98</v>
      </c>
      <c r="K96" s="15">
        <v>10.42</v>
      </c>
      <c r="P96" s="2">
        <v>824.2</v>
      </c>
      <c r="Q96" s="2">
        <v>883.9</v>
      </c>
      <c r="R96" s="2">
        <v>914.5</v>
      </c>
      <c r="S96" s="2">
        <v>934.6</v>
      </c>
      <c r="T96" s="2">
        <v>908.9</v>
      </c>
      <c r="U96" s="2">
        <v>920.8</v>
      </c>
      <c r="V96" s="2">
        <v>893.9</v>
      </c>
      <c r="W96" s="2">
        <v>921.2</v>
      </c>
      <c r="X96" s="2">
        <v>857.6</v>
      </c>
      <c r="Y96" s="2">
        <v>1078</v>
      </c>
      <c r="Z96" s="2">
        <v>1025</v>
      </c>
      <c r="AA96" s="2">
        <v>1086</v>
      </c>
      <c r="AB96" s="2">
        <v>1160</v>
      </c>
      <c r="AE96" s="2">
        <v>1041</v>
      </c>
      <c r="AF96" s="2">
        <v>582.6</v>
      </c>
      <c r="AG96" s="2">
        <v>576.9</v>
      </c>
      <c r="AH96" s="2">
        <v>587.5</v>
      </c>
      <c r="AI96" s="2" t="s">
        <v>772</v>
      </c>
      <c r="AJ96" s="2" t="s">
        <v>772</v>
      </c>
      <c r="AK96" s="2" t="s">
        <v>772</v>
      </c>
      <c r="AL96" s="2" t="s">
        <v>772</v>
      </c>
      <c r="AM96" s="19">
        <v>0.27986111111111112</v>
      </c>
      <c r="AN96" s="8">
        <f>(6+(43/60))*AH96</f>
        <v>3946.0416666666665</v>
      </c>
    </row>
    <row r="97" spans="1:63" ht="12.5" x14ac:dyDescent="0.25">
      <c r="A97" s="2">
        <v>27</v>
      </c>
      <c r="B97" s="2">
        <v>24</v>
      </c>
      <c r="C97" s="2">
        <v>43</v>
      </c>
      <c r="D97" s="2">
        <v>38</v>
      </c>
      <c r="E97" s="163" t="s">
        <v>54</v>
      </c>
      <c r="F97" t="s">
        <v>6</v>
      </c>
      <c r="H97" s="2">
        <v>200</v>
      </c>
      <c r="I97" s="2">
        <v>680.1</v>
      </c>
      <c r="J97" s="15">
        <v>24.29</v>
      </c>
      <c r="K97" s="15">
        <v>16</v>
      </c>
      <c r="P97" s="2">
        <v>732.8</v>
      </c>
      <c r="Q97" s="2">
        <v>775.9</v>
      </c>
      <c r="R97" s="2">
        <v>900</v>
      </c>
      <c r="S97" s="2">
        <v>925.5</v>
      </c>
      <c r="T97" s="2">
        <v>858</v>
      </c>
      <c r="U97" s="2">
        <v>855.4</v>
      </c>
      <c r="V97" s="2">
        <v>811.7</v>
      </c>
      <c r="W97" s="2">
        <v>832.7</v>
      </c>
      <c r="X97" s="2">
        <v>766.3</v>
      </c>
      <c r="Y97" s="2">
        <v>909</v>
      </c>
      <c r="Z97" s="2">
        <v>871.1</v>
      </c>
      <c r="AA97" s="2">
        <v>807.7</v>
      </c>
      <c r="AB97" s="2">
        <v>824.5</v>
      </c>
      <c r="AC97" s="2">
        <v>823</v>
      </c>
      <c r="AD97" s="2">
        <v>899.6</v>
      </c>
      <c r="AE97" s="2">
        <v>836.6</v>
      </c>
      <c r="AF97" s="2">
        <v>706.2</v>
      </c>
      <c r="AG97" s="2">
        <v>634.20000000000005</v>
      </c>
      <c r="AH97" s="2">
        <v>725</v>
      </c>
      <c r="AI97" s="2" t="s">
        <v>772</v>
      </c>
      <c r="AJ97" s="2">
        <v>706.2</v>
      </c>
      <c r="AK97" s="2" t="s">
        <v>772</v>
      </c>
      <c r="AL97" s="2" t="s">
        <v>772</v>
      </c>
      <c r="AM97" s="19">
        <v>0.21666666666666667</v>
      </c>
      <c r="AN97" s="8">
        <f>(5+(12/60))*AJ97</f>
        <v>3672.2400000000002</v>
      </c>
      <c r="AX97" s="8">
        <v>3056.1976690000001</v>
      </c>
      <c r="AY97" s="8">
        <v>3099.0492989999998</v>
      </c>
      <c r="AZ97" s="8">
        <v>3056.9615050000002</v>
      </c>
      <c r="BA97" s="8">
        <v>3079.4244010000002</v>
      </c>
      <c r="BB97" s="8">
        <v>3065.9273710000002</v>
      </c>
      <c r="BC97" s="8">
        <v>2782.7382739999998</v>
      </c>
      <c r="BD97" s="8">
        <v>3246.3534049999998</v>
      </c>
      <c r="BE97" s="8">
        <v>2979.9182329999999</v>
      </c>
      <c r="BF97" s="8">
        <v>3285.237768</v>
      </c>
      <c r="BG97" s="8">
        <v>3485.8653610000001</v>
      </c>
      <c r="BH97" s="8">
        <v>3204.7947020000001</v>
      </c>
      <c r="BI97" s="8">
        <v>3223.9567659999998</v>
      </c>
      <c r="BJ97" s="8">
        <v>3446.3758240000002</v>
      </c>
    </row>
    <row r="98" spans="1:63" ht="12.5" x14ac:dyDescent="0.25">
      <c r="A98" s="2">
        <v>112</v>
      </c>
      <c r="B98" s="2">
        <v>98</v>
      </c>
      <c r="C98" s="2">
        <v>44</v>
      </c>
      <c r="D98" s="2">
        <v>42</v>
      </c>
      <c r="E98" s="163" t="s">
        <v>141</v>
      </c>
      <c r="F98" t="s">
        <v>545</v>
      </c>
      <c r="G98" t="s">
        <v>1317</v>
      </c>
      <c r="H98" s="2">
        <v>97170</v>
      </c>
      <c r="I98" s="2">
        <v>479.8</v>
      </c>
      <c r="J98" s="15">
        <v>17.13</v>
      </c>
      <c r="K98" s="15">
        <v>12.68</v>
      </c>
      <c r="P98" s="2">
        <v>514</v>
      </c>
      <c r="Q98" s="2">
        <v>545.20000000000005</v>
      </c>
      <c r="R98" s="2">
        <v>648.20000000000005</v>
      </c>
      <c r="S98" s="2">
        <v>659.2</v>
      </c>
      <c r="T98" s="2">
        <v>560.9</v>
      </c>
      <c r="U98" s="2">
        <v>524.29999999999995</v>
      </c>
      <c r="V98" s="2">
        <v>497.2</v>
      </c>
      <c r="W98" s="2">
        <v>499.6</v>
      </c>
      <c r="X98" s="2">
        <v>446.5</v>
      </c>
      <c r="Y98" s="2">
        <v>520.29999999999995</v>
      </c>
      <c r="Z98" s="2">
        <v>461.5</v>
      </c>
      <c r="AA98" s="2">
        <v>446.6</v>
      </c>
      <c r="AB98" s="2">
        <v>479.7</v>
      </c>
      <c r="AE98" s="2">
        <v>586.20000000000005</v>
      </c>
      <c r="AF98" s="2">
        <v>469</v>
      </c>
      <c r="AG98" s="2">
        <v>479.8</v>
      </c>
      <c r="AH98" s="2">
        <v>643.79999999999995</v>
      </c>
      <c r="AI98" s="14" t="s">
        <v>772</v>
      </c>
      <c r="AJ98" s="2">
        <v>618.70000000000005</v>
      </c>
      <c r="AK98" s="14" t="s">
        <v>772</v>
      </c>
      <c r="AL98" s="14" t="s">
        <v>772</v>
      </c>
      <c r="AM98" s="19">
        <v>0.35000000000000003</v>
      </c>
      <c r="AN98" s="8">
        <f>(8+(24/60))*AJ98</f>
        <v>5197.0800000000008</v>
      </c>
      <c r="AX98" s="8">
        <v>490.75950599999999</v>
      </c>
      <c r="AY98" s="8">
        <v>470.16313600000001</v>
      </c>
      <c r="AZ98" s="8">
        <v>477.77046999999999</v>
      </c>
      <c r="BA98" s="8">
        <v>477.95627200000001</v>
      </c>
      <c r="BB98" s="8">
        <v>520.09435299999996</v>
      </c>
      <c r="BC98" s="8">
        <v>588.528547</v>
      </c>
      <c r="BD98" s="8">
        <v>687.70965200000001</v>
      </c>
      <c r="BE98" s="8">
        <v>611.64599999999996</v>
      </c>
      <c r="BF98" s="8">
        <v>626.455015</v>
      </c>
      <c r="BG98" s="8">
        <v>613.15158099999996</v>
      </c>
      <c r="BH98" s="8">
        <v>621.32125900000005</v>
      </c>
      <c r="BI98" s="8">
        <v>580.37590699999998</v>
      </c>
      <c r="BJ98" s="8">
        <v>627.26152100000002</v>
      </c>
    </row>
    <row r="99" spans="1:63" x14ac:dyDescent="0.3">
      <c r="A99" s="2">
        <v>14</v>
      </c>
      <c r="B99" s="2">
        <v>11</v>
      </c>
      <c r="C99" s="2">
        <v>45</v>
      </c>
      <c r="D99" s="2">
        <v>44</v>
      </c>
      <c r="E99" s="163" t="s">
        <v>32</v>
      </c>
      <c r="F99" t="s">
        <v>528</v>
      </c>
      <c r="G99" t="s">
        <v>1279</v>
      </c>
      <c r="H99" s="2">
        <v>24440</v>
      </c>
      <c r="I99" s="2">
        <v>629.79999999999995</v>
      </c>
      <c r="J99" s="15">
        <v>22.49</v>
      </c>
      <c r="K99" s="15">
        <v>15.26</v>
      </c>
      <c r="M99" s="1" t="s">
        <v>736</v>
      </c>
      <c r="N99" s="1" t="s">
        <v>16</v>
      </c>
      <c r="P99" s="2">
        <v>551.5</v>
      </c>
      <c r="Q99" s="2"/>
      <c r="R99" s="2"/>
      <c r="S99" s="2"/>
      <c r="T99" s="2">
        <v>613.70000000000005</v>
      </c>
      <c r="U99" s="2">
        <v>619.9</v>
      </c>
      <c r="V99" s="2">
        <v>586.29999999999995</v>
      </c>
      <c r="W99" s="2">
        <v>614.20000000000005</v>
      </c>
      <c r="X99" s="2">
        <v>561.4</v>
      </c>
      <c r="Y99" s="2">
        <v>639.1</v>
      </c>
      <c r="Z99" s="2">
        <v>650.5</v>
      </c>
      <c r="AA99" s="2">
        <v>609.1</v>
      </c>
      <c r="AB99" s="2">
        <v>604.5</v>
      </c>
      <c r="AC99" s="2">
        <v>594.70000000000005</v>
      </c>
      <c r="AD99" s="2">
        <v>630.1</v>
      </c>
      <c r="AE99" s="2">
        <v>572.20000000000005</v>
      </c>
      <c r="AF99" s="2">
        <v>676.6</v>
      </c>
      <c r="AG99" s="2">
        <v>611.5</v>
      </c>
      <c r="AH99" s="2">
        <v>661.6</v>
      </c>
      <c r="AI99" s="2" t="s">
        <v>772</v>
      </c>
      <c r="AJ99" s="2">
        <v>657.6</v>
      </c>
      <c r="AK99" s="2" t="s">
        <v>772</v>
      </c>
      <c r="AL99" s="2" t="s">
        <v>772</v>
      </c>
      <c r="AM99" s="19">
        <v>0.28680555555555554</v>
      </c>
      <c r="AN99" s="8">
        <f>(6+(53/60))*AJ99</f>
        <v>4526.4799999999996</v>
      </c>
      <c r="AO99">
        <v>2007</v>
      </c>
      <c r="AS99" s="5"/>
      <c r="AT99" s="5"/>
      <c r="AU99" s="5"/>
      <c r="AV99" t="s">
        <v>345</v>
      </c>
      <c r="AW99" t="s">
        <v>0</v>
      </c>
      <c r="AX99" s="8">
        <v>820.86205700000005</v>
      </c>
      <c r="AY99" s="8">
        <v>852.66623900000002</v>
      </c>
      <c r="AZ99" s="8">
        <v>838.62709800000005</v>
      </c>
      <c r="BA99" s="8">
        <v>802.94889999999998</v>
      </c>
      <c r="BB99" s="8">
        <v>769.41269499999999</v>
      </c>
      <c r="BC99" s="8">
        <v>781.59234200000003</v>
      </c>
      <c r="BD99" s="8">
        <v>811.13830199999995</v>
      </c>
      <c r="BE99" s="8">
        <v>798.64763300000004</v>
      </c>
      <c r="BF99" s="8">
        <v>884.20290999999997</v>
      </c>
      <c r="BG99" s="8">
        <v>943.28645200000005</v>
      </c>
      <c r="BH99" s="8">
        <v>1016.70463</v>
      </c>
      <c r="BI99" s="8">
        <v>876.173495</v>
      </c>
      <c r="BJ99" s="8">
        <v>959.87802299999998</v>
      </c>
    </row>
    <row r="100" spans="1:63" x14ac:dyDescent="0.3">
      <c r="E100" s="140" t="s">
        <v>1582</v>
      </c>
      <c r="F100" t="s">
        <v>528</v>
      </c>
      <c r="G100" t="s">
        <v>1279</v>
      </c>
      <c r="K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G100" s="2"/>
      <c r="AH100" s="2"/>
      <c r="AI100" s="2"/>
      <c r="AJ100" s="2"/>
      <c r="AK100" s="2"/>
      <c r="AL100" s="2"/>
      <c r="AM100" s="19"/>
      <c r="AN100" s="8"/>
      <c r="AS100" s="5"/>
      <c r="AT100" s="5"/>
      <c r="AU100" s="5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3" x14ac:dyDescent="0.3">
      <c r="E101" s="140" t="s">
        <v>1633</v>
      </c>
      <c r="F101" t="s">
        <v>528</v>
      </c>
      <c r="G101" t="s">
        <v>1279</v>
      </c>
      <c r="K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G101" s="2"/>
      <c r="AH101" s="2"/>
      <c r="AI101" s="2"/>
      <c r="AJ101" s="2"/>
      <c r="AK101" s="2"/>
      <c r="AL101" s="2"/>
      <c r="AM101" s="19"/>
      <c r="AN101" s="8"/>
      <c r="AS101" s="5"/>
      <c r="AT101" s="5"/>
      <c r="AU101" s="5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3" ht="12.5" x14ac:dyDescent="0.25">
      <c r="A102" s="2">
        <v>167</v>
      </c>
      <c r="B102" s="2">
        <v>180</v>
      </c>
      <c r="C102" s="2">
        <v>46</v>
      </c>
      <c r="D102" s="2">
        <v>54</v>
      </c>
      <c r="E102" s="138" t="s">
        <v>138</v>
      </c>
      <c r="F102" s="13" t="s">
        <v>692</v>
      </c>
      <c r="G102" s="13"/>
      <c r="H102" s="2">
        <v>430000</v>
      </c>
      <c r="I102" s="2">
        <v>1105</v>
      </c>
      <c r="J102" s="15">
        <v>39.479999999999997</v>
      </c>
      <c r="K102" s="15">
        <v>26.85</v>
      </c>
      <c r="P102" s="2">
        <v>846.9</v>
      </c>
      <c r="Q102" s="2"/>
      <c r="R102" s="2"/>
      <c r="S102" s="2"/>
      <c r="T102" s="2">
        <v>779.6</v>
      </c>
      <c r="U102" s="2">
        <v>808.4</v>
      </c>
      <c r="V102" s="2">
        <v>737</v>
      </c>
      <c r="W102" s="2">
        <v>787.1</v>
      </c>
      <c r="X102" s="2">
        <v>790.9</v>
      </c>
      <c r="Y102" s="2">
        <v>955.4</v>
      </c>
      <c r="AE102" s="2">
        <v>898.4</v>
      </c>
      <c r="AF102" s="2">
        <v>1041</v>
      </c>
      <c r="AG102" s="2">
        <v>1105</v>
      </c>
      <c r="AH102" s="2">
        <v>1190</v>
      </c>
      <c r="AI102" s="14" t="s">
        <v>772</v>
      </c>
      <c r="AJ102" s="2">
        <v>1082</v>
      </c>
      <c r="AK102" s="14" t="s">
        <v>772</v>
      </c>
      <c r="AL102" s="14" t="s">
        <v>772</v>
      </c>
      <c r="AM102" s="19">
        <v>0.1076388888888889</v>
      </c>
      <c r="AN102" s="8">
        <f>(2+(35/60))*AJ102</f>
        <v>2795.166666666667</v>
      </c>
      <c r="AX102" s="8">
        <v>680.23566600000004</v>
      </c>
      <c r="AY102" s="8">
        <v>664.95892600000002</v>
      </c>
      <c r="AZ102" s="8">
        <v>732.87795200000005</v>
      </c>
      <c r="BA102" s="8">
        <v>618.77449899999999</v>
      </c>
      <c r="BB102" s="8">
        <v>568.98987399999999</v>
      </c>
      <c r="BC102" s="8">
        <v>577.16074700000001</v>
      </c>
      <c r="BD102" s="8">
        <v>623.23126200000002</v>
      </c>
      <c r="BE102" s="8">
        <v>521.10570199999995</v>
      </c>
      <c r="BF102" s="8">
        <v>577.69731400000001</v>
      </c>
      <c r="BG102" s="8">
        <v>605.34918600000003</v>
      </c>
      <c r="BH102" s="8">
        <v>659.28087700000003</v>
      </c>
      <c r="BI102" s="8">
        <v>679.57280000000003</v>
      </c>
      <c r="BJ102" s="8">
        <v>599.91163100000006</v>
      </c>
    </row>
    <row r="103" spans="1:63" ht="12.5" x14ac:dyDescent="0.25">
      <c r="A103" s="2">
        <v>1462</v>
      </c>
      <c r="B103" s="2" t="s">
        <v>772</v>
      </c>
      <c r="C103" s="2">
        <v>47</v>
      </c>
      <c r="D103" s="2">
        <v>59</v>
      </c>
      <c r="E103" s="142" t="s">
        <v>1515</v>
      </c>
      <c r="F103" s="12" t="s">
        <v>2</v>
      </c>
      <c r="K103" s="15"/>
      <c r="P103" s="2">
        <v>473.8</v>
      </c>
      <c r="Q103" s="2"/>
      <c r="R103" s="2"/>
      <c r="S103" s="2"/>
      <c r="T103" s="2">
        <v>408.5</v>
      </c>
      <c r="U103" s="2">
        <v>423.5</v>
      </c>
      <c r="V103" s="2">
        <v>391.9</v>
      </c>
      <c r="W103" s="2">
        <v>408.8</v>
      </c>
      <c r="X103" s="2">
        <v>366.2</v>
      </c>
      <c r="Y103" s="2">
        <v>437.5</v>
      </c>
      <c r="AE103" s="2"/>
      <c r="AG103" s="2"/>
      <c r="AH103" s="2"/>
      <c r="AI103" s="2"/>
      <c r="AJ103" s="2"/>
      <c r="AK103" s="2"/>
      <c r="AL103" s="2"/>
      <c r="AM103" s="19"/>
      <c r="AN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3" ht="12.5" x14ac:dyDescent="0.25">
      <c r="A104" s="2">
        <v>45</v>
      </c>
      <c r="B104" s="2">
        <v>43</v>
      </c>
      <c r="C104" s="2">
        <v>48</v>
      </c>
      <c r="D104" s="2">
        <v>46</v>
      </c>
      <c r="E104" s="138" t="s">
        <v>29</v>
      </c>
      <c r="F104" t="s">
        <v>6</v>
      </c>
      <c r="H104" s="2">
        <v>8000</v>
      </c>
      <c r="I104" s="2">
        <v>1025</v>
      </c>
      <c r="J104" s="54">
        <v>36.630000000000003</v>
      </c>
      <c r="K104" s="54">
        <v>21.86</v>
      </c>
      <c r="M104" s="1" t="s">
        <v>17</v>
      </c>
      <c r="N104" s="1" t="s">
        <v>11</v>
      </c>
      <c r="P104" s="2">
        <v>514.29999999999995</v>
      </c>
      <c r="Q104" s="2"/>
      <c r="R104" s="2"/>
      <c r="S104" s="2"/>
      <c r="T104" s="2">
        <v>579</v>
      </c>
      <c r="U104" s="2">
        <v>586.9</v>
      </c>
      <c r="V104" s="2">
        <v>564.5</v>
      </c>
      <c r="W104" s="2">
        <v>576.1</v>
      </c>
      <c r="X104" s="2">
        <v>511.3</v>
      </c>
      <c r="Y104" s="2">
        <v>589.20000000000005</v>
      </c>
      <c r="AE104" s="2">
        <v>548.6</v>
      </c>
      <c r="AF104" s="2">
        <v>1032</v>
      </c>
      <c r="AG104" s="2">
        <v>948.2</v>
      </c>
      <c r="AH104" s="2">
        <v>1052</v>
      </c>
      <c r="AI104" s="2">
        <v>1072</v>
      </c>
      <c r="AJ104" s="2">
        <v>1073</v>
      </c>
      <c r="AK104" s="2" t="s">
        <v>772</v>
      </c>
      <c r="AL104" s="2" t="s">
        <v>772</v>
      </c>
      <c r="AM104" s="19">
        <v>0.28194444444444444</v>
      </c>
      <c r="AN104" s="57">
        <f>(6+(46/60))*AJ104</f>
        <v>7260.6333333333332</v>
      </c>
      <c r="AO104">
        <v>2015</v>
      </c>
      <c r="AT104" s="1">
        <v>1600</v>
      </c>
      <c r="AX104" s="26">
        <v>698.68499999999995</v>
      </c>
      <c r="AY104" s="26">
        <v>770.99800000000005</v>
      </c>
      <c r="AZ104" s="26">
        <v>699.09799999999996</v>
      </c>
      <c r="BA104" s="26">
        <v>706.00800000000004</v>
      </c>
      <c r="BB104" s="26">
        <v>676.98</v>
      </c>
      <c r="BC104" s="26">
        <v>658.24400000000003</v>
      </c>
      <c r="BD104" s="26">
        <v>763.58199999999999</v>
      </c>
      <c r="BE104" s="26">
        <v>752.375</v>
      </c>
      <c r="BF104" s="26">
        <v>763.38400000000001</v>
      </c>
      <c r="BG104" s="26">
        <v>824.27</v>
      </c>
      <c r="BH104" s="26">
        <v>760.05799999999999</v>
      </c>
      <c r="BI104" s="26">
        <v>706.56500000000005</v>
      </c>
      <c r="BJ104" s="26">
        <v>718.58100000000002</v>
      </c>
    </row>
    <row r="105" spans="1:63" x14ac:dyDescent="0.3">
      <c r="A105" s="2">
        <v>26</v>
      </c>
      <c r="B105" s="2">
        <v>25</v>
      </c>
      <c r="C105" s="2">
        <v>49</v>
      </c>
      <c r="D105" s="2">
        <v>47</v>
      </c>
      <c r="E105" s="138" t="s">
        <v>40</v>
      </c>
      <c r="F105" t="s">
        <v>6</v>
      </c>
      <c r="H105" s="2">
        <v>500</v>
      </c>
      <c r="I105" s="2">
        <v>744.4</v>
      </c>
      <c r="J105" s="15">
        <v>26.58</v>
      </c>
      <c r="K105" s="15">
        <v>11.74</v>
      </c>
      <c r="M105" s="1" t="s">
        <v>11</v>
      </c>
      <c r="P105" s="2">
        <v>645.29999999999995</v>
      </c>
      <c r="Q105" s="2"/>
      <c r="R105" s="2"/>
      <c r="S105" s="2"/>
      <c r="T105" s="2">
        <v>696.7</v>
      </c>
      <c r="U105" s="2">
        <v>722.4</v>
      </c>
      <c r="V105" s="2">
        <v>713.7</v>
      </c>
      <c r="W105" s="2">
        <v>766.7</v>
      </c>
      <c r="X105" s="2">
        <v>699.6</v>
      </c>
      <c r="Y105" s="2">
        <v>779.1</v>
      </c>
      <c r="Z105" s="2">
        <v>785.9</v>
      </c>
      <c r="AA105" s="2">
        <v>767.6</v>
      </c>
      <c r="AB105" s="2">
        <v>781.3</v>
      </c>
      <c r="AC105" s="2">
        <v>770.4</v>
      </c>
      <c r="AD105" s="2">
        <v>807.7</v>
      </c>
      <c r="AE105" s="2">
        <v>749.4</v>
      </c>
      <c r="AF105" s="2">
        <v>723.6</v>
      </c>
      <c r="AG105" s="2">
        <v>737.1</v>
      </c>
      <c r="AH105" s="2">
        <v>758.9</v>
      </c>
      <c r="AI105" s="2" t="s">
        <v>772</v>
      </c>
      <c r="AJ105" s="2">
        <v>746.8</v>
      </c>
      <c r="AK105" s="2" t="s">
        <v>772</v>
      </c>
      <c r="AL105" s="2" t="s">
        <v>772</v>
      </c>
      <c r="AM105" s="19">
        <v>0.36180555555555555</v>
      </c>
      <c r="AN105" s="8">
        <f>(8+(41/60))*AJ105</f>
        <v>6484.7133333333331</v>
      </c>
      <c r="AS105" s="5"/>
      <c r="AT105" s="5"/>
      <c r="AU105" s="5"/>
      <c r="AV105" s="11"/>
      <c r="AX105" s="8">
        <v>4604.0363379999999</v>
      </c>
      <c r="AY105" s="8">
        <v>4599.4899839999998</v>
      </c>
      <c r="AZ105" s="8">
        <v>4668.3992340000004</v>
      </c>
      <c r="BA105" s="8">
        <v>4729.5514489999996</v>
      </c>
      <c r="BB105" s="8">
        <v>4249.4898110000004</v>
      </c>
      <c r="BC105" s="8">
        <v>3841.338424</v>
      </c>
      <c r="BD105" s="8">
        <v>4391.1291549999996</v>
      </c>
      <c r="BE105" s="8">
        <v>4152.5609249999998</v>
      </c>
      <c r="BF105" s="8">
        <v>4780.5267750000003</v>
      </c>
      <c r="BG105" s="8">
        <v>4874.2457709999999</v>
      </c>
      <c r="BH105" s="8">
        <v>4673.1216999999997</v>
      </c>
      <c r="BI105" s="8">
        <v>4096.3345509999999</v>
      </c>
      <c r="BJ105" s="8">
        <v>4525.5285919999997</v>
      </c>
    </row>
    <row r="106" spans="1:63" ht="12.5" x14ac:dyDescent="0.25">
      <c r="A106" s="2">
        <v>779</v>
      </c>
      <c r="B106" s="2" t="s">
        <v>772</v>
      </c>
      <c r="C106" s="2">
        <v>50</v>
      </c>
      <c r="D106" s="2">
        <v>48</v>
      </c>
      <c r="E106" s="138" t="s">
        <v>1479</v>
      </c>
      <c r="F106" t="s">
        <v>1227</v>
      </c>
      <c r="K106" s="15"/>
      <c r="P106" s="2">
        <v>409</v>
      </c>
      <c r="Q106" s="2"/>
      <c r="R106" s="2"/>
      <c r="S106" s="2"/>
      <c r="T106" s="2">
        <v>446.1</v>
      </c>
      <c r="U106" s="2">
        <v>450.1</v>
      </c>
      <c r="V106" s="2">
        <v>431</v>
      </c>
      <c r="W106" s="2">
        <v>436.2</v>
      </c>
      <c r="X106" s="2">
        <v>394.6</v>
      </c>
      <c r="Y106" s="2">
        <v>437.5</v>
      </c>
      <c r="AE106" s="2"/>
      <c r="AG106" s="2"/>
      <c r="AH106" s="2"/>
      <c r="AI106" s="14"/>
      <c r="AJ106" s="14"/>
      <c r="AK106" s="14"/>
      <c r="AL106" s="14"/>
      <c r="AM106" s="19"/>
      <c r="AN106" s="8"/>
    </row>
    <row r="107" spans="1:63" s="78" customFormat="1" ht="12.5" x14ac:dyDescent="0.25">
      <c r="A107" s="87">
        <v>416</v>
      </c>
      <c r="B107" s="87">
        <v>380</v>
      </c>
      <c r="C107" s="87">
        <v>57</v>
      </c>
      <c r="D107" s="87">
        <v>56</v>
      </c>
      <c r="E107" s="141" t="s">
        <v>289</v>
      </c>
      <c r="F107" s="78" t="s">
        <v>1227</v>
      </c>
      <c r="G107" s="78" t="s">
        <v>1280</v>
      </c>
      <c r="H107" s="87"/>
      <c r="I107" s="87">
        <v>656.2</v>
      </c>
      <c r="J107" s="89">
        <v>23.43</v>
      </c>
      <c r="K107" s="89">
        <v>16.88</v>
      </c>
      <c r="L107" s="87"/>
      <c r="M107" s="90"/>
      <c r="N107" s="90"/>
      <c r="O107" s="90"/>
      <c r="P107" s="87">
        <v>705.2</v>
      </c>
      <c r="Q107" s="87"/>
      <c r="R107" s="87"/>
      <c r="S107" s="87"/>
      <c r="T107" s="87">
        <v>779</v>
      </c>
      <c r="U107" s="87">
        <v>765.6</v>
      </c>
      <c r="V107" s="87">
        <v>736.3</v>
      </c>
      <c r="W107" s="87">
        <v>758.1</v>
      </c>
      <c r="X107" s="87">
        <v>702.8</v>
      </c>
      <c r="Y107" s="87">
        <v>802.9</v>
      </c>
      <c r="Z107" s="90"/>
      <c r="AA107" s="90"/>
      <c r="AB107" s="90"/>
      <c r="AC107" s="90"/>
      <c r="AD107" s="90"/>
      <c r="AE107" s="87">
        <v>649</v>
      </c>
      <c r="AF107" s="87">
        <v>772.3</v>
      </c>
      <c r="AG107" s="87">
        <v>635.4</v>
      </c>
      <c r="AH107" s="87">
        <v>656.2</v>
      </c>
      <c r="AI107" s="91" t="s">
        <v>772</v>
      </c>
      <c r="AJ107" s="91" t="s">
        <v>772</v>
      </c>
      <c r="AK107" s="91" t="s">
        <v>772</v>
      </c>
      <c r="AL107" s="91" t="s">
        <v>772</v>
      </c>
      <c r="AM107" s="92">
        <v>0.13402777777777777</v>
      </c>
      <c r="AN107" s="84">
        <f>(3+(13/60))*AH107</f>
        <v>2110.7766666666671</v>
      </c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</row>
    <row r="108" spans="1:63" ht="12.5" x14ac:dyDescent="0.25">
      <c r="A108" s="2">
        <v>53</v>
      </c>
      <c r="B108" s="2">
        <v>38</v>
      </c>
      <c r="C108" s="2">
        <v>50</v>
      </c>
      <c r="D108" s="2">
        <v>45</v>
      </c>
      <c r="E108" s="138" t="s">
        <v>52</v>
      </c>
      <c r="F108" t="s">
        <v>521</v>
      </c>
      <c r="H108" s="2">
        <v>24420</v>
      </c>
      <c r="I108" s="2">
        <v>716.2</v>
      </c>
      <c r="J108" s="15">
        <v>25.57</v>
      </c>
      <c r="K108" s="15">
        <v>9.7479999999999993</v>
      </c>
      <c r="P108" s="2">
        <v>570.20000000000005</v>
      </c>
      <c r="Q108" s="2"/>
      <c r="R108" s="2"/>
      <c r="S108" s="2"/>
      <c r="T108" s="2">
        <v>738.2</v>
      </c>
      <c r="U108" s="2">
        <v>660</v>
      </c>
      <c r="V108" s="2">
        <v>598.9</v>
      </c>
      <c r="W108" s="2">
        <v>597.5</v>
      </c>
      <c r="X108" s="2">
        <v>535.79999999999995</v>
      </c>
      <c r="Y108" s="2">
        <v>667.8</v>
      </c>
      <c r="AE108" s="2">
        <v>706.4</v>
      </c>
      <c r="AF108" s="2">
        <v>742.7</v>
      </c>
      <c r="AG108" s="2">
        <v>639.70000000000005</v>
      </c>
      <c r="AH108" s="2">
        <v>809.5</v>
      </c>
      <c r="AI108" s="2" t="s">
        <v>772</v>
      </c>
      <c r="AJ108" s="2">
        <v>801.5</v>
      </c>
      <c r="AK108" s="2" t="s">
        <v>772</v>
      </c>
      <c r="AL108" s="2" t="s">
        <v>772</v>
      </c>
      <c r="AM108" s="19">
        <v>0.56944444444444442</v>
      </c>
      <c r="AN108" s="8">
        <f>(13+(40/60))*AJ108</f>
        <v>10953.833333333332</v>
      </c>
      <c r="AX108" s="8">
        <v>432.30477400000001</v>
      </c>
      <c r="AY108" s="8">
        <v>453.17909400000002</v>
      </c>
      <c r="AZ108" s="8">
        <v>399.76040799999998</v>
      </c>
      <c r="BA108" s="8">
        <v>469.298565</v>
      </c>
      <c r="BB108" s="8">
        <v>480.974806</v>
      </c>
      <c r="BC108" s="8">
        <v>522.93825500000003</v>
      </c>
      <c r="BD108" s="8">
        <v>552.21293400000002</v>
      </c>
      <c r="BE108" s="8">
        <v>498.928045</v>
      </c>
      <c r="BF108" s="8">
        <v>466.76536800000002</v>
      </c>
      <c r="BG108" s="8">
        <v>565.30447900000001</v>
      </c>
      <c r="BH108" s="8">
        <v>480.35779000000002</v>
      </c>
      <c r="BI108" s="8">
        <v>474.88726400000002</v>
      </c>
      <c r="BJ108" s="8">
        <v>492.14461599999998</v>
      </c>
    </row>
    <row r="109" spans="1:63" ht="12.5" x14ac:dyDescent="0.25">
      <c r="A109" s="2">
        <v>3165</v>
      </c>
      <c r="B109" s="2">
        <v>2613</v>
      </c>
      <c r="C109" s="2">
        <v>51</v>
      </c>
      <c r="D109" s="2">
        <v>52</v>
      </c>
      <c r="E109" s="138" t="s">
        <v>1230</v>
      </c>
      <c r="F109" t="s">
        <v>2</v>
      </c>
      <c r="G109" t="s">
        <v>1279</v>
      </c>
      <c r="I109" s="2">
        <v>525</v>
      </c>
      <c r="J109" s="15">
        <v>18.75</v>
      </c>
      <c r="K109" s="15">
        <v>11.28</v>
      </c>
      <c r="P109" s="2">
        <v>479.9</v>
      </c>
      <c r="Q109" s="2"/>
      <c r="R109" s="2"/>
      <c r="S109" s="2"/>
      <c r="T109" s="2">
        <v>497</v>
      </c>
      <c r="U109" s="2">
        <v>543.6</v>
      </c>
      <c r="V109" s="2">
        <v>519.9</v>
      </c>
      <c r="W109" s="2">
        <v>534.29999999999995</v>
      </c>
      <c r="X109" s="2">
        <v>496.2</v>
      </c>
      <c r="Y109" s="2">
        <v>577.70000000000005</v>
      </c>
      <c r="AE109" s="2">
        <v>522.29999999999995</v>
      </c>
      <c r="AF109" s="2">
        <v>568.9</v>
      </c>
      <c r="AG109" s="2">
        <v>531.20000000000005</v>
      </c>
      <c r="AH109" s="2">
        <v>525</v>
      </c>
      <c r="AI109" s="14" t="s">
        <v>772</v>
      </c>
      <c r="AJ109" s="14" t="s">
        <v>772</v>
      </c>
      <c r="AK109" s="14" t="s">
        <v>772</v>
      </c>
      <c r="AL109" s="14" t="s">
        <v>772</v>
      </c>
      <c r="AM109" s="19">
        <v>0.2722222222222222</v>
      </c>
      <c r="AN109" s="8">
        <f>(6+(32/60))*AH109</f>
        <v>3430</v>
      </c>
    </row>
    <row r="110" spans="1:63" ht="12.5" x14ac:dyDescent="0.25">
      <c r="A110" s="2">
        <v>297</v>
      </c>
      <c r="B110" s="2">
        <v>228</v>
      </c>
      <c r="C110" s="2">
        <v>52</v>
      </c>
      <c r="D110" s="2">
        <v>50</v>
      </c>
      <c r="E110" s="138" t="s">
        <v>295</v>
      </c>
      <c r="F110" t="s">
        <v>716</v>
      </c>
      <c r="G110" t="s">
        <v>1279</v>
      </c>
      <c r="I110" s="2">
        <v>429.5</v>
      </c>
      <c r="J110" s="15">
        <v>15.34</v>
      </c>
      <c r="K110" s="15">
        <v>11.46</v>
      </c>
      <c r="P110" s="2">
        <v>542.70000000000005</v>
      </c>
      <c r="Q110" s="2"/>
      <c r="R110" s="2"/>
      <c r="S110" s="2"/>
      <c r="T110" s="2">
        <v>603.5</v>
      </c>
      <c r="U110" s="2">
        <v>599.29999999999995</v>
      </c>
      <c r="V110" s="2">
        <v>600.70000000000005</v>
      </c>
      <c r="W110" s="2">
        <v>691.7</v>
      </c>
      <c r="X110" s="2">
        <v>578.79999999999995</v>
      </c>
      <c r="Y110" s="2">
        <v>683.4</v>
      </c>
      <c r="AE110" s="2">
        <v>548.4</v>
      </c>
      <c r="AF110" s="2">
        <v>424.2</v>
      </c>
      <c r="AG110" s="2">
        <v>405.2</v>
      </c>
      <c r="AH110" s="2">
        <v>429.5</v>
      </c>
      <c r="AI110" s="14" t="s">
        <v>772</v>
      </c>
      <c r="AJ110" s="14" t="s">
        <v>772</v>
      </c>
      <c r="AK110" s="14" t="s">
        <v>772</v>
      </c>
      <c r="AL110" s="14" t="s">
        <v>772</v>
      </c>
      <c r="AM110" s="19">
        <v>0.26041666666666669</v>
      </c>
      <c r="AN110" s="8">
        <f>(6+(15/60))*AH110</f>
        <v>2684.375</v>
      </c>
      <c r="AX110" s="8">
        <v>1094.784895</v>
      </c>
      <c r="AY110" s="8">
        <v>960.43197699999996</v>
      </c>
      <c r="AZ110" s="8">
        <v>1214.078391</v>
      </c>
      <c r="BA110" s="8">
        <v>940.98224400000004</v>
      </c>
      <c r="BB110" s="8">
        <v>896.66917899999999</v>
      </c>
      <c r="BC110" s="8">
        <v>834.08874600000001</v>
      </c>
      <c r="BD110" s="8">
        <v>886.58929799999999</v>
      </c>
      <c r="BE110" s="8">
        <v>831.39114400000005</v>
      </c>
      <c r="BF110" s="8">
        <v>867.04938700000002</v>
      </c>
      <c r="BG110" s="8">
        <v>916.61299399999996</v>
      </c>
      <c r="BH110" s="8">
        <v>1007.941341</v>
      </c>
      <c r="BI110" s="8">
        <v>922.19362899999999</v>
      </c>
      <c r="BJ110" s="8">
        <v>934.82968400000004</v>
      </c>
    </row>
    <row r="111" spans="1:63" ht="12.5" x14ac:dyDescent="0.25">
      <c r="A111" s="2">
        <v>56</v>
      </c>
      <c r="B111" s="2">
        <v>59</v>
      </c>
      <c r="C111" s="2">
        <v>54</v>
      </c>
      <c r="D111" s="2">
        <v>57</v>
      </c>
      <c r="E111" s="138" t="s">
        <v>85</v>
      </c>
      <c r="F111" t="s">
        <v>553</v>
      </c>
      <c r="G111" t="s">
        <v>1311</v>
      </c>
      <c r="H111" s="2">
        <v>27530</v>
      </c>
      <c r="I111" s="2">
        <v>444.2</v>
      </c>
      <c r="J111" s="15">
        <v>15.86</v>
      </c>
      <c r="K111" s="15">
        <v>10.77</v>
      </c>
      <c r="M111" s="1" t="s">
        <v>16</v>
      </c>
      <c r="N111" s="1" t="s">
        <v>16</v>
      </c>
      <c r="P111" s="2">
        <v>494.5</v>
      </c>
      <c r="Q111" s="2"/>
      <c r="R111" s="2"/>
      <c r="S111" s="2"/>
      <c r="T111" s="2">
        <v>493.3</v>
      </c>
      <c r="U111" s="2">
        <v>511.8</v>
      </c>
      <c r="V111" s="2">
        <v>495.7</v>
      </c>
      <c r="W111" s="2">
        <v>511.4</v>
      </c>
      <c r="X111" s="2">
        <v>455.8</v>
      </c>
      <c r="Y111" s="2">
        <v>501</v>
      </c>
      <c r="AE111" s="2">
        <v>430.9</v>
      </c>
      <c r="AF111" s="2">
        <v>450.1</v>
      </c>
      <c r="AG111" s="2">
        <v>432.6</v>
      </c>
      <c r="AH111" s="2">
        <v>444.2</v>
      </c>
      <c r="AI111" s="2" t="s">
        <v>772</v>
      </c>
      <c r="AJ111" s="2">
        <v>447.6</v>
      </c>
      <c r="AK111" s="2" t="s">
        <v>772</v>
      </c>
      <c r="AL111" s="2" t="s">
        <v>772</v>
      </c>
      <c r="AM111" s="19">
        <v>0.35902777777777778</v>
      </c>
      <c r="AN111" s="8">
        <f>(8+(37/60))*AJ111</f>
        <v>3856.8200000000006</v>
      </c>
      <c r="AV111" t="s">
        <v>457</v>
      </c>
      <c r="AX111" s="8">
        <v>787.53838900000005</v>
      </c>
      <c r="AY111" s="8">
        <v>858.319976</v>
      </c>
      <c r="AZ111" s="8">
        <v>824.08228799999995</v>
      </c>
      <c r="BA111" s="8">
        <v>745.788905</v>
      </c>
      <c r="BB111" s="8">
        <v>706.14276299999995</v>
      </c>
      <c r="BC111" s="8">
        <v>691.25224500000002</v>
      </c>
      <c r="BD111" s="8">
        <v>773.57872699999996</v>
      </c>
      <c r="BE111" s="8">
        <v>729.36027000000001</v>
      </c>
      <c r="BF111" s="8">
        <v>824.79786100000001</v>
      </c>
      <c r="BG111" s="8">
        <v>855.64015600000005</v>
      </c>
      <c r="BH111" s="8">
        <v>851.39281800000003</v>
      </c>
      <c r="BI111" s="8">
        <v>776.06953399999998</v>
      </c>
      <c r="BJ111" s="8">
        <v>735.55738399999996</v>
      </c>
    </row>
    <row r="112" spans="1:63" ht="12.5" x14ac:dyDescent="0.25">
      <c r="A112" s="2">
        <v>33</v>
      </c>
      <c r="B112" s="2">
        <v>32</v>
      </c>
      <c r="C112" s="2">
        <v>55</v>
      </c>
      <c r="D112" s="2">
        <v>53</v>
      </c>
      <c r="E112" s="138" t="s">
        <v>56</v>
      </c>
      <c r="F112" t="s">
        <v>532</v>
      </c>
      <c r="G112" t="s">
        <v>1476</v>
      </c>
      <c r="H112" s="2">
        <v>65000</v>
      </c>
      <c r="I112" s="2">
        <v>545.5</v>
      </c>
      <c r="J112" s="15">
        <v>19.48</v>
      </c>
      <c r="K112" s="15">
        <v>14.08</v>
      </c>
      <c r="P112" s="2">
        <v>361.2</v>
      </c>
      <c r="Q112" s="2"/>
      <c r="R112" s="2"/>
      <c r="S112" s="2"/>
      <c r="T112" s="2">
        <v>389</v>
      </c>
      <c r="U112" s="2">
        <v>388</v>
      </c>
      <c r="V112" s="2">
        <v>377.4</v>
      </c>
      <c r="W112" s="2">
        <v>404.6</v>
      </c>
      <c r="X112" s="2">
        <v>372.9</v>
      </c>
      <c r="Y112" s="2">
        <v>420.1</v>
      </c>
      <c r="AE112" s="2">
        <v>401.3</v>
      </c>
      <c r="AF112" s="2">
        <v>474.9</v>
      </c>
      <c r="AG112" s="2">
        <v>553.5</v>
      </c>
      <c r="AH112" s="2">
        <v>570.5</v>
      </c>
      <c r="AI112" s="2" t="s">
        <v>772</v>
      </c>
      <c r="AJ112" s="2">
        <v>570.1</v>
      </c>
      <c r="AK112" s="2" t="s">
        <v>772</v>
      </c>
      <c r="AL112" s="2" t="s">
        <v>772</v>
      </c>
      <c r="AM112" s="19">
        <v>0.2722222222222222</v>
      </c>
      <c r="AN112" s="8">
        <f>(6+(32/60))*AJ112</f>
        <v>3724.6533333333332</v>
      </c>
      <c r="AX112" s="8">
        <v>743.942138</v>
      </c>
      <c r="AY112" s="8">
        <v>670.41076199999998</v>
      </c>
      <c r="AZ112" s="8">
        <v>720.47181799999998</v>
      </c>
      <c r="BA112" s="8">
        <v>776.75492099999997</v>
      </c>
      <c r="BB112" s="8">
        <v>774.34571400000004</v>
      </c>
      <c r="BC112" s="8">
        <v>752.17668000000003</v>
      </c>
      <c r="BD112" s="8">
        <v>836.13044200000002</v>
      </c>
      <c r="BE112" s="8">
        <v>868.07506899999998</v>
      </c>
      <c r="BF112" s="8">
        <v>963.322676</v>
      </c>
      <c r="BG112" s="8">
        <v>906.84393599999999</v>
      </c>
      <c r="BH112" s="8">
        <v>939.100595</v>
      </c>
      <c r="BI112" s="8">
        <v>827.53197899999998</v>
      </c>
      <c r="BJ112" s="8">
        <v>864.37088600000004</v>
      </c>
    </row>
    <row r="113" spans="1:62" ht="12.5" x14ac:dyDescent="0.25">
      <c r="A113" s="2">
        <v>51</v>
      </c>
      <c r="B113" s="2">
        <v>65</v>
      </c>
      <c r="C113" s="2">
        <v>55</v>
      </c>
      <c r="D113" s="2">
        <v>81</v>
      </c>
      <c r="E113" s="138" t="s">
        <v>87</v>
      </c>
      <c r="F113" t="s">
        <v>535</v>
      </c>
      <c r="G113" t="s">
        <v>1279</v>
      </c>
      <c r="H113" s="2">
        <v>2500000</v>
      </c>
      <c r="I113" s="2">
        <v>414.6</v>
      </c>
      <c r="J113" s="15">
        <v>14.81</v>
      </c>
      <c r="K113" s="15">
        <v>12.37</v>
      </c>
      <c r="P113" s="2">
        <v>554.20000000000005</v>
      </c>
      <c r="Q113" s="2"/>
      <c r="R113" s="2"/>
      <c r="S113" s="2"/>
      <c r="T113" s="2">
        <v>448.7</v>
      </c>
      <c r="U113" s="2">
        <v>447.9</v>
      </c>
      <c r="V113" s="2">
        <v>447.4</v>
      </c>
      <c r="W113" s="2">
        <v>496.4</v>
      </c>
      <c r="X113" s="2">
        <v>454.2</v>
      </c>
      <c r="Y113" s="2">
        <v>500</v>
      </c>
      <c r="AE113" s="2">
        <v>413.7</v>
      </c>
      <c r="AF113" s="2">
        <v>434.8</v>
      </c>
      <c r="AG113" s="2">
        <v>473</v>
      </c>
      <c r="AH113" s="2">
        <v>414.6</v>
      </c>
      <c r="AI113" s="2" t="s">
        <v>772</v>
      </c>
      <c r="AJ113" s="2">
        <v>416.9</v>
      </c>
      <c r="AK113" s="2" t="s">
        <v>772</v>
      </c>
      <c r="AL113" s="2" t="s">
        <v>772</v>
      </c>
      <c r="AM113" s="19">
        <v>0.11388888888888889</v>
      </c>
      <c r="AN113" s="8">
        <f>(2+(44/60))*AJ113</f>
        <v>1139.5266666666666</v>
      </c>
      <c r="AX113" s="8">
        <v>811.09258399999999</v>
      </c>
      <c r="AY113" s="8">
        <v>830.66685299999995</v>
      </c>
      <c r="AZ113" s="8">
        <v>811.96907199999998</v>
      </c>
      <c r="BA113" s="8">
        <v>810.35871099999997</v>
      </c>
      <c r="BB113" s="8">
        <v>860.965371</v>
      </c>
      <c r="BC113" s="8">
        <v>694.31608100000005</v>
      </c>
      <c r="BD113" s="8">
        <v>777.36762299999998</v>
      </c>
      <c r="BE113" s="8">
        <v>798.58134600000005</v>
      </c>
      <c r="BF113" s="8">
        <v>789.93538799999999</v>
      </c>
      <c r="BG113" s="8">
        <v>795.43452600000001</v>
      </c>
      <c r="BH113" s="8">
        <v>853.22432200000003</v>
      </c>
      <c r="BI113" s="8">
        <v>775.90451299999995</v>
      </c>
      <c r="BJ113" s="8">
        <v>799.54240500000003</v>
      </c>
    </row>
    <row r="114" spans="1:62" ht="12.5" x14ac:dyDescent="0.25">
      <c r="A114" s="2">
        <v>16</v>
      </c>
      <c r="B114" s="2">
        <v>10</v>
      </c>
      <c r="C114" s="2">
        <v>58</v>
      </c>
      <c r="D114" s="2">
        <v>49</v>
      </c>
      <c r="E114" s="138" t="s">
        <v>47</v>
      </c>
      <c r="F114" t="s">
        <v>530</v>
      </c>
      <c r="G114" t="s">
        <v>1306</v>
      </c>
      <c r="H114" s="8">
        <v>10740</v>
      </c>
      <c r="I114" s="2">
        <v>291.8</v>
      </c>
      <c r="J114" s="15">
        <v>10.42</v>
      </c>
      <c r="K114" s="15">
        <v>7.625</v>
      </c>
      <c r="P114" s="2">
        <v>280.5</v>
      </c>
      <c r="Q114" s="2"/>
      <c r="R114" s="2"/>
      <c r="S114" s="2"/>
      <c r="T114" s="2">
        <v>351.2</v>
      </c>
      <c r="U114" s="2">
        <v>360.6</v>
      </c>
      <c r="V114" s="2">
        <v>344.5</v>
      </c>
      <c r="W114" s="2">
        <v>353.7</v>
      </c>
      <c r="X114" s="2">
        <v>309.7</v>
      </c>
      <c r="Y114" s="2">
        <v>344.6</v>
      </c>
      <c r="Z114" s="2">
        <v>303.8</v>
      </c>
      <c r="AA114" s="2">
        <v>302.7</v>
      </c>
      <c r="AB114" s="2">
        <v>319.2</v>
      </c>
      <c r="AC114" s="2">
        <v>332.9</v>
      </c>
      <c r="AD114" s="2">
        <v>365.8</v>
      </c>
      <c r="AE114" s="2">
        <v>336.1</v>
      </c>
      <c r="AF114" s="2">
        <v>260.89999999999998</v>
      </c>
      <c r="AG114" s="2">
        <v>283.7</v>
      </c>
      <c r="AH114" s="2">
        <v>316.10000000000002</v>
      </c>
      <c r="AI114" s="2" t="s">
        <v>772</v>
      </c>
      <c r="AJ114" s="2">
        <v>312.60000000000002</v>
      </c>
      <c r="AK114" s="2" t="s">
        <v>772</v>
      </c>
      <c r="AL114" s="2" t="s">
        <v>772</v>
      </c>
      <c r="AM114" s="19">
        <v>0.25763888888888892</v>
      </c>
      <c r="AN114" s="8">
        <f>(6+(11/60))*AJ114</f>
        <v>1932.9100000000003</v>
      </c>
      <c r="AX114" s="8">
        <v>306.76134100000002</v>
      </c>
      <c r="AY114" s="8">
        <v>293.31308300000001</v>
      </c>
      <c r="AZ114" s="8">
        <v>299.15607899999998</v>
      </c>
      <c r="BA114" s="8">
        <v>315.33464400000003</v>
      </c>
      <c r="BB114" s="8">
        <v>309.341092</v>
      </c>
      <c r="BC114" s="8">
        <v>327.20585399999999</v>
      </c>
      <c r="BD114" s="8">
        <v>360.69683500000002</v>
      </c>
      <c r="BE114" s="8">
        <v>356.384929</v>
      </c>
      <c r="BF114" s="8">
        <v>404.886506</v>
      </c>
      <c r="BG114" s="8">
        <v>368.35873900000001</v>
      </c>
      <c r="BH114" s="8">
        <v>392.94392399999998</v>
      </c>
      <c r="BI114" s="8">
        <v>321.156429</v>
      </c>
      <c r="BJ114" s="8">
        <v>340.02511500000003</v>
      </c>
    </row>
    <row r="115" spans="1:62" ht="12.5" x14ac:dyDescent="0.25">
      <c r="A115" s="2">
        <v>42</v>
      </c>
      <c r="B115" s="2">
        <v>34</v>
      </c>
      <c r="C115" s="2">
        <v>57</v>
      </c>
      <c r="D115" s="2">
        <v>55</v>
      </c>
      <c r="E115" s="138" t="s">
        <v>45</v>
      </c>
      <c r="F115" t="s">
        <v>677</v>
      </c>
      <c r="G115" t="s">
        <v>1538</v>
      </c>
      <c r="H115" s="2">
        <v>1000</v>
      </c>
      <c r="I115" s="2">
        <v>1037</v>
      </c>
      <c r="J115" s="15">
        <v>37.07</v>
      </c>
      <c r="K115" s="15">
        <v>29.69</v>
      </c>
      <c r="P115" s="2">
        <v>806.6</v>
      </c>
      <c r="Q115" s="2"/>
      <c r="R115" s="2"/>
      <c r="S115" s="2"/>
      <c r="T115" s="2">
        <v>881.5</v>
      </c>
      <c r="U115" s="2">
        <v>863.3</v>
      </c>
      <c r="V115" s="2">
        <v>769.2</v>
      </c>
      <c r="W115" s="2">
        <v>825.9</v>
      </c>
      <c r="X115" s="2">
        <v>800.8</v>
      </c>
      <c r="Y115" s="2">
        <v>876.2</v>
      </c>
      <c r="AE115" s="2">
        <v>913.7</v>
      </c>
      <c r="AF115" s="2">
        <v>878.2</v>
      </c>
      <c r="AG115" s="2">
        <v>954.4</v>
      </c>
      <c r="AH115" s="2">
        <v>1123</v>
      </c>
      <c r="AI115" s="2" t="s">
        <v>772</v>
      </c>
      <c r="AJ115" s="2">
        <v>1197</v>
      </c>
      <c r="AK115" s="2" t="s">
        <v>772</v>
      </c>
      <c r="AL115" s="2" t="s">
        <v>772</v>
      </c>
      <c r="AM115" s="19">
        <v>4.027777777777778E-2</v>
      </c>
      <c r="AN115" s="8">
        <f>(58/60)*AJ115</f>
        <v>1157.0999999999999</v>
      </c>
      <c r="AO115">
        <v>1982</v>
      </c>
      <c r="AX115" s="8">
        <v>3269.4591959999998</v>
      </c>
      <c r="AY115" s="8">
        <v>3120.604092</v>
      </c>
      <c r="AZ115" s="8">
        <v>3243.758808</v>
      </c>
      <c r="BA115" s="8">
        <v>3307.0426160000002</v>
      </c>
      <c r="BB115" s="8">
        <v>3185.2146670000002</v>
      </c>
      <c r="BC115" s="8">
        <v>3386.1552390000002</v>
      </c>
      <c r="BD115" s="8">
        <v>3755.55978</v>
      </c>
      <c r="BE115" s="8">
        <v>3517.5108319999999</v>
      </c>
      <c r="BF115" s="8">
        <v>3393.4118199999998</v>
      </c>
      <c r="BG115" s="8">
        <v>3669.0537429999999</v>
      </c>
      <c r="BH115" s="8">
        <v>3952.4160109999998</v>
      </c>
      <c r="BI115" s="8">
        <v>3396.6693749999999</v>
      </c>
      <c r="BJ115" s="8">
        <v>3641.8194480000002</v>
      </c>
    </row>
    <row r="116" spans="1:62" ht="12.5" x14ac:dyDescent="0.25">
      <c r="A116" s="2">
        <v>3218</v>
      </c>
      <c r="B116" s="2" t="s">
        <v>772</v>
      </c>
      <c r="C116" s="2">
        <v>60</v>
      </c>
      <c r="D116" s="2">
        <v>58</v>
      </c>
      <c r="E116" s="142" t="s">
        <v>1517</v>
      </c>
      <c r="F116" s="12" t="s">
        <v>2</v>
      </c>
      <c r="K116" s="15"/>
      <c r="P116" s="2">
        <v>366.4</v>
      </c>
      <c r="Q116" s="2"/>
      <c r="R116" s="2"/>
      <c r="S116" s="2"/>
      <c r="T116" s="2">
        <v>390</v>
      </c>
      <c r="U116" s="2">
        <v>394.3</v>
      </c>
      <c r="V116" s="2">
        <v>388.8</v>
      </c>
      <c r="W116" s="2">
        <v>413.8</v>
      </c>
      <c r="X116" s="2">
        <v>365.6</v>
      </c>
      <c r="Y116" s="2">
        <v>419.4</v>
      </c>
      <c r="AE116" s="2"/>
      <c r="AG116" s="2"/>
      <c r="AH116" s="2"/>
      <c r="AI116" s="2"/>
      <c r="AJ116" s="2"/>
      <c r="AK116" s="2"/>
      <c r="AL116" s="2"/>
      <c r="AM116" s="19"/>
      <c r="AN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ht="12.5" x14ac:dyDescent="0.25">
      <c r="A117" s="2">
        <v>37</v>
      </c>
      <c r="B117" s="2">
        <v>35</v>
      </c>
      <c r="C117" s="2">
        <v>61</v>
      </c>
      <c r="D117" s="2">
        <v>60</v>
      </c>
      <c r="E117" s="138" t="s">
        <v>71</v>
      </c>
      <c r="F117" t="s">
        <v>526</v>
      </c>
      <c r="G117" t="s">
        <v>1262</v>
      </c>
      <c r="H117" s="2">
        <v>70570</v>
      </c>
      <c r="I117" s="2">
        <v>425.9</v>
      </c>
      <c r="J117" s="15">
        <v>15.21</v>
      </c>
      <c r="K117" s="15">
        <v>12.93</v>
      </c>
      <c r="P117" s="2">
        <v>440.2</v>
      </c>
      <c r="Q117" s="2"/>
      <c r="R117" s="2"/>
      <c r="S117" s="2"/>
      <c r="T117" s="2">
        <v>474.2</v>
      </c>
      <c r="U117" s="2">
        <v>478.2</v>
      </c>
      <c r="V117" s="2">
        <v>461.5</v>
      </c>
      <c r="W117" s="2">
        <v>483.2</v>
      </c>
      <c r="X117" s="2">
        <v>432.5</v>
      </c>
      <c r="Y117" s="2">
        <v>501.3</v>
      </c>
      <c r="AE117" s="2">
        <v>470</v>
      </c>
      <c r="AF117" s="2">
        <v>442</v>
      </c>
      <c r="AG117" s="2">
        <v>408.3</v>
      </c>
      <c r="AH117" s="2">
        <v>425.9</v>
      </c>
      <c r="AI117" s="2" t="s">
        <v>772</v>
      </c>
      <c r="AJ117" s="2">
        <v>415</v>
      </c>
      <c r="AK117" s="2" t="s">
        <v>772</v>
      </c>
      <c r="AL117" s="2" t="s">
        <v>772</v>
      </c>
      <c r="AM117" s="19">
        <v>0.15138888888888888</v>
      </c>
      <c r="AN117" s="8">
        <f>(3+(38/60))*AJ117</f>
        <v>1507.8333333333333</v>
      </c>
      <c r="AX117" s="8">
        <v>797.19667300000003</v>
      </c>
      <c r="AY117" s="8">
        <v>765.03963699999997</v>
      </c>
      <c r="AZ117" s="8">
        <v>820.00609899999995</v>
      </c>
      <c r="BA117" s="8">
        <v>760.62854900000002</v>
      </c>
      <c r="BB117" s="8">
        <v>764.65344200000004</v>
      </c>
      <c r="BC117" s="8">
        <v>749.89831900000001</v>
      </c>
      <c r="BD117" s="8">
        <v>813.94333600000004</v>
      </c>
      <c r="BE117" s="8">
        <v>746.94205199999999</v>
      </c>
      <c r="BF117" s="8">
        <v>799.83765800000003</v>
      </c>
      <c r="BG117" s="8">
        <v>841.82767100000001</v>
      </c>
      <c r="BH117" s="8">
        <v>874.69532200000003</v>
      </c>
      <c r="BI117" s="8">
        <v>767.29872</v>
      </c>
      <c r="BJ117" s="8">
        <v>851.97962399999994</v>
      </c>
    </row>
    <row r="118" spans="1:62" ht="12.5" x14ac:dyDescent="0.25">
      <c r="E118" s="138" t="s">
        <v>1546</v>
      </c>
      <c r="K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G118" s="2"/>
      <c r="AH118" s="2"/>
      <c r="AI118" s="2"/>
      <c r="AJ118" s="2"/>
      <c r="AK118" s="2"/>
      <c r="AL118" s="2"/>
      <c r="AM118" s="19"/>
      <c r="AN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ht="12.5" x14ac:dyDescent="0.25">
      <c r="A119" s="2">
        <v>18</v>
      </c>
      <c r="B119" s="2">
        <v>52</v>
      </c>
      <c r="C119" s="2">
        <v>61</v>
      </c>
      <c r="D119" s="2">
        <v>156</v>
      </c>
      <c r="E119" s="138" t="s">
        <v>42</v>
      </c>
      <c r="F119" t="s">
        <v>529</v>
      </c>
      <c r="G119" t="s">
        <v>1536</v>
      </c>
      <c r="H119" s="2">
        <v>3420</v>
      </c>
      <c r="I119" s="2">
        <v>404.8</v>
      </c>
      <c r="J119" s="15">
        <v>14.45</v>
      </c>
      <c r="K119" s="15">
        <v>6.4640000000000004</v>
      </c>
      <c r="P119" s="2">
        <v>488</v>
      </c>
      <c r="Q119" s="2"/>
      <c r="R119" s="2"/>
      <c r="S119" s="2"/>
      <c r="AE119" s="2">
        <v>155.19999999999999</v>
      </c>
      <c r="AF119" s="2">
        <v>173.9</v>
      </c>
      <c r="AG119" s="2">
        <v>525.79999999999995</v>
      </c>
      <c r="AH119" s="2">
        <v>164.8</v>
      </c>
      <c r="AI119" s="2" t="s">
        <v>772</v>
      </c>
      <c r="AJ119" s="2">
        <v>178.8</v>
      </c>
      <c r="AK119" s="2" t="s">
        <v>772</v>
      </c>
      <c r="AL119" s="2" t="s">
        <v>772</v>
      </c>
      <c r="AM119" s="19">
        <v>0.45624999999999999</v>
      </c>
      <c r="AN119" s="8">
        <f>(10+(57/60))*AJ119</f>
        <v>1957.86</v>
      </c>
      <c r="AX119" s="8">
        <v>400.82286599999998</v>
      </c>
      <c r="AY119" s="8">
        <v>262.70227</v>
      </c>
      <c r="AZ119" s="8">
        <v>381.14508599999999</v>
      </c>
      <c r="BA119" s="8">
        <v>464.286744</v>
      </c>
      <c r="BB119" s="8">
        <v>478.08349099999998</v>
      </c>
      <c r="BC119" s="8">
        <v>242.38267999999999</v>
      </c>
      <c r="BD119" s="8">
        <v>170.827752</v>
      </c>
      <c r="BE119" s="8">
        <v>209.52567099999999</v>
      </c>
      <c r="BF119" s="8">
        <v>341.07201600000002</v>
      </c>
      <c r="BG119" s="8">
        <v>457.41225500000002</v>
      </c>
      <c r="BH119" s="8">
        <v>476.96872400000001</v>
      </c>
      <c r="BI119" s="8">
        <v>497.28071699999998</v>
      </c>
      <c r="BJ119" s="8">
        <v>376.90969000000001</v>
      </c>
    </row>
    <row r="120" spans="1:62" x14ac:dyDescent="0.3">
      <c r="A120" s="2">
        <v>9640</v>
      </c>
      <c r="B120" s="2" t="s">
        <v>772</v>
      </c>
      <c r="C120" s="2">
        <v>63</v>
      </c>
      <c r="D120" s="2">
        <v>63</v>
      </c>
      <c r="E120" s="138" t="s">
        <v>1340</v>
      </c>
      <c r="P120" s="2">
        <v>384</v>
      </c>
      <c r="Q120" s="2"/>
      <c r="R120" s="2"/>
      <c r="S120" s="2"/>
      <c r="T120" s="2">
        <v>417.9</v>
      </c>
      <c r="U120" s="2">
        <v>429.3</v>
      </c>
      <c r="V120" s="2">
        <v>420.9</v>
      </c>
      <c r="W120" s="2">
        <v>451.9</v>
      </c>
      <c r="X120" s="2">
        <v>411.4</v>
      </c>
      <c r="Y120" s="2">
        <v>461.5</v>
      </c>
      <c r="AE120" s="2">
        <v>451.4</v>
      </c>
      <c r="AF120" s="2" t="s">
        <v>772</v>
      </c>
      <c r="AG120" s="2" t="s">
        <v>772</v>
      </c>
      <c r="AH120" s="14" t="s">
        <v>772</v>
      </c>
      <c r="AI120" s="14" t="s">
        <v>772</v>
      </c>
      <c r="AJ120" s="14" t="s">
        <v>772</v>
      </c>
      <c r="AK120" s="14" t="s">
        <v>772</v>
      </c>
      <c r="AL120" s="54" t="s">
        <v>772</v>
      </c>
      <c r="AM120" s="19">
        <v>0.26597222222222222</v>
      </c>
      <c r="AN120" s="8">
        <f>(4+(7/60))*AE120</f>
        <v>1858.2633333333331</v>
      </c>
    </row>
    <row r="121" spans="1:62" ht="12.5" x14ac:dyDescent="0.25">
      <c r="A121" s="2">
        <v>87</v>
      </c>
      <c r="B121" s="2">
        <v>90</v>
      </c>
      <c r="C121" s="2">
        <v>65</v>
      </c>
      <c r="D121" s="2">
        <v>61</v>
      </c>
      <c r="E121" s="138" t="s">
        <v>128</v>
      </c>
      <c r="F121" t="s">
        <v>7</v>
      </c>
      <c r="G121" t="s">
        <v>1543</v>
      </c>
      <c r="H121" s="2">
        <v>2000000</v>
      </c>
      <c r="I121" s="2">
        <v>388.5</v>
      </c>
      <c r="J121" s="15">
        <v>13.91</v>
      </c>
      <c r="K121" s="15">
        <v>8.266</v>
      </c>
      <c r="M121" s="1" t="s">
        <v>16</v>
      </c>
      <c r="N121" s="1" t="s">
        <v>11</v>
      </c>
      <c r="P121" s="2">
        <v>436.7</v>
      </c>
      <c r="Q121" s="2"/>
      <c r="R121" s="2"/>
      <c r="S121" s="2"/>
      <c r="T121" s="2">
        <v>479.9</v>
      </c>
      <c r="U121" s="2">
        <v>485.4</v>
      </c>
      <c r="V121" s="2">
        <v>492.1</v>
      </c>
      <c r="W121" s="2">
        <v>521.1</v>
      </c>
      <c r="X121" s="2">
        <v>474.5</v>
      </c>
      <c r="Y121" s="2">
        <v>502.5</v>
      </c>
      <c r="AE121" s="2">
        <v>446.5</v>
      </c>
      <c r="AF121" s="2">
        <v>385.3</v>
      </c>
      <c r="AG121" s="2">
        <v>388.5</v>
      </c>
      <c r="AH121" s="2">
        <v>389.5</v>
      </c>
      <c r="AI121" s="14" t="s">
        <v>772</v>
      </c>
      <c r="AJ121" s="2">
        <v>381.2</v>
      </c>
      <c r="AK121" s="2" t="s">
        <v>772</v>
      </c>
      <c r="AL121" s="2" t="s">
        <v>772</v>
      </c>
      <c r="AM121" s="19">
        <v>0.3125</v>
      </c>
      <c r="AN121" s="8">
        <f>7.5*AJ121</f>
        <v>2859</v>
      </c>
      <c r="AX121" s="8">
        <v>745.16992300000004</v>
      </c>
      <c r="AY121" s="8">
        <v>760.82020199999999</v>
      </c>
      <c r="AZ121" s="8">
        <v>755.60777099999996</v>
      </c>
      <c r="BA121" s="8">
        <v>752.661023</v>
      </c>
      <c r="BB121" s="8">
        <v>696.80112999999994</v>
      </c>
      <c r="BC121" s="8">
        <v>673.04865099999995</v>
      </c>
      <c r="BD121" s="8">
        <v>723.23583199999996</v>
      </c>
      <c r="BE121" s="8">
        <v>656.74121500000001</v>
      </c>
      <c r="BF121" s="8">
        <v>789.62536499999999</v>
      </c>
      <c r="BG121" s="8">
        <v>881.10868500000004</v>
      </c>
      <c r="BH121" s="8">
        <v>772.18099199999995</v>
      </c>
      <c r="BI121" s="8">
        <v>697.44752600000004</v>
      </c>
      <c r="BJ121" s="8">
        <v>642.27407100000005</v>
      </c>
    </row>
    <row r="122" spans="1:62" ht="12.5" x14ac:dyDescent="0.25">
      <c r="A122" s="2">
        <v>17</v>
      </c>
      <c r="B122" s="2">
        <v>15</v>
      </c>
      <c r="C122" s="2">
        <v>67</v>
      </c>
      <c r="D122" s="2">
        <v>64</v>
      </c>
      <c r="E122" s="138" t="s">
        <v>43</v>
      </c>
      <c r="F122" t="s">
        <v>518</v>
      </c>
      <c r="G122" t="s">
        <v>1279</v>
      </c>
      <c r="H122" s="2">
        <v>412860</v>
      </c>
      <c r="I122" s="2">
        <v>343.9</v>
      </c>
      <c r="J122" s="15">
        <v>12.28</v>
      </c>
      <c r="K122" s="15">
        <v>9.984</v>
      </c>
      <c r="M122" s="1" t="s">
        <v>11</v>
      </c>
      <c r="N122" s="1" t="s">
        <v>11</v>
      </c>
      <c r="P122" s="2">
        <v>452.5</v>
      </c>
      <c r="Q122" s="2"/>
      <c r="R122" s="2"/>
      <c r="S122" s="2"/>
      <c r="T122" s="2">
        <v>485</v>
      </c>
      <c r="U122" s="2">
        <v>470</v>
      </c>
      <c r="V122" s="2">
        <v>447.4</v>
      </c>
      <c r="W122" s="2">
        <v>428.8</v>
      </c>
      <c r="X122" s="2">
        <v>379.7</v>
      </c>
      <c r="Y122" s="2">
        <v>451.4</v>
      </c>
      <c r="Z122" s="2">
        <v>561.5</v>
      </c>
      <c r="AA122" s="2">
        <v>530.79999999999995</v>
      </c>
      <c r="AB122" s="2">
        <v>432.1</v>
      </c>
      <c r="AC122" s="2">
        <v>416.6</v>
      </c>
      <c r="AD122" s="2">
        <v>447.4</v>
      </c>
      <c r="AE122" s="2">
        <v>434.8</v>
      </c>
      <c r="AF122" s="2">
        <v>427.1</v>
      </c>
      <c r="AG122" s="2">
        <v>358.2</v>
      </c>
      <c r="AH122" s="2">
        <v>373.7</v>
      </c>
      <c r="AI122" s="2" t="s">
        <v>772</v>
      </c>
      <c r="AJ122" s="2">
        <v>387</v>
      </c>
      <c r="AK122" s="2" t="s">
        <v>772</v>
      </c>
      <c r="AL122" s="2" t="s">
        <v>772</v>
      </c>
      <c r="AM122" s="19">
        <v>0.19166666666666665</v>
      </c>
      <c r="AN122" s="8">
        <f>(4+(36/60))*AJ122</f>
        <v>1780.1999999999998</v>
      </c>
      <c r="AX122" s="8">
        <v>546.22373300000004</v>
      </c>
      <c r="AY122" s="8">
        <v>600.07913699999995</v>
      </c>
      <c r="AZ122" s="8">
        <v>618.52430700000002</v>
      </c>
      <c r="BA122" s="8">
        <v>448.84325999999999</v>
      </c>
      <c r="BB122" s="8">
        <v>415.35441800000001</v>
      </c>
      <c r="BC122" s="8">
        <v>413.31044500000002</v>
      </c>
      <c r="BD122" s="8">
        <v>450.57413100000002</v>
      </c>
      <c r="BE122" s="8">
        <v>424.556985</v>
      </c>
      <c r="BF122" s="8">
        <v>461.651321</v>
      </c>
      <c r="BG122" s="8">
        <v>588.00146400000006</v>
      </c>
      <c r="BH122" s="8">
        <v>649.26202799999999</v>
      </c>
      <c r="BI122" s="8">
        <v>543.48338000000001</v>
      </c>
      <c r="BJ122" s="8">
        <v>486.54037</v>
      </c>
    </row>
    <row r="123" spans="1:62" ht="12.5" x14ac:dyDescent="0.25">
      <c r="A123" s="2">
        <v>51</v>
      </c>
      <c r="B123" s="2">
        <v>55</v>
      </c>
      <c r="C123" s="2">
        <v>68</v>
      </c>
      <c r="D123" s="2">
        <v>72</v>
      </c>
      <c r="E123" s="138" t="s">
        <v>55</v>
      </c>
      <c r="F123" t="s">
        <v>523</v>
      </c>
      <c r="H123" s="2">
        <v>19090</v>
      </c>
      <c r="I123" s="2">
        <v>782.5</v>
      </c>
      <c r="J123" s="15">
        <v>27.94</v>
      </c>
      <c r="K123" s="15">
        <v>19.75</v>
      </c>
      <c r="P123" s="2">
        <v>577.1</v>
      </c>
      <c r="Q123" s="2"/>
      <c r="R123" s="2"/>
      <c r="S123" s="2"/>
      <c r="T123" s="2">
        <v>550</v>
      </c>
      <c r="U123" s="2">
        <v>587.70000000000005</v>
      </c>
      <c r="V123" s="2">
        <v>609</v>
      </c>
      <c r="W123" s="2">
        <v>628</v>
      </c>
      <c r="X123" s="2">
        <v>601.70000000000005</v>
      </c>
      <c r="Y123" s="2">
        <v>590.20000000000005</v>
      </c>
      <c r="AE123" s="2">
        <v>538.5</v>
      </c>
      <c r="AF123" s="2">
        <v>514.20000000000005</v>
      </c>
      <c r="AG123" s="2">
        <v>794.7</v>
      </c>
      <c r="AH123" s="2">
        <v>695.7</v>
      </c>
      <c r="AI123" s="2" t="s">
        <v>772</v>
      </c>
      <c r="AJ123" s="2">
        <v>711.5</v>
      </c>
      <c r="AK123" s="2" t="s">
        <v>772</v>
      </c>
      <c r="AL123" s="2" t="s">
        <v>772</v>
      </c>
      <c r="AM123" s="19">
        <v>0.14583333333333334</v>
      </c>
      <c r="AN123" s="8">
        <f>(3.5)*AJ123</f>
        <v>2490.25</v>
      </c>
      <c r="AX123" s="8">
        <v>1148.361169</v>
      </c>
      <c r="AY123" s="8">
        <v>882.97047599999996</v>
      </c>
      <c r="AZ123" s="8">
        <v>1161.7999809999999</v>
      </c>
      <c r="BA123" s="8">
        <v>1196.447087</v>
      </c>
      <c r="BB123" s="8">
        <v>1068.4229170000001</v>
      </c>
      <c r="BC123" s="8">
        <v>925.12346100000002</v>
      </c>
      <c r="BD123" s="8">
        <v>998.59000400000002</v>
      </c>
      <c r="BE123" s="8">
        <v>984.57531400000005</v>
      </c>
      <c r="BF123" s="8">
        <v>1146.1947680000001</v>
      </c>
      <c r="BG123" s="8">
        <v>1115.3363750000001</v>
      </c>
      <c r="BH123" s="8">
        <v>1206.0823660000001</v>
      </c>
      <c r="BI123" s="8">
        <v>1067.49631</v>
      </c>
      <c r="BJ123" s="8">
        <v>985.88088400000004</v>
      </c>
    </row>
    <row r="124" spans="1:62" ht="12.5" x14ac:dyDescent="0.25">
      <c r="A124" s="2">
        <v>20</v>
      </c>
      <c r="B124" s="2">
        <v>17</v>
      </c>
      <c r="C124" s="2">
        <v>69</v>
      </c>
      <c r="D124" s="2">
        <v>65</v>
      </c>
      <c r="E124" s="138" t="s">
        <v>35</v>
      </c>
      <c r="F124" t="s">
        <v>8</v>
      </c>
      <c r="H124" s="2">
        <v>5900</v>
      </c>
      <c r="I124" s="2">
        <v>529.6</v>
      </c>
      <c r="J124" s="54">
        <v>18.91</v>
      </c>
      <c r="K124" s="54">
        <v>12.75</v>
      </c>
      <c r="M124" s="1" t="s">
        <v>16</v>
      </c>
      <c r="N124" s="1" t="s">
        <v>16</v>
      </c>
      <c r="P124" s="2">
        <v>594.20000000000005</v>
      </c>
      <c r="Q124" s="2"/>
      <c r="R124" s="2"/>
      <c r="S124" s="2"/>
      <c r="T124" s="2">
        <v>665.1</v>
      </c>
      <c r="U124" s="2">
        <v>624.5</v>
      </c>
      <c r="V124" s="2">
        <v>657.2</v>
      </c>
      <c r="W124" s="2">
        <v>680.4</v>
      </c>
      <c r="X124" s="2">
        <v>616</v>
      </c>
      <c r="Y124" s="2">
        <v>671.1</v>
      </c>
      <c r="AE124" s="2">
        <v>514.1</v>
      </c>
      <c r="AF124" s="2">
        <v>558.9</v>
      </c>
      <c r="AG124" s="2">
        <v>556</v>
      </c>
      <c r="AH124" s="2">
        <v>546.5</v>
      </c>
      <c r="AI124" s="2" t="s">
        <v>772</v>
      </c>
      <c r="AJ124" s="2">
        <v>548.9</v>
      </c>
      <c r="AK124" s="2" t="s">
        <v>772</v>
      </c>
      <c r="AL124" s="2" t="s">
        <v>772</v>
      </c>
      <c r="AM124" s="19">
        <v>0.13819444444444443</v>
      </c>
      <c r="AN124" s="57">
        <f>(3+(19/60))*AJ124</f>
        <v>1820.5183333333332</v>
      </c>
      <c r="AX124" s="26">
        <v>1020.403</v>
      </c>
      <c r="AY124" s="26">
        <v>1010.0940000000001</v>
      </c>
      <c r="AZ124" s="26">
        <v>1045.2529999999999</v>
      </c>
      <c r="BA124" s="26">
        <v>1014.602</v>
      </c>
      <c r="BB124" s="26">
        <v>928.21600000000001</v>
      </c>
      <c r="BC124" s="26">
        <v>911.64200000000005</v>
      </c>
      <c r="BD124" s="26">
        <v>961.68299999999999</v>
      </c>
      <c r="BE124" s="26">
        <v>1011.274</v>
      </c>
      <c r="BF124" s="26">
        <v>1118.7380000000001</v>
      </c>
      <c r="BG124" s="26">
        <v>1154.326</v>
      </c>
      <c r="BH124" s="26">
        <v>1194.9169999999999</v>
      </c>
      <c r="BI124" s="26">
        <v>1066.9749999999999</v>
      </c>
      <c r="BJ124" s="26">
        <v>1159.4290000000001</v>
      </c>
    </row>
    <row r="125" spans="1:62" x14ac:dyDescent="0.3">
      <c r="A125" s="2">
        <v>54</v>
      </c>
      <c r="B125" s="2">
        <v>47</v>
      </c>
      <c r="C125" s="2">
        <v>71</v>
      </c>
      <c r="D125" s="2">
        <v>67</v>
      </c>
      <c r="E125" s="138" t="s">
        <v>51</v>
      </c>
      <c r="F125" t="s">
        <v>7</v>
      </c>
      <c r="H125" s="2">
        <v>2000000</v>
      </c>
      <c r="I125" s="2">
        <v>620.4</v>
      </c>
      <c r="J125" s="54">
        <v>22.15</v>
      </c>
      <c r="K125" s="54">
        <v>14.1</v>
      </c>
      <c r="P125" s="2">
        <v>467.2</v>
      </c>
      <c r="Q125" s="2"/>
      <c r="R125" s="2"/>
      <c r="S125" s="2"/>
      <c r="T125" s="2">
        <v>511.6</v>
      </c>
      <c r="U125" s="2">
        <v>500.5</v>
      </c>
      <c r="V125" s="2">
        <v>510.8</v>
      </c>
      <c r="W125" s="2">
        <v>553.4</v>
      </c>
      <c r="X125" s="2">
        <v>526.1</v>
      </c>
      <c r="Y125" s="2">
        <v>565.5</v>
      </c>
      <c r="AE125" s="2">
        <v>590.5</v>
      </c>
      <c r="AF125" s="2">
        <v>612.20000000000005</v>
      </c>
      <c r="AG125" s="2">
        <v>597.29999999999995</v>
      </c>
      <c r="AH125" s="2">
        <v>620.4</v>
      </c>
      <c r="AI125" s="2" t="s">
        <v>772</v>
      </c>
      <c r="AJ125" s="2" t="s">
        <v>772</v>
      </c>
      <c r="AK125" s="2" t="s">
        <v>772</v>
      </c>
      <c r="AL125" s="2" t="s">
        <v>772</v>
      </c>
      <c r="AM125" s="19">
        <v>0.22777777777777777</v>
      </c>
      <c r="AN125" s="57">
        <f>(5+(28/60))*AH125</f>
        <v>3391.52</v>
      </c>
      <c r="AV125" s="10"/>
      <c r="AX125" s="8">
        <v>727.08121100000005</v>
      </c>
      <c r="AY125" s="8">
        <v>720.02343299999995</v>
      </c>
      <c r="AZ125" s="8">
        <v>735.02549899999997</v>
      </c>
      <c r="BA125" s="8">
        <v>730.36559999999997</v>
      </c>
      <c r="BB125" s="8">
        <v>695.42197499999997</v>
      </c>
      <c r="BC125" s="8">
        <v>664.27989600000001</v>
      </c>
      <c r="BD125" s="8">
        <v>687.80133699999999</v>
      </c>
      <c r="BE125" s="8">
        <v>746.80705799999998</v>
      </c>
      <c r="BF125" s="8">
        <v>816.30280800000003</v>
      </c>
      <c r="BG125" s="8">
        <v>823.24812499999996</v>
      </c>
      <c r="BH125" s="8">
        <v>842.52199599999994</v>
      </c>
      <c r="BI125" s="8">
        <v>768.35725500000001</v>
      </c>
      <c r="BJ125" s="8">
        <v>862.92574400000001</v>
      </c>
    </row>
    <row r="126" spans="1:62" ht="12.5" x14ac:dyDescent="0.25">
      <c r="A126" s="2">
        <v>1317</v>
      </c>
      <c r="B126" s="2">
        <v>796</v>
      </c>
      <c r="C126" s="2">
        <v>70</v>
      </c>
      <c r="D126" s="2">
        <v>66</v>
      </c>
      <c r="E126" s="138" t="s">
        <v>1228</v>
      </c>
      <c r="F126" t="s">
        <v>6</v>
      </c>
      <c r="H126" s="2">
        <v>5000</v>
      </c>
      <c r="I126" s="2">
        <v>661.3</v>
      </c>
      <c r="J126" s="15">
        <v>23.61</v>
      </c>
      <c r="K126" s="15">
        <v>13.51</v>
      </c>
      <c r="P126" s="2">
        <v>756.9</v>
      </c>
      <c r="Q126" s="2"/>
      <c r="R126" s="2"/>
      <c r="S126" s="2"/>
      <c r="T126" s="2">
        <v>814.9</v>
      </c>
      <c r="U126" s="2">
        <v>795.6</v>
      </c>
      <c r="V126" s="2">
        <v>784.2</v>
      </c>
      <c r="W126" s="2">
        <v>810.2</v>
      </c>
      <c r="X126" s="2">
        <v>733.9</v>
      </c>
      <c r="Y126" s="2">
        <v>820.9</v>
      </c>
      <c r="AE126" s="2">
        <v>783</v>
      </c>
      <c r="AF126" s="2">
        <v>618.1</v>
      </c>
      <c r="AG126" s="2">
        <v>664</v>
      </c>
      <c r="AH126" s="2">
        <v>661.3</v>
      </c>
      <c r="AI126" s="14" t="s">
        <v>772</v>
      </c>
      <c r="AJ126" s="14" t="s">
        <v>772</v>
      </c>
      <c r="AK126" s="14" t="s">
        <v>772</v>
      </c>
      <c r="AL126" s="14" t="s">
        <v>772</v>
      </c>
      <c r="AM126" s="19">
        <v>0.17708333333333334</v>
      </c>
      <c r="AN126" s="8">
        <f>(4+(15/60))*AH126</f>
        <v>2810.5249999999996</v>
      </c>
      <c r="AX126" s="8">
        <v>1222.0584429999999</v>
      </c>
      <c r="AY126" s="8">
        <v>1034.9689169999999</v>
      </c>
      <c r="AZ126" s="8">
        <v>1230.0425069999999</v>
      </c>
      <c r="BA126" s="8">
        <v>1261.222771</v>
      </c>
      <c r="BB126" s="8">
        <v>1164.42725</v>
      </c>
      <c r="BC126" s="8">
        <v>1051.485471</v>
      </c>
      <c r="BD126" s="8">
        <v>1079.282913</v>
      </c>
      <c r="BE126" s="8">
        <v>1219.8859709999999</v>
      </c>
      <c r="BF126" s="8">
        <v>1257.3045549999999</v>
      </c>
      <c r="BG126" s="8">
        <v>1207.938367</v>
      </c>
      <c r="BH126" s="8">
        <v>1246.4357339999999</v>
      </c>
      <c r="BI126" s="8">
        <v>1301.051917</v>
      </c>
      <c r="BJ126" s="8">
        <v>1296.8722339999999</v>
      </c>
    </row>
    <row r="127" spans="1:62" x14ac:dyDescent="0.3">
      <c r="A127" s="2">
        <v>55</v>
      </c>
      <c r="B127" s="2">
        <v>49</v>
      </c>
      <c r="C127" s="2">
        <v>72</v>
      </c>
      <c r="D127" s="2">
        <v>68</v>
      </c>
      <c r="E127" s="138" t="s">
        <v>66</v>
      </c>
      <c r="F127" t="s">
        <v>2</v>
      </c>
      <c r="H127" s="2">
        <v>1000000</v>
      </c>
      <c r="I127" s="2">
        <v>499.9</v>
      </c>
      <c r="J127" s="15">
        <v>16.05</v>
      </c>
      <c r="K127" s="15">
        <v>12.63</v>
      </c>
      <c r="P127" s="2">
        <v>432.2</v>
      </c>
      <c r="Q127" s="2"/>
      <c r="R127" s="2"/>
      <c r="S127" s="2"/>
      <c r="T127" s="2">
        <v>444.4</v>
      </c>
      <c r="U127" s="2">
        <v>465.1</v>
      </c>
      <c r="V127" s="2">
        <v>468.5</v>
      </c>
      <c r="W127" s="2">
        <v>488.7</v>
      </c>
      <c r="X127" s="2">
        <v>441.3</v>
      </c>
      <c r="Y127" s="2">
        <v>526.20000000000005</v>
      </c>
      <c r="AE127" s="2">
        <v>440.8</v>
      </c>
      <c r="AF127" s="2">
        <v>503.6</v>
      </c>
      <c r="AG127" s="2">
        <v>439.2</v>
      </c>
      <c r="AH127" s="2">
        <v>473.1</v>
      </c>
      <c r="AI127" s="2" t="s">
        <v>772</v>
      </c>
      <c r="AJ127" s="2">
        <v>476.5</v>
      </c>
      <c r="AK127" s="2" t="s">
        <v>772</v>
      </c>
      <c r="AL127" s="2" t="s">
        <v>772</v>
      </c>
      <c r="AM127" s="19">
        <v>0.1361111111111111</v>
      </c>
      <c r="AN127" s="57">
        <f>(3+(16/60))*AJ127</f>
        <v>1556.5666666666666</v>
      </c>
      <c r="AS127" s="3"/>
      <c r="AT127" s="3"/>
      <c r="AU127" s="3"/>
      <c r="AX127" s="8">
        <v>1154.861926</v>
      </c>
      <c r="AY127" s="8">
        <v>1309.480053</v>
      </c>
      <c r="AZ127" s="8">
        <v>1159.9563700000001</v>
      </c>
      <c r="BA127" s="8">
        <v>1177.392527</v>
      </c>
      <c r="BB127" s="8">
        <v>1092.27826</v>
      </c>
      <c r="BC127" s="8">
        <v>1045.396405</v>
      </c>
      <c r="BD127" s="8">
        <v>1232.499188</v>
      </c>
      <c r="BE127" s="8">
        <v>1149.291328</v>
      </c>
      <c r="BF127" s="8">
        <v>1286.5264560000001</v>
      </c>
      <c r="BG127" s="8">
        <v>1314.746594</v>
      </c>
      <c r="BH127" s="8">
        <v>1352.0982879999999</v>
      </c>
      <c r="BI127" s="8">
        <v>1231.070815</v>
      </c>
      <c r="BJ127" s="8">
        <v>1401.6297</v>
      </c>
    </row>
    <row r="128" spans="1:62" ht="12.5" x14ac:dyDescent="0.25">
      <c r="A128" s="2">
        <v>28706</v>
      </c>
      <c r="B128" s="2">
        <v>27217</v>
      </c>
      <c r="C128" s="2">
        <v>73</v>
      </c>
      <c r="D128" s="2">
        <v>74</v>
      </c>
      <c r="E128" s="138" t="s">
        <v>774</v>
      </c>
      <c r="F128" t="s">
        <v>1244</v>
      </c>
      <c r="H128" s="2">
        <v>140270</v>
      </c>
      <c r="I128" s="2">
        <v>1814</v>
      </c>
      <c r="J128" s="54">
        <v>64.81</v>
      </c>
      <c r="K128" s="54">
        <v>25.37</v>
      </c>
      <c r="P128" s="2">
        <v>566.1</v>
      </c>
      <c r="Q128" s="2"/>
      <c r="R128" s="2"/>
      <c r="S128" s="2"/>
      <c r="T128" s="2">
        <v>578.79999999999995</v>
      </c>
      <c r="U128" s="2">
        <v>626.5</v>
      </c>
      <c r="V128" s="2">
        <v>558.9</v>
      </c>
      <c r="W128" s="2">
        <v>601.5</v>
      </c>
      <c r="X128" s="2">
        <v>537</v>
      </c>
      <c r="Y128" s="2">
        <v>624.9</v>
      </c>
      <c r="AE128" s="2">
        <v>466.1</v>
      </c>
      <c r="AF128" s="2">
        <v>1840</v>
      </c>
      <c r="AG128" s="2">
        <v>1657</v>
      </c>
      <c r="AH128" s="2">
        <v>1814</v>
      </c>
      <c r="AI128" s="2" t="s">
        <v>772</v>
      </c>
      <c r="AJ128" s="2">
        <v>1647</v>
      </c>
      <c r="AK128" s="2" t="s">
        <v>772</v>
      </c>
      <c r="AL128" s="2" t="s">
        <v>772</v>
      </c>
      <c r="AM128" s="19">
        <v>0.23611111111111113</v>
      </c>
      <c r="AN128" s="8">
        <f>(5+(40/60))*AJ128</f>
        <v>9333</v>
      </c>
      <c r="AO128">
        <v>1992</v>
      </c>
      <c r="AX128" s="8">
        <v>352.7</v>
      </c>
      <c r="AY128" s="8">
        <v>405.58</v>
      </c>
      <c r="AZ128" s="8">
        <v>359.21776</v>
      </c>
      <c r="BA128" s="8">
        <v>336.662734</v>
      </c>
      <c r="BB128" s="8">
        <v>334.01014600000002</v>
      </c>
      <c r="BC128" s="8">
        <v>362.41020300000002</v>
      </c>
      <c r="BD128" s="8">
        <v>400.57457499999998</v>
      </c>
      <c r="BE128" s="8">
        <v>415.93900600000001</v>
      </c>
      <c r="BF128" s="8">
        <v>393.814459</v>
      </c>
      <c r="BG128" s="8">
        <v>441.47230400000001</v>
      </c>
      <c r="BH128" s="8">
        <v>453.35098799999997</v>
      </c>
      <c r="BI128" s="8">
        <v>396.57734299999998</v>
      </c>
      <c r="BJ128" s="8">
        <v>414.71050400000001</v>
      </c>
    </row>
    <row r="129" spans="1:65" ht="12.5" x14ac:dyDescent="0.25">
      <c r="A129" s="2">
        <v>34</v>
      </c>
      <c r="B129" s="2">
        <v>36</v>
      </c>
      <c r="C129" s="2">
        <v>76</v>
      </c>
      <c r="D129" s="2">
        <v>61</v>
      </c>
      <c r="E129" s="138" t="s">
        <v>53</v>
      </c>
      <c r="F129" t="s">
        <v>522</v>
      </c>
      <c r="G129" t="s">
        <v>1279</v>
      </c>
      <c r="H129" s="2">
        <v>11850</v>
      </c>
      <c r="I129" s="2">
        <v>430.7</v>
      </c>
      <c r="J129" s="15">
        <v>15.38</v>
      </c>
      <c r="K129" s="15">
        <v>11.52</v>
      </c>
      <c r="P129" s="2">
        <v>351.5</v>
      </c>
      <c r="Q129" s="2"/>
      <c r="R129" s="2"/>
      <c r="S129" s="2"/>
      <c r="T129" s="2">
        <v>371.3</v>
      </c>
      <c r="U129" s="2">
        <v>390.6</v>
      </c>
      <c r="V129" s="2">
        <v>375.8</v>
      </c>
      <c r="W129" s="2">
        <v>387</v>
      </c>
      <c r="X129" s="2">
        <v>361.5</v>
      </c>
      <c r="Y129" s="2">
        <v>428</v>
      </c>
      <c r="AE129" s="2">
        <v>370.1</v>
      </c>
      <c r="AF129" s="2">
        <v>451</v>
      </c>
      <c r="AG129" s="2">
        <v>431.1</v>
      </c>
      <c r="AH129" s="2">
        <v>422</v>
      </c>
      <c r="AI129" s="2" t="s">
        <v>772</v>
      </c>
      <c r="AJ129" s="2">
        <v>417.9</v>
      </c>
      <c r="AK129" s="2" t="s">
        <v>772</v>
      </c>
      <c r="AL129" s="2" t="s">
        <v>772</v>
      </c>
      <c r="AM129" s="19">
        <v>0.24027777777777778</v>
      </c>
      <c r="AN129" s="8">
        <f>(5+(46/60))*AJ129</f>
        <v>2409.89</v>
      </c>
      <c r="AX129" s="8">
        <v>576.02069700000004</v>
      </c>
      <c r="AY129" s="8">
        <v>651.41664100000003</v>
      </c>
      <c r="AZ129" s="8">
        <v>614.21939999999995</v>
      </c>
      <c r="BA129" s="8">
        <v>530.58000000000004</v>
      </c>
      <c r="BB129" s="8">
        <v>500.773166</v>
      </c>
      <c r="BC129" s="8">
        <v>485.36229600000001</v>
      </c>
      <c r="BD129" s="8">
        <v>508.725728</v>
      </c>
      <c r="BE129" s="8">
        <v>517.14075200000002</v>
      </c>
      <c r="BF129" s="8">
        <v>590.24976500000002</v>
      </c>
      <c r="BG129" s="8">
        <v>596.66801199999998</v>
      </c>
      <c r="BH129" s="8">
        <v>633.64868200000001</v>
      </c>
      <c r="BI129" s="8">
        <v>581.45076900000004</v>
      </c>
      <c r="BJ129" s="8">
        <v>647.21537000000001</v>
      </c>
    </row>
    <row r="130" spans="1:65" x14ac:dyDescent="0.3">
      <c r="A130" s="2">
        <v>1465</v>
      </c>
      <c r="B130" s="4" t="s">
        <v>772</v>
      </c>
      <c r="C130" s="2">
        <v>80</v>
      </c>
      <c r="D130" s="2">
        <v>79</v>
      </c>
      <c r="E130" s="138" t="s">
        <v>1519</v>
      </c>
      <c r="P130" s="2">
        <v>357.2</v>
      </c>
      <c r="Q130" s="2"/>
      <c r="R130" s="2"/>
      <c r="S130" s="2"/>
      <c r="T130" s="2">
        <v>370</v>
      </c>
      <c r="U130" s="2">
        <v>377.1</v>
      </c>
      <c r="V130" s="2">
        <v>385.6</v>
      </c>
      <c r="W130" s="2">
        <v>388.2</v>
      </c>
      <c r="X130" s="2">
        <v>371</v>
      </c>
      <c r="Y130" s="2">
        <v>452.7</v>
      </c>
      <c r="AH130" s="14"/>
      <c r="AI130" s="14"/>
      <c r="AJ130" s="14"/>
      <c r="AK130" s="14"/>
      <c r="AL130" s="50"/>
    </row>
    <row r="131" spans="1:65" x14ac:dyDescent="0.3">
      <c r="A131" s="2">
        <v>1582</v>
      </c>
      <c r="B131" s="4" t="s">
        <v>772</v>
      </c>
      <c r="C131" s="2">
        <v>81</v>
      </c>
      <c r="D131" s="2">
        <v>78</v>
      </c>
      <c r="E131" s="138" t="s">
        <v>508</v>
      </c>
      <c r="P131" s="2">
        <v>336.1</v>
      </c>
      <c r="Q131" s="2"/>
      <c r="R131" s="2"/>
      <c r="S131" s="2"/>
      <c r="T131" s="2">
        <v>370.6</v>
      </c>
      <c r="U131" s="2">
        <v>383.8</v>
      </c>
      <c r="V131" s="2">
        <v>380.5</v>
      </c>
      <c r="W131" s="2">
        <v>411.5</v>
      </c>
      <c r="X131" s="2">
        <v>374.7</v>
      </c>
      <c r="Y131" s="2">
        <v>438.6</v>
      </c>
      <c r="AH131" s="14"/>
      <c r="AI131" s="14"/>
      <c r="AJ131" s="14"/>
      <c r="AK131" s="14"/>
      <c r="AL131" s="50"/>
    </row>
    <row r="132" spans="1:65" ht="12.5" x14ac:dyDescent="0.25">
      <c r="A132" s="2">
        <v>19</v>
      </c>
      <c r="B132" s="2">
        <v>37</v>
      </c>
      <c r="C132" s="2">
        <v>81</v>
      </c>
      <c r="D132" s="2">
        <v>114</v>
      </c>
      <c r="E132" s="138" t="s">
        <v>38</v>
      </c>
      <c r="F132" t="s">
        <v>9</v>
      </c>
      <c r="G132" t="s">
        <v>1268</v>
      </c>
      <c r="H132" s="2">
        <v>168000</v>
      </c>
      <c r="I132" s="2">
        <v>519.5</v>
      </c>
      <c r="J132" s="15">
        <v>18.55</v>
      </c>
      <c r="K132" s="15">
        <v>9.7469999999999999</v>
      </c>
      <c r="P132" s="2">
        <v>528.4</v>
      </c>
      <c r="Q132" s="2"/>
      <c r="R132" s="2"/>
      <c r="S132" s="2"/>
      <c r="T132" s="1">
        <v>375.6</v>
      </c>
      <c r="U132" s="1">
        <v>435.7</v>
      </c>
      <c r="V132" s="1">
        <v>471.5</v>
      </c>
      <c r="W132" s="1">
        <v>525.4</v>
      </c>
      <c r="X132" s="1">
        <v>388.7</v>
      </c>
      <c r="Y132" s="1">
        <v>495.9</v>
      </c>
      <c r="AE132" s="2">
        <v>331.9</v>
      </c>
      <c r="AF132" s="2">
        <v>525.9</v>
      </c>
      <c r="AG132" s="2">
        <v>519.5</v>
      </c>
      <c r="AH132" s="2">
        <v>335.1</v>
      </c>
      <c r="AI132" s="2" t="s">
        <v>772</v>
      </c>
      <c r="AJ132" s="2">
        <v>325.5</v>
      </c>
      <c r="AK132" s="2" t="s">
        <v>772</v>
      </c>
      <c r="AL132" s="2" t="s">
        <v>772</v>
      </c>
      <c r="AM132" s="19">
        <v>0.37361111111111112</v>
      </c>
      <c r="AN132" s="8">
        <f>(8+(58/60))*AJ132</f>
        <v>2918.65</v>
      </c>
      <c r="AV132" s="11"/>
      <c r="AW132" s="11"/>
      <c r="AX132" s="8">
        <v>916.00769600000001</v>
      </c>
      <c r="AY132" s="8">
        <v>957.09039099999995</v>
      </c>
      <c r="AZ132" s="8">
        <v>963.52757099999997</v>
      </c>
      <c r="BA132" s="8">
        <v>920.06248900000003</v>
      </c>
      <c r="BB132" s="8">
        <v>827.78295300000002</v>
      </c>
      <c r="BC132" s="8">
        <v>568.551106</v>
      </c>
      <c r="BD132" s="8">
        <v>556.76201100000003</v>
      </c>
      <c r="BE132" s="8">
        <v>586.06389200000001</v>
      </c>
      <c r="BF132" s="8">
        <v>865.19020799999998</v>
      </c>
      <c r="BG132" s="8">
        <v>936.00502900000004</v>
      </c>
      <c r="BH132" s="8">
        <v>930.851586</v>
      </c>
      <c r="BI132" s="8">
        <v>715.80827099999999</v>
      </c>
      <c r="BJ132" s="8">
        <v>943.979782</v>
      </c>
      <c r="BL132" s="11"/>
      <c r="BM132" s="12"/>
    </row>
    <row r="133" spans="1:65" x14ac:dyDescent="0.3">
      <c r="A133" s="2">
        <v>615</v>
      </c>
      <c r="B133" s="4" t="s">
        <v>772</v>
      </c>
      <c r="C133" s="2">
        <v>84</v>
      </c>
      <c r="D133" s="2">
        <v>80</v>
      </c>
      <c r="E133" s="138" t="s">
        <v>510</v>
      </c>
      <c r="P133" s="2">
        <v>509.5</v>
      </c>
      <c r="Q133" s="2"/>
      <c r="R133" s="2"/>
      <c r="S133" s="2"/>
      <c r="T133" s="2">
        <v>599.6</v>
      </c>
      <c r="U133" s="2">
        <v>574.70000000000005</v>
      </c>
      <c r="V133" s="2">
        <v>550.6</v>
      </c>
      <c r="W133" s="2">
        <v>559</v>
      </c>
      <c r="X133" s="2">
        <v>528</v>
      </c>
      <c r="Y133" s="2">
        <v>622.29999999999995</v>
      </c>
      <c r="AH133" s="14"/>
      <c r="AI133" s="14"/>
      <c r="AJ133" s="14"/>
      <c r="AK133" s="14"/>
      <c r="AL133" s="50"/>
    </row>
    <row r="134" spans="1:65" ht="12.5" x14ac:dyDescent="0.25">
      <c r="A134" s="2">
        <v>48</v>
      </c>
      <c r="B134" s="2">
        <v>56</v>
      </c>
      <c r="C134" s="2">
        <v>87</v>
      </c>
      <c r="D134" s="2">
        <v>91</v>
      </c>
      <c r="E134" s="138" t="s">
        <v>92</v>
      </c>
      <c r="F134" t="s">
        <v>7</v>
      </c>
      <c r="G134" t="s">
        <v>1543</v>
      </c>
      <c r="K134" s="15"/>
      <c r="P134" s="2">
        <v>343</v>
      </c>
      <c r="Q134" s="2"/>
      <c r="R134" s="2"/>
      <c r="S134" s="2"/>
      <c r="T134" s="97">
        <v>316</v>
      </c>
      <c r="U134" s="97">
        <v>345.1</v>
      </c>
      <c r="V134" s="97">
        <v>353.5</v>
      </c>
      <c r="W134" s="97">
        <v>347.9</v>
      </c>
      <c r="X134" s="97">
        <v>322.89999999999998</v>
      </c>
      <c r="Y134" s="97">
        <v>326.60000000000002</v>
      </c>
      <c r="AE134" s="2">
        <v>243.4</v>
      </c>
      <c r="AF134" s="2" t="s">
        <v>772</v>
      </c>
      <c r="AG134" s="2" t="s">
        <v>772</v>
      </c>
      <c r="AH134" s="2" t="s">
        <v>772</v>
      </c>
      <c r="AI134" s="2" t="s">
        <v>772</v>
      </c>
      <c r="AJ134" s="2" t="s">
        <v>772</v>
      </c>
      <c r="AK134" s="2" t="s">
        <v>772</v>
      </c>
      <c r="AL134" s="2" t="s">
        <v>772</v>
      </c>
      <c r="AM134" s="19">
        <v>0.40208333333333335</v>
      </c>
      <c r="AN134" s="8">
        <f>(9+(39/60))*AE134</f>
        <v>2348.81</v>
      </c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</row>
    <row r="135" spans="1:65" ht="12.5" x14ac:dyDescent="0.25">
      <c r="A135" s="2">
        <v>2034</v>
      </c>
      <c r="B135" s="2">
        <v>1719</v>
      </c>
      <c r="C135" s="2">
        <v>90</v>
      </c>
      <c r="D135" s="2">
        <v>85</v>
      </c>
      <c r="E135" s="138" t="s">
        <v>1225</v>
      </c>
      <c r="F135" t="s">
        <v>1226</v>
      </c>
      <c r="H135" s="2">
        <v>600000</v>
      </c>
      <c r="I135" s="2">
        <v>638.9</v>
      </c>
      <c r="J135" s="15">
        <v>22.82</v>
      </c>
      <c r="K135" s="15">
        <v>17.38</v>
      </c>
      <c r="P135" s="2">
        <v>365.3</v>
      </c>
      <c r="Q135" s="2"/>
      <c r="R135" s="2"/>
      <c r="S135" s="2"/>
      <c r="T135" s="2">
        <v>423.7</v>
      </c>
      <c r="U135" s="2">
        <v>422.5</v>
      </c>
      <c r="V135" s="2">
        <v>429.1</v>
      </c>
      <c r="W135" s="2">
        <v>441.4</v>
      </c>
      <c r="X135" s="2">
        <v>386.7</v>
      </c>
      <c r="Y135" s="2">
        <v>420.4</v>
      </c>
      <c r="AE135" s="2">
        <v>416.3</v>
      </c>
      <c r="AF135" s="2">
        <v>723.6</v>
      </c>
      <c r="AG135" s="2">
        <v>737.5</v>
      </c>
      <c r="AH135" s="2">
        <v>638.9</v>
      </c>
      <c r="AI135" s="2" t="s">
        <v>772</v>
      </c>
      <c r="AJ135" s="2" t="s">
        <v>772</v>
      </c>
      <c r="AK135" s="2" t="s">
        <v>772</v>
      </c>
      <c r="AL135" s="2" t="s">
        <v>772</v>
      </c>
      <c r="AM135" s="19">
        <v>0.1451388888888889</v>
      </c>
      <c r="AN135" s="8">
        <f>(3+(29/30))*AH135</f>
        <v>2534.3033333333333</v>
      </c>
      <c r="AX135" s="8">
        <v>126.409514</v>
      </c>
      <c r="AY135" s="8">
        <v>107.601553</v>
      </c>
      <c r="AZ135" s="8">
        <v>127.76248200000001</v>
      </c>
      <c r="BA135" s="8">
        <v>126.778386</v>
      </c>
      <c r="BB135" s="8">
        <v>123.96180200000001</v>
      </c>
      <c r="BC135" s="8">
        <v>128.72501600000001</v>
      </c>
      <c r="BD135" s="8">
        <v>92.027028999999999</v>
      </c>
      <c r="BE135" s="8">
        <v>86.629988999999995</v>
      </c>
      <c r="BF135" s="8">
        <v>119.68752000000001</v>
      </c>
      <c r="BG135" s="8">
        <v>128.90554299999999</v>
      </c>
      <c r="BH135" s="8">
        <v>166.59626800000001</v>
      </c>
      <c r="BI135" s="8">
        <v>178.84894700000001</v>
      </c>
      <c r="BJ135" s="8">
        <v>153.530282</v>
      </c>
    </row>
    <row r="136" spans="1:65" ht="12.5" x14ac:dyDescent="0.25">
      <c r="A136" s="2">
        <v>107</v>
      </c>
      <c r="B136" s="2">
        <v>109</v>
      </c>
      <c r="C136" s="2">
        <v>91</v>
      </c>
      <c r="D136" s="2">
        <v>92</v>
      </c>
      <c r="E136" s="138" t="s">
        <v>95</v>
      </c>
      <c r="G136" t="s">
        <v>1236</v>
      </c>
      <c r="I136" s="2">
        <v>456</v>
      </c>
      <c r="J136" s="15">
        <v>16.28</v>
      </c>
      <c r="K136" s="15">
        <v>10.79</v>
      </c>
      <c r="N136" s="1" t="s">
        <v>16</v>
      </c>
      <c r="P136" s="2">
        <v>482.5</v>
      </c>
      <c r="Q136" s="2"/>
      <c r="R136" s="2"/>
      <c r="S136" s="2"/>
      <c r="T136" s="1">
        <v>504.3</v>
      </c>
      <c r="U136" s="1">
        <v>474.3</v>
      </c>
      <c r="V136" s="1">
        <v>494.6</v>
      </c>
      <c r="W136" s="1">
        <v>501.7</v>
      </c>
      <c r="X136" s="1">
        <v>463.8</v>
      </c>
      <c r="Y136" s="1">
        <v>525.20000000000005</v>
      </c>
      <c r="AE136" s="2">
        <v>460.7</v>
      </c>
      <c r="AF136" s="2">
        <v>425.6</v>
      </c>
      <c r="AG136" s="2">
        <v>493.8</v>
      </c>
      <c r="AH136" s="2">
        <v>456</v>
      </c>
      <c r="AI136" s="2" t="s">
        <v>772</v>
      </c>
      <c r="AJ136" s="2">
        <v>522.79999999999995</v>
      </c>
      <c r="AK136" s="2" t="s">
        <v>772</v>
      </c>
      <c r="AL136" s="2" t="s">
        <v>772</v>
      </c>
      <c r="AM136" s="19">
        <v>0.12361111111111112</v>
      </c>
      <c r="AN136" s="57">
        <f>(2+(58/60))*AJ136</f>
        <v>1550.9733333333334</v>
      </c>
      <c r="AX136" s="8">
        <v>864.85199999999998</v>
      </c>
      <c r="AY136" s="2">
        <v>792.96299999999997</v>
      </c>
      <c r="AZ136" s="2">
        <v>823.87599999999998</v>
      </c>
      <c r="BA136" s="2">
        <v>988.31500000000005</v>
      </c>
      <c r="BB136" s="2">
        <v>810.36800000000005</v>
      </c>
      <c r="BC136" s="2">
        <v>819.78399999999999</v>
      </c>
      <c r="BD136" s="2">
        <v>913.49199999999996</v>
      </c>
      <c r="BE136" s="2">
        <v>968.18700000000001</v>
      </c>
      <c r="BF136" s="2">
        <v>1007.9930000000001</v>
      </c>
      <c r="BG136" s="2">
        <v>972.86</v>
      </c>
      <c r="BH136" s="2">
        <v>978.24400000000003</v>
      </c>
      <c r="BI136" s="2">
        <v>967.20100000000002</v>
      </c>
      <c r="BJ136" s="2">
        <v>997.51499999999999</v>
      </c>
    </row>
    <row r="137" spans="1:65" ht="12.5" x14ac:dyDescent="0.25">
      <c r="A137" s="2">
        <v>87</v>
      </c>
      <c r="B137" s="2">
        <v>100</v>
      </c>
      <c r="C137" s="2">
        <v>92</v>
      </c>
      <c r="D137" s="2">
        <v>96</v>
      </c>
      <c r="E137" s="138" t="s">
        <v>142</v>
      </c>
      <c r="F137" t="s">
        <v>546</v>
      </c>
      <c r="G137" t="s">
        <v>1543</v>
      </c>
      <c r="H137" s="2">
        <v>153870</v>
      </c>
      <c r="I137" s="2">
        <v>266.2</v>
      </c>
      <c r="J137" s="15">
        <v>9.5079999999999991</v>
      </c>
      <c r="K137" s="15">
        <v>7.4660000000000002</v>
      </c>
      <c r="P137" s="2">
        <v>301.3</v>
      </c>
      <c r="Q137" s="2"/>
      <c r="R137" s="2"/>
      <c r="S137" s="2"/>
      <c r="T137" s="97">
        <v>307.7</v>
      </c>
      <c r="U137" s="97">
        <v>323.2</v>
      </c>
      <c r="V137" s="97">
        <v>318.39999999999998</v>
      </c>
      <c r="W137" s="97">
        <v>341.4</v>
      </c>
      <c r="X137" s="97">
        <v>327.60000000000002</v>
      </c>
      <c r="Y137" s="97">
        <v>338.1</v>
      </c>
      <c r="AE137" s="2">
        <v>291.10000000000002</v>
      </c>
      <c r="AF137" s="2">
        <v>237.6</v>
      </c>
      <c r="AG137" s="2">
        <v>266.2</v>
      </c>
      <c r="AH137" s="2">
        <v>239.7</v>
      </c>
      <c r="AI137" s="14" t="s">
        <v>772</v>
      </c>
      <c r="AJ137" s="2">
        <v>241.4</v>
      </c>
      <c r="AK137" s="14" t="s">
        <v>772</v>
      </c>
      <c r="AL137" s="14" t="s">
        <v>772</v>
      </c>
      <c r="AM137" s="19">
        <v>0.15833333333333333</v>
      </c>
      <c r="AN137" s="8">
        <f>(3+(48/60))*AJ137</f>
        <v>917.31999999999994</v>
      </c>
      <c r="AX137" s="8">
        <v>440.25385999999997</v>
      </c>
      <c r="AY137" s="8">
        <v>417.26810999999998</v>
      </c>
      <c r="AZ137" s="8">
        <v>440.62811599999998</v>
      </c>
      <c r="BA137" s="8">
        <v>451.49653599999999</v>
      </c>
      <c r="BB137" s="8">
        <v>435.34655800000002</v>
      </c>
      <c r="BC137" s="8">
        <v>390.43083799999999</v>
      </c>
      <c r="BD137" s="8">
        <v>419.933379</v>
      </c>
      <c r="BE137" s="8">
        <v>409.91661800000003</v>
      </c>
      <c r="BF137" s="8">
        <v>436.15326700000003</v>
      </c>
      <c r="BG137" s="8">
        <v>417.46928300000002</v>
      </c>
      <c r="BH137" s="8">
        <v>460.90646800000002</v>
      </c>
      <c r="BI137" s="8">
        <v>393.70883600000002</v>
      </c>
      <c r="BJ137" s="8">
        <v>366.26575200000002</v>
      </c>
    </row>
    <row r="138" spans="1:65" x14ac:dyDescent="0.3">
      <c r="A138" s="2">
        <v>40</v>
      </c>
      <c r="B138" s="2">
        <v>39</v>
      </c>
      <c r="C138" s="2">
        <v>98</v>
      </c>
      <c r="D138" s="2">
        <v>93</v>
      </c>
      <c r="E138" s="138" t="s">
        <v>37</v>
      </c>
      <c r="F138" t="s">
        <v>533</v>
      </c>
      <c r="G138" t="s">
        <v>1236</v>
      </c>
      <c r="H138" s="2">
        <v>31000</v>
      </c>
      <c r="I138" s="2">
        <v>522.70000000000005</v>
      </c>
      <c r="J138" s="54">
        <v>18.66</v>
      </c>
      <c r="K138" s="54">
        <v>12.08</v>
      </c>
      <c r="P138" s="2">
        <v>481.9</v>
      </c>
      <c r="Q138" s="2"/>
      <c r="R138" s="2"/>
      <c r="S138" s="2"/>
      <c r="T138" s="1">
        <v>538.70000000000005</v>
      </c>
      <c r="U138" s="1">
        <v>464.2</v>
      </c>
      <c r="V138" s="1">
        <v>515.79999999999995</v>
      </c>
      <c r="W138" s="1">
        <v>513.20000000000005</v>
      </c>
      <c r="X138" s="1">
        <v>487.1</v>
      </c>
      <c r="Y138" s="1">
        <v>556.5</v>
      </c>
      <c r="AE138" s="2">
        <v>636.1</v>
      </c>
      <c r="AF138" s="2">
        <v>465.2</v>
      </c>
      <c r="AG138" s="2">
        <v>577.20000000000005</v>
      </c>
      <c r="AH138" s="2">
        <v>530.4</v>
      </c>
      <c r="AI138" s="2" t="s">
        <v>772</v>
      </c>
      <c r="AJ138" s="2">
        <v>569.79999999999995</v>
      </c>
      <c r="AK138" s="2" t="s">
        <v>772</v>
      </c>
      <c r="AL138" s="2" t="s">
        <v>772</v>
      </c>
      <c r="AM138" s="19">
        <v>0.1277777777777778</v>
      </c>
      <c r="AN138" s="57">
        <f>(3+(4/60))*AJ138</f>
        <v>1747.3866666666665</v>
      </c>
      <c r="AV138" s="10"/>
      <c r="AX138" s="26">
        <v>1206</v>
      </c>
      <c r="AY138" s="26">
        <v>1091</v>
      </c>
      <c r="AZ138" s="26">
        <v>1167</v>
      </c>
      <c r="BA138" s="26">
        <v>1366</v>
      </c>
      <c r="BB138" s="26">
        <v>1099</v>
      </c>
      <c r="BC138" s="26">
        <v>1108</v>
      </c>
      <c r="BD138" s="26">
        <v>1131</v>
      </c>
      <c r="BE138" s="26">
        <v>1227</v>
      </c>
      <c r="BF138" s="26">
        <v>1323</v>
      </c>
      <c r="BG138" s="26">
        <v>1350</v>
      </c>
      <c r="BH138" s="26">
        <v>1368</v>
      </c>
      <c r="BI138" s="26">
        <v>1275</v>
      </c>
      <c r="BJ138" s="26">
        <v>1426</v>
      </c>
    </row>
    <row r="139" spans="1:65" x14ac:dyDescent="0.3">
      <c r="E139" s="140" t="s">
        <v>1715</v>
      </c>
      <c r="J139" s="54"/>
      <c r="K139" s="54"/>
      <c r="P139" s="2"/>
      <c r="Q139" s="2"/>
      <c r="R139" s="2"/>
      <c r="S139" s="2"/>
      <c r="AE139" s="2"/>
      <c r="AG139" s="2"/>
      <c r="AH139" s="2"/>
      <c r="AI139" s="2"/>
      <c r="AJ139" s="2"/>
      <c r="AK139" s="2"/>
      <c r="AL139" s="2"/>
      <c r="AM139" s="19"/>
      <c r="AN139" s="57"/>
      <c r="AV139" s="10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</row>
    <row r="140" spans="1:65" ht="12.5" x14ac:dyDescent="0.25">
      <c r="A140" s="2">
        <v>6500</v>
      </c>
      <c r="B140" s="2" t="s">
        <v>772</v>
      </c>
      <c r="C140" s="2">
        <v>102</v>
      </c>
      <c r="D140" s="2" t="s">
        <v>772</v>
      </c>
      <c r="E140" s="138" t="s">
        <v>1556</v>
      </c>
      <c r="F140" t="s">
        <v>1557</v>
      </c>
      <c r="G140" s="12" t="s">
        <v>1279</v>
      </c>
      <c r="I140" s="160"/>
      <c r="K140" s="15"/>
      <c r="P140" s="2">
        <v>261.7</v>
      </c>
      <c r="Q140" s="2">
        <v>286.10000000000002</v>
      </c>
      <c r="R140" s="2">
        <v>301.5</v>
      </c>
      <c r="S140" s="2">
        <v>290.39999999999998</v>
      </c>
      <c r="T140" s="2">
        <v>278.3</v>
      </c>
      <c r="U140" s="2">
        <v>286.60000000000002</v>
      </c>
      <c r="V140" s="2">
        <v>273.10000000000002</v>
      </c>
      <c r="W140" s="2">
        <v>286.2</v>
      </c>
      <c r="X140" s="2">
        <v>265.8</v>
      </c>
      <c r="Y140" s="2">
        <v>287.10000000000002</v>
      </c>
      <c r="Z140" s="2">
        <v>277.89999999999998</v>
      </c>
      <c r="AA140" s="2">
        <v>263.60000000000002</v>
      </c>
      <c r="AB140" s="2">
        <v>268.89999999999998</v>
      </c>
      <c r="AE140" s="2"/>
      <c r="AG140" s="2"/>
      <c r="AH140" s="2"/>
      <c r="AI140" s="2"/>
      <c r="AJ140" s="2"/>
      <c r="AK140" s="2"/>
      <c r="AL140" s="2"/>
      <c r="AM140" s="19"/>
      <c r="AN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L140" s="2"/>
    </row>
    <row r="141" spans="1:65" x14ac:dyDescent="0.3">
      <c r="A141" s="2">
        <v>111</v>
      </c>
      <c r="B141" s="2">
        <v>104</v>
      </c>
      <c r="C141" s="2">
        <v>103</v>
      </c>
      <c r="D141" s="2">
        <v>98</v>
      </c>
      <c r="E141" s="138" t="s">
        <v>166</v>
      </c>
      <c r="F141" t="s">
        <v>9</v>
      </c>
      <c r="G141" t="s">
        <v>1314</v>
      </c>
      <c r="H141" s="2">
        <v>168050</v>
      </c>
      <c r="I141" s="2">
        <v>265.39999999999998</v>
      </c>
      <c r="J141" s="15">
        <v>9.4809999999999999</v>
      </c>
      <c r="K141" s="15">
        <v>5.8259999999999996</v>
      </c>
      <c r="P141" s="2">
        <v>320.7</v>
      </c>
      <c r="Q141" s="2"/>
      <c r="R141" s="2"/>
      <c r="S141" s="2"/>
      <c r="T141" s="1">
        <v>366.4</v>
      </c>
      <c r="U141" s="1">
        <v>382.9</v>
      </c>
      <c r="V141" s="1">
        <v>359.6</v>
      </c>
      <c r="W141" s="1">
        <v>373.4</v>
      </c>
      <c r="X141" s="1">
        <v>291.89999999999998</v>
      </c>
      <c r="Y141" s="1">
        <v>340.5</v>
      </c>
      <c r="AE141" s="2">
        <v>304.60000000000002</v>
      </c>
      <c r="AF141" s="2">
        <v>311.3</v>
      </c>
      <c r="AG141" s="2">
        <v>290.10000000000002</v>
      </c>
      <c r="AH141" s="2">
        <v>265.39999999999998</v>
      </c>
      <c r="AI141" s="14" t="s">
        <v>772</v>
      </c>
      <c r="AJ141" s="2">
        <v>267.5</v>
      </c>
      <c r="AK141" s="14" t="s">
        <v>772</v>
      </c>
      <c r="AL141" s="14" t="s">
        <v>772</v>
      </c>
      <c r="AM141" s="19">
        <v>0.24444444444444446</v>
      </c>
      <c r="AN141" s="8">
        <f>(5+(52/60))*AJ141</f>
        <v>1569.3333333333335</v>
      </c>
      <c r="AS141" s="3"/>
      <c r="AT141" s="3"/>
      <c r="AU141" s="3"/>
      <c r="AX141" s="8">
        <v>339.66483699999998</v>
      </c>
      <c r="AY141" s="8">
        <v>264.86118299999998</v>
      </c>
      <c r="AZ141" s="8">
        <v>339.955715</v>
      </c>
      <c r="BA141" s="8">
        <v>393.99358000000001</v>
      </c>
      <c r="BB141" s="8">
        <v>271.80337300000002</v>
      </c>
      <c r="BC141" s="8">
        <v>219.79032000000001</v>
      </c>
      <c r="BD141" s="8">
        <v>251.58698999999999</v>
      </c>
      <c r="BE141" s="8">
        <v>262.21471200000002</v>
      </c>
      <c r="BF141" s="8">
        <v>266.58970499999998</v>
      </c>
      <c r="BG141" s="8">
        <v>284.48593099999999</v>
      </c>
      <c r="BH141" s="8">
        <v>303.23701199999999</v>
      </c>
      <c r="BI141" s="8">
        <v>256.83267699999999</v>
      </c>
      <c r="BJ141" s="8">
        <v>289.64793900000001</v>
      </c>
    </row>
    <row r="142" spans="1:65" ht="12.5" x14ac:dyDescent="0.25">
      <c r="A142" s="2">
        <v>134</v>
      </c>
      <c r="B142" s="2">
        <v>64</v>
      </c>
      <c r="C142" s="2">
        <v>104</v>
      </c>
      <c r="D142" s="2">
        <v>85</v>
      </c>
      <c r="E142" s="138" t="s">
        <v>76</v>
      </c>
      <c r="F142" t="s">
        <v>6</v>
      </c>
      <c r="G142" t="s">
        <v>1233</v>
      </c>
      <c r="H142" s="2">
        <v>1000</v>
      </c>
      <c r="I142" s="2">
        <v>544.70000000000005</v>
      </c>
      <c r="J142" s="15">
        <v>19.45</v>
      </c>
      <c r="K142" s="15">
        <v>13.98</v>
      </c>
      <c r="P142" s="2">
        <v>208.2</v>
      </c>
      <c r="Q142" s="2"/>
      <c r="R142" s="2"/>
      <c r="S142" s="2"/>
      <c r="AE142" s="2">
        <v>386</v>
      </c>
      <c r="AF142" s="2">
        <v>500.2</v>
      </c>
      <c r="AG142" s="2">
        <v>519.1</v>
      </c>
      <c r="AH142" s="2">
        <v>544.70000000000005</v>
      </c>
      <c r="AI142" s="2" t="s">
        <v>772</v>
      </c>
      <c r="AJ142" s="2" t="s">
        <v>772</v>
      </c>
      <c r="AK142" s="2" t="s">
        <v>772</v>
      </c>
      <c r="AL142" s="2" t="s">
        <v>772</v>
      </c>
      <c r="AM142" s="19">
        <v>0.44166666666666665</v>
      </c>
      <c r="AN142" s="57">
        <f>(10+(36/60))*AH142</f>
        <v>5773.8200000000006</v>
      </c>
      <c r="AX142" s="8">
        <v>4275.7350740000002</v>
      </c>
      <c r="AY142" s="8">
        <v>3838.5233819999999</v>
      </c>
      <c r="AZ142" s="8">
        <v>3999.7769290000001</v>
      </c>
      <c r="BA142" s="8">
        <v>4988.758769</v>
      </c>
      <c r="BB142" s="8">
        <v>4343.4475130000001</v>
      </c>
      <c r="BC142" s="8">
        <v>4091.9425769999998</v>
      </c>
      <c r="BD142" s="8">
        <v>4044.1266599999999</v>
      </c>
      <c r="BE142" s="8">
        <v>4309.3333819999998</v>
      </c>
      <c r="BF142" s="8">
        <v>3642.9196729999999</v>
      </c>
      <c r="BG142" s="8">
        <v>4560.8419640000002</v>
      </c>
      <c r="BH142" s="8">
        <v>3885.7047090000001</v>
      </c>
      <c r="BI142" s="8">
        <v>3504.7328889999999</v>
      </c>
      <c r="BJ142" s="8">
        <v>3807.48911</v>
      </c>
    </row>
    <row r="143" spans="1:65" ht="12.5" x14ac:dyDescent="0.25">
      <c r="A143" s="2">
        <v>5018</v>
      </c>
      <c r="B143" s="2" t="s">
        <v>772</v>
      </c>
      <c r="C143" s="2">
        <v>106</v>
      </c>
      <c r="D143" s="2">
        <v>102</v>
      </c>
      <c r="E143" s="142" t="s">
        <v>1516</v>
      </c>
      <c r="F143" s="12"/>
      <c r="K143" s="15"/>
      <c r="P143" s="2">
        <v>349.2</v>
      </c>
      <c r="Q143" s="2"/>
      <c r="R143" s="2"/>
      <c r="S143" s="2"/>
      <c r="T143" s="97">
        <v>397.1</v>
      </c>
      <c r="U143" s="97">
        <v>391.1</v>
      </c>
      <c r="V143" s="97">
        <v>371.8</v>
      </c>
      <c r="W143" s="97">
        <v>394</v>
      </c>
      <c r="X143" s="97">
        <v>353.8</v>
      </c>
      <c r="Y143" s="97">
        <v>411.5</v>
      </c>
      <c r="AE143" s="2"/>
      <c r="AG143" s="2"/>
      <c r="AH143" s="2"/>
      <c r="AI143" s="14"/>
      <c r="AJ143" s="2"/>
      <c r="AK143" s="14"/>
      <c r="AL143" s="14"/>
      <c r="AM143" s="19"/>
      <c r="AN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spans="1:65" ht="12.5" x14ac:dyDescent="0.25">
      <c r="A144" s="2">
        <v>72</v>
      </c>
      <c r="B144" s="2">
        <v>63</v>
      </c>
      <c r="C144" s="2">
        <v>110</v>
      </c>
      <c r="D144" s="2">
        <v>94</v>
      </c>
      <c r="E144" s="138" t="s">
        <v>49</v>
      </c>
      <c r="F144" t="s">
        <v>6</v>
      </c>
      <c r="H144" s="2">
        <v>2000</v>
      </c>
      <c r="I144" s="2">
        <v>675.9</v>
      </c>
      <c r="J144" s="15">
        <v>24.14</v>
      </c>
      <c r="K144" s="15">
        <v>19.010000000000002</v>
      </c>
      <c r="P144" s="2">
        <v>369.6</v>
      </c>
      <c r="Q144" s="2"/>
      <c r="R144" s="2"/>
      <c r="S144" s="2"/>
      <c r="T144" s="1">
        <v>451.5</v>
      </c>
      <c r="U144" s="1">
        <v>491.8</v>
      </c>
      <c r="V144" s="1">
        <v>506</v>
      </c>
      <c r="W144" s="1">
        <v>594.70000000000005</v>
      </c>
      <c r="X144" s="1">
        <v>591.1</v>
      </c>
      <c r="Y144" s="1">
        <v>672.5</v>
      </c>
      <c r="AE144" s="2">
        <v>813.5</v>
      </c>
      <c r="AF144" s="2">
        <v>729.9</v>
      </c>
      <c r="AG144" s="2">
        <v>669.1</v>
      </c>
      <c r="AH144" s="2">
        <v>652.6</v>
      </c>
      <c r="AI144" s="2" t="s">
        <v>772</v>
      </c>
      <c r="AJ144" s="2">
        <v>643</v>
      </c>
      <c r="AK144" s="2" t="s">
        <v>772</v>
      </c>
      <c r="AL144" s="2" t="s">
        <v>772</v>
      </c>
      <c r="AM144" s="19">
        <v>0.12916666666666668</v>
      </c>
      <c r="AN144" s="8">
        <f>(3+(6/60))*AJ144</f>
        <v>1993.3</v>
      </c>
      <c r="AX144" s="8">
        <v>1592.45577</v>
      </c>
      <c r="AY144" s="8">
        <v>1699.725723</v>
      </c>
      <c r="AZ144" s="8">
        <v>1609.33959</v>
      </c>
      <c r="BA144" s="8">
        <v>1659.7602449999999</v>
      </c>
      <c r="BB144" s="8">
        <v>1465.289884</v>
      </c>
      <c r="BC144" s="8">
        <v>1296.696506</v>
      </c>
      <c r="BD144" s="8">
        <v>1468.504308</v>
      </c>
      <c r="BE144" s="8">
        <v>1392.2677880000001</v>
      </c>
      <c r="BF144" s="8">
        <v>1689.6079110000001</v>
      </c>
      <c r="BG144" s="8">
        <v>1712.2720810000001</v>
      </c>
      <c r="BH144" s="8">
        <v>1738.4798719999999</v>
      </c>
      <c r="BI144" s="8">
        <v>1589.808759</v>
      </c>
      <c r="BJ144" s="8">
        <v>1682.7836850000001</v>
      </c>
    </row>
    <row r="145" spans="1:64" s="130" customFormat="1" x14ac:dyDescent="0.3">
      <c r="A145" s="129">
        <v>232</v>
      </c>
      <c r="B145" s="129">
        <v>289</v>
      </c>
      <c r="C145" s="129">
        <v>111</v>
      </c>
      <c r="D145" s="129">
        <v>113</v>
      </c>
      <c r="E145" s="139" t="s">
        <v>570</v>
      </c>
      <c r="F145" s="130" t="s">
        <v>6</v>
      </c>
      <c r="G145" s="130" t="s">
        <v>1270</v>
      </c>
      <c r="H145" s="129">
        <v>3000</v>
      </c>
      <c r="I145" s="129">
        <v>164</v>
      </c>
      <c r="J145" s="131">
        <v>5.8570000000000002</v>
      </c>
      <c r="K145" s="131">
        <v>3.2010000000000001</v>
      </c>
      <c r="L145" s="129"/>
      <c r="M145" s="132" t="s">
        <v>16</v>
      </c>
      <c r="N145" s="132"/>
      <c r="O145" s="132"/>
      <c r="P145" s="129">
        <v>207.9</v>
      </c>
      <c r="Q145" s="129"/>
      <c r="R145" s="129"/>
      <c r="S145" s="129"/>
      <c r="T145" s="133">
        <v>204.4</v>
      </c>
      <c r="U145" s="133">
        <v>209</v>
      </c>
      <c r="V145" s="133">
        <v>207.1</v>
      </c>
      <c r="W145" s="133">
        <v>201.7</v>
      </c>
      <c r="X145" s="133">
        <v>190.9</v>
      </c>
      <c r="Y145" s="133">
        <v>221.8</v>
      </c>
      <c r="Z145" s="132"/>
      <c r="AA145" s="132"/>
      <c r="AB145" s="132"/>
      <c r="AC145" s="132"/>
      <c r="AD145" s="132"/>
      <c r="AE145" s="129">
        <v>183.5</v>
      </c>
      <c r="AF145" s="129">
        <v>181.1</v>
      </c>
      <c r="AG145" s="132">
        <v>164</v>
      </c>
      <c r="AH145" s="134" t="s">
        <v>772</v>
      </c>
      <c r="AI145" s="134" t="s">
        <v>772</v>
      </c>
      <c r="AJ145" s="134" t="s">
        <v>772</v>
      </c>
      <c r="AK145" s="134" t="s">
        <v>772</v>
      </c>
      <c r="AL145" s="134" t="s">
        <v>772</v>
      </c>
      <c r="AM145" s="135">
        <v>0.35833333333333334</v>
      </c>
      <c r="AN145" s="136">
        <f>(8+(36/60))*AG145</f>
        <v>1410.3999999999999</v>
      </c>
      <c r="AX145" s="137">
        <v>208.33199999999999</v>
      </c>
      <c r="AY145" s="137">
        <v>216.1</v>
      </c>
      <c r="AZ145" s="137">
        <v>214.9</v>
      </c>
      <c r="BA145" s="137">
        <v>200.2</v>
      </c>
      <c r="BB145" s="137">
        <v>188.5</v>
      </c>
      <c r="BC145" s="137">
        <v>196.2</v>
      </c>
      <c r="BD145" s="137">
        <v>230.4</v>
      </c>
      <c r="BE145" s="137">
        <v>200.66</v>
      </c>
      <c r="BF145" s="137">
        <v>217.2</v>
      </c>
      <c r="BG145" s="137">
        <v>197.3</v>
      </c>
      <c r="BH145" s="137">
        <v>227.06</v>
      </c>
      <c r="BI145" s="137">
        <v>212.07</v>
      </c>
      <c r="BJ145" s="137">
        <v>210.94</v>
      </c>
      <c r="BK145" s="132"/>
    </row>
    <row r="146" spans="1:64" x14ac:dyDescent="0.3">
      <c r="A146" s="2">
        <v>1809</v>
      </c>
      <c r="B146" s="2" t="s">
        <v>772</v>
      </c>
      <c r="C146" s="2">
        <v>115</v>
      </c>
      <c r="D146" s="2">
        <v>120</v>
      </c>
      <c r="E146" s="138" t="s">
        <v>1513</v>
      </c>
      <c r="P146" s="2">
        <v>253.8</v>
      </c>
      <c r="Q146" s="2"/>
      <c r="R146" s="2"/>
      <c r="S146" s="2"/>
      <c r="T146" s="97">
        <v>258</v>
      </c>
      <c r="U146" s="97">
        <v>269.5</v>
      </c>
      <c r="V146" s="97">
        <v>254</v>
      </c>
      <c r="W146" s="97">
        <v>261.3</v>
      </c>
      <c r="X146" s="97">
        <v>241.4</v>
      </c>
      <c r="Y146" s="97">
        <v>259.7</v>
      </c>
      <c r="AE146" s="2"/>
      <c r="AH146" s="14"/>
      <c r="AI146" s="14"/>
      <c r="AJ146" s="14"/>
      <c r="AK146" s="14"/>
      <c r="AL146" s="14"/>
      <c r="AM146" s="19"/>
      <c r="AN146" s="8"/>
    </row>
    <row r="147" spans="1:64" x14ac:dyDescent="0.3">
      <c r="A147" s="2">
        <v>63</v>
      </c>
      <c r="B147" s="2">
        <v>59</v>
      </c>
      <c r="C147" s="2">
        <v>117</v>
      </c>
      <c r="D147" s="2">
        <v>109</v>
      </c>
      <c r="E147" s="138" t="s">
        <v>78</v>
      </c>
      <c r="F147" t="s">
        <v>6</v>
      </c>
      <c r="G147" t="s">
        <v>1233</v>
      </c>
      <c r="H147" s="2">
        <v>5000</v>
      </c>
      <c r="I147" s="2">
        <v>290.39999999999998</v>
      </c>
      <c r="J147" s="15">
        <v>10.37</v>
      </c>
      <c r="K147" s="15">
        <v>6.4749999999999996</v>
      </c>
      <c r="P147" s="2">
        <v>240.4</v>
      </c>
      <c r="Q147" s="2"/>
      <c r="R147" s="2"/>
      <c r="S147" s="2"/>
      <c r="T147" s="97"/>
      <c r="U147" s="97"/>
      <c r="V147" s="97"/>
      <c r="W147" s="97"/>
      <c r="X147" s="97"/>
      <c r="Y147" s="97"/>
      <c r="AE147" s="2">
        <v>254.7</v>
      </c>
      <c r="AF147" s="2">
        <v>296.5</v>
      </c>
      <c r="AG147" s="2">
        <v>279.7</v>
      </c>
      <c r="AH147" s="2">
        <v>290.39999999999998</v>
      </c>
      <c r="AI147" s="2" t="s">
        <v>772</v>
      </c>
      <c r="AJ147" s="2">
        <v>296.60000000000002</v>
      </c>
      <c r="AK147" s="2" t="s">
        <v>772</v>
      </c>
      <c r="AL147" s="2" t="s">
        <v>772</v>
      </c>
      <c r="AM147" s="19">
        <v>0.21944444444444444</v>
      </c>
      <c r="AN147" s="57">
        <f>(5+(16/60))*AJ147</f>
        <v>1562.0933333333335</v>
      </c>
      <c r="AX147" s="46">
        <v>1024</v>
      </c>
      <c r="AY147" s="4">
        <v>943</v>
      </c>
      <c r="AZ147" s="4">
        <v>1019</v>
      </c>
      <c r="BA147" s="4">
        <v>1033</v>
      </c>
      <c r="BB147" s="4">
        <v>1037</v>
      </c>
      <c r="BC147" s="4">
        <v>1008</v>
      </c>
      <c r="BD147" s="4">
        <v>1068</v>
      </c>
      <c r="BE147" s="4">
        <v>1048</v>
      </c>
      <c r="BF147" s="4">
        <v>983</v>
      </c>
      <c r="BG147" s="4">
        <v>1069</v>
      </c>
      <c r="BH147" s="4">
        <v>1068</v>
      </c>
      <c r="BI147" s="4">
        <v>979</v>
      </c>
      <c r="BJ147" s="4">
        <v>1129</v>
      </c>
    </row>
    <row r="148" spans="1:64" ht="12.5" x14ac:dyDescent="0.25">
      <c r="A148" s="2">
        <v>30</v>
      </c>
      <c r="B148" s="2">
        <v>27</v>
      </c>
      <c r="C148" s="2">
        <v>118</v>
      </c>
      <c r="D148" s="2">
        <v>107</v>
      </c>
      <c r="E148" s="138" t="s">
        <v>59</v>
      </c>
      <c r="F148" t="s">
        <v>540</v>
      </c>
      <c r="G148" t="s">
        <v>1322</v>
      </c>
      <c r="H148" s="2">
        <v>0</v>
      </c>
      <c r="I148" s="2">
        <v>719.1</v>
      </c>
      <c r="J148" s="15">
        <v>7.86</v>
      </c>
      <c r="K148" s="15">
        <v>5.1890000000000001</v>
      </c>
      <c r="P148" s="2">
        <v>296.39999999999998</v>
      </c>
      <c r="Q148" s="2"/>
      <c r="R148" s="2"/>
      <c r="S148" s="2"/>
      <c r="T148" s="97"/>
      <c r="U148" s="97"/>
      <c r="V148" s="97"/>
      <c r="W148" s="97"/>
      <c r="X148" s="97"/>
      <c r="Y148" s="97"/>
      <c r="AE148" s="2">
        <v>295.89999999999998</v>
      </c>
      <c r="AF148" s="2">
        <v>286.7</v>
      </c>
      <c r="AG148" s="2">
        <v>240.7</v>
      </c>
      <c r="AH148" s="2">
        <v>245.3</v>
      </c>
      <c r="AI148" s="2" t="s">
        <v>772</v>
      </c>
      <c r="AJ148" s="2">
        <v>238.7</v>
      </c>
      <c r="AK148" s="2" t="s">
        <v>772</v>
      </c>
      <c r="AL148" s="2" t="s">
        <v>772</v>
      </c>
      <c r="AM148" s="19">
        <v>0.1125</v>
      </c>
      <c r="AN148" s="8">
        <f>(2+(42/60))*AJ148</f>
        <v>644.49</v>
      </c>
      <c r="AX148" s="8">
        <v>360.40290199999998</v>
      </c>
      <c r="AY148" s="8">
        <v>486.08710100000002</v>
      </c>
      <c r="AZ148" s="8">
        <v>378.92294299999998</v>
      </c>
      <c r="BA148" s="8">
        <v>338.971271</v>
      </c>
      <c r="BB148" s="8">
        <v>323.66874200000001</v>
      </c>
      <c r="BC148" s="8">
        <v>318.24909700000001</v>
      </c>
      <c r="BD148" s="8">
        <v>328.24787300000003</v>
      </c>
      <c r="BE148" s="8">
        <v>309.88622600000002</v>
      </c>
      <c r="BF148" s="8">
        <v>348.91004099999998</v>
      </c>
      <c r="BG148" s="8">
        <v>358.52709700000003</v>
      </c>
      <c r="BH148" s="8">
        <v>386.66364700000003</v>
      </c>
      <c r="BI148" s="8">
        <v>334.848995</v>
      </c>
      <c r="BJ148" s="8">
        <v>399.43630000000002</v>
      </c>
    </row>
    <row r="149" spans="1:64" ht="12.5" x14ac:dyDescent="0.25">
      <c r="A149" s="2">
        <v>537</v>
      </c>
      <c r="B149" s="2" t="s">
        <v>772</v>
      </c>
      <c r="C149" s="2">
        <v>122</v>
      </c>
      <c r="D149" s="2">
        <v>106</v>
      </c>
      <c r="E149" s="142" t="s">
        <v>1518</v>
      </c>
      <c r="F149" s="2" t="s">
        <v>6</v>
      </c>
      <c r="G149" s="2" t="s">
        <v>1540</v>
      </c>
      <c r="K149" s="15"/>
      <c r="P149" s="2">
        <v>306.8</v>
      </c>
      <c r="Q149" s="2"/>
      <c r="R149" s="2"/>
      <c r="S149" s="2"/>
      <c r="T149" s="97">
        <v>385.8</v>
      </c>
      <c r="U149" s="97">
        <v>436.2</v>
      </c>
      <c r="V149" s="97">
        <v>480.1</v>
      </c>
      <c r="W149" s="97">
        <v>510.5</v>
      </c>
      <c r="X149" s="97">
        <v>614.70000000000005</v>
      </c>
      <c r="Y149" s="97">
        <v>277.89999999999998</v>
      </c>
      <c r="Z149" s="2"/>
      <c r="AA149" s="2"/>
      <c r="AB149" s="2"/>
      <c r="AC149" s="2"/>
      <c r="AD149" s="2"/>
      <c r="AE149" s="2"/>
      <c r="AG149" s="2"/>
      <c r="AH149" s="2"/>
      <c r="AI149" s="2"/>
      <c r="AJ149" s="2"/>
      <c r="AK149" s="2"/>
      <c r="AL149" s="2"/>
      <c r="AM149" s="19"/>
      <c r="AN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 spans="1:64" x14ac:dyDescent="0.3">
      <c r="E150" s="143" t="s">
        <v>1555</v>
      </c>
      <c r="F150" s="2"/>
      <c r="G150" s="2"/>
      <c r="K150" s="15"/>
      <c r="P150" s="2"/>
      <c r="Q150" s="2"/>
      <c r="R150" s="2"/>
      <c r="S150" s="2"/>
      <c r="T150" s="97"/>
      <c r="U150" s="97"/>
      <c r="V150" s="97"/>
      <c r="W150" s="97"/>
      <c r="X150" s="97"/>
      <c r="Y150" s="97"/>
      <c r="Z150" s="2"/>
      <c r="AA150" s="2"/>
      <c r="AB150" s="2"/>
      <c r="AC150" s="2"/>
      <c r="AD150" s="2"/>
      <c r="AE150" s="2"/>
      <c r="AG150" s="2"/>
      <c r="AH150" s="2"/>
      <c r="AI150" s="2"/>
      <c r="AJ150" s="2"/>
      <c r="AK150" s="2"/>
      <c r="AL150" s="2"/>
      <c r="AM150" s="19"/>
      <c r="AN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 spans="1:64" ht="12.5" x14ac:dyDescent="0.25">
      <c r="A151" s="2">
        <v>575</v>
      </c>
      <c r="B151" s="2" t="s">
        <v>772</v>
      </c>
      <c r="C151" s="2">
        <v>124</v>
      </c>
      <c r="D151" s="2" t="s">
        <v>772</v>
      </c>
      <c r="E151" s="138" t="s">
        <v>1568</v>
      </c>
      <c r="K151" s="15"/>
      <c r="P151" s="2">
        <v>267.5</v>
      </c>
      <c r="Q151" s="2"/>
      <c r="R151" s="2"/>
      <c r="S151" s="2"/>
      <c r="AE151" s="2"/>
      <c r="AG151" s="2"/>
      <c r="AH151" s="2"/>
      <c r="AI151" s="2"/>
      <c r="AJ151" s="2"/>
      <c r="AK151" s="2"/>
      <c r="AL151" s="2"/>
      <c r="AM151" s="19"/>
      <c r="AN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 spans="1:64" ht="12.5" x14ac:dyDescent="0.25">
      <c r="A152" s="2">
        <v>41</v>
      </c>
      <c r="B152" s="2">
        <v>30</v>
      </c>
      <c r="C152" s="2">
        <v>124</v>
      </c>
      <c r="D152" s="2">
        <v>103</v>
      </c>
      <c r="E152" s="138" t="s">
        <v>64</v>
      </c>
      <c r="F152" t="s">
        <v>3</v>
      </c>
      <c r="G152" t="s">
        <v>1236</v>
      </c>
      <c r="H152" s="2">
        <v>5500</v>
      </c>
      <c r="I152" s="2">
        <v>232.6</v>
      </c>
      <c r="J152" s="15">
        <v>7.92</v>
      </c>
      <c r="K152" s="15">
        <v>3.5169999999999999</v>
      </c>
      <c r="P152" s="2">
        <v>213</v>
      </c>
      <c r="Q152" s="2"/>
      <c r="R152" s="2"/>
      <c r="S152" s="2"/>
      <c r="T152" s="97"/>
      <c r="U152" s="97"/>
      <c r="V152" s="97"/>
      <c r="W152" s="97"/>
      <c r="X152" s="97"/>
      <c r="Y152" s="97"/>
      <c r="AE152" s="2">
        <v>261.2</v>
      </c>
      <c r="AF152" s="2">
        <v>258.8</v>
      </c>
      <c r="AG152" s="2">
        <v>292.5</v>
      </c>
      <c r="AH152" s="2">
        <v>270.8</v>
      </c>
      <c r="AI152" s="2" t="s">
        <v>772</v>
      </c>
      <c r="AJ152" s="2">
        <v>243.5</v>
      </c>
      <c r="AK152" s="2" t="s">
        <v>772</v>
      </c>
      <c r="AL152" s="2" t="s">
        <v>772</v>
      </c>
      <c r="AM152" s="19">
        <v>0.4770833333333333</v>
      </c>
      <c r="AN152" s="8">
        <f>(11+(27/60))*AJ152</f>
        <v>2788.0749999999998</v>
      </c>
      <c r="AX152" s="8">
        <v>195.18588700000001</v>
      </c>
      <c r="AY152" s="8">
        <v>182.41283999999999</v>
      </c>
      <c r="AZ152" s="8">
        <v>206.10219599999999</v>
      </c>
      <c r="BA152" s="8">
        <v>180.58576299999999</v>
      </c>
      <c r="BB152" s="8">
        <v>170.52558999999999</v>
      </c>
      <c r="BC152" s="8">
        <v>179.75833600000001</v>
      </c>
      <c r="BD152" s="8">
        <v>184.71806599999999</v>
      </c>
      <c r="BE152" s="8">
        <v>190.11642399999999</v>
      </c>
      <c r="BF152" s="8">
        <v>221.27622</v>
      </c>
      <c r="BG152" s="8">
        <v>221.221689</v>
      </c>
      <c r="BH152" s="8">
        <v>228.852994</v>
      </c>
      <c r="BI152" s="8">
        <v>213.153471</v>
      </c>
      <c r="BJ152" s="8">
        <v>202.249405</v>
      </c>
      <c r="BL152" s="2"/>
    </row>
    <row r="153" spans="1:64" ht="12.5" x14ac:dyDescent="0.25">
      <c r="E153" s="138" t="s">
        <v>1548</v>
      </c>
      <c r="K153" s="15"/>
      <c r="P153" s="2"/>
      <c r="Q153" s="2"/>
      <c r="R153" s="2"/>
      <c r="S153" s="2"/>
      <c r="T153" s="97"/>
      <c r="U153" s="97"/>
      <c r="V153" s="97"/>
      <c r="W153" s="97"/>
      <c r="X153" s="97"/>
      <c r="Y153" s="97"/>
      <c r="AE153" s="2"/>
      <c r="AG153" s="2"/>
      <c r="AH153" s="2"/>
      <c r="AI153" s="2"/>
      <c r="AJ153" s="2"/>
      <c r="AK153" s="2"/>
      <c r="AL153" s="2"/>
      <c r="AM153" s="19"/>
      <c r="AN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L153" s="2"/>
    </row>
    <row r="154" spans="1:64" ht="12.5" x14ac:dyDescent="0.25">
      <c r="A154" s="2">
        <v>35</v>
      </c>
      <c r="B154" s="2">
        <v>29</v>
      </c>
      <c r="C154" s="2">
        <v>125</v>
      </c>
      <c r="D154" s="2">
        <v>115</v>
      </c>
      <c r="E154" s="138" t="s">
        <v>70</v>
      </c>
      <c r="F154" t="s">
        <v>527</v>
      </c>
      <c r="G154" t="s">
        <v>1539</v>
      </c>
      <c r="H154" s="2">
        <v>392730</v>
      </c>
      <c r="I154" s="2">
        <v>180.7</v>
      </c>
      <c r="J154" s="15">
        <v>6.4560000000000004</v>
      </c>
      <c r="K154" s="15">
        <v>5.0140000000000002</v>
      </c>
      <c r="P154" s="2">
        <v>167.9</v>
      </c>
      <c r="Q154" s="2"/>
      <c r="R154" s="2"/>
      <c r="S154" s="2"/>
      <c r="T154" s="97">
        <v>192</v>
      </c>
      <c r="U154" s="97">
        <v>186.4</v>
      </c>
      <c r="V154" s="97">
        <v>179.1</v>
      </c>
      <c r="W154" s="97">
        <v>179.9</v>
      </c>
      <c r="X154" s="97">
        <v>164.5</v>
      </c>
      <c r="Y154" s="97">
        <v>189.6</v>
      </c>
      <c r="AE154" s="2">
        <v>176.4</v>
      </c>
      <c r="AF154" s="2">
        <v>181.6</v>
      </c>
      <c r="AG154" s="2">
        <v>174.8</v>
      </c>
      <c r="AH154" s="2">
        <v>180.7</v>
      </c>
      <c r="AI154" s="2" t="s">
        <v>772</v>
      </c>
      <c r="AJ154" s="2">
        <v>181.3</v>
      </c>
      <c r="AK154" s="2" t="s">
        <v>772</v>
      </c>
      <c r="AL154" s="2" t="s">
        <v>772</v>
      </c>
      <c r="AM154" s="19">
        <v>0.28125</v>
      </c>
      <c r="AN154" s="8">
        <f>(6+(45/60))*AJ154</f>
        <v>1223.7750000000001</v>
      </c>
      <c r="AX154" s="8">
        <v>171.62819200000001</v>
      </c>
      <c r="AY154" s="8">
        <v>171.68662399999999</v>
      </c>
      <c r="AZ154" s="8">
        <v>172.519699</v>
      </c>
      <c r="BA154" s="8">
        <v>169.64112499999999</v>
      </c>
      <c r="BB154" s="8">
        <v>173.54876300000001</v>
      </c>
      <c r="BC154" s="8">
        <v>161.13384600000001</v>
      </c>
      <c r="BD154" s="8">
        <v>175.19556</v>
      </c>
      <c r="BE154" s="8">
        <v>173.894057</v>
      </c>
      <c r="BF154" s="8">
        <v>194.23142999999999</v>
      </c>
      <c r="BG154" s="8">
        <v>189.42804699999999</v>
      </c>
      <c r="BH154" s="8">
        <v>209.11055300000001</v>
      </c>
      <c r="BI154" s="8">
        <v>186.626665</v>
      </c>
      <c r="BJ154" s="8">
        <v>194.02378899999999</v>
      </c>
    </row>
    <row r="155" spans="1:64" ht="12.5" x14ac:dyDescent="0.25">
      <c r="A155" s="2">
        <v>38</v>
      </c>
      <c r="B155" s="2">
        <v>26</v>
      </c>
      <c r="C155" s="2">
        <v>127</v>
      </c>
      <c r="D155" s="2">
        <v>104</v>
      </c>
      <c r="E155" s="138" t="s">
        <v>68</v>
      </c>
      <c r="F155" t="s">
        <v>6</v>
      </c>
      <c r="G155" t="s">
        <v>1279</v>
      </c>
      <c r="H155" s="2">
        <v>1000</v>
      </c>
      <c r="I155" s="2">
        <v>191.8</v>
      </c>
      <c r="J155" s="15">
        <v>6.851</v>
      </c>
      <c r="K155" s="15">
        <v>4.2670000000000003</v>
      </c>
      <c r="P155" s="2">
        <v>107</v>
      </c>
      <c r="Q155" s="2"/>
      <c r="R155" s="2"/>
      <c r="S155" s="2"/>
      <c r="T155" s="97"/>
      <c r="U155" s="97"/>
      <c r="V155" s="97"/>
      <c r="W155" s="97"/>
      <c r="X155" s="97"/>
      <c r="Y155" s="97">
        <v>142.69999999999999</v>
      </c>
      <c r="Z155" s="2">
        <v>140.6</v>
      </c>
      <c r="AA155" s="2">
        <v>140.1</v>
      </c>
      <c r="AB155" s="2">
        <v>144.9</v>
      </c>
      <c r="AC155" s="2">
        <v>149.6</v>
      </c>
      <c r="AD155" s="2">
        <v>165.8</v>
      </c>
      <c r="AE155" s="2">
        <v>157.30000000000001</v>
      </c>
      <c r="AF155" s="2">
        <v>159.6</v>
      </c>
      <c r="AG155" s="2">
        <v>172.6</v>
      </c>
      <c r="AH155" s="2">
        <v>191.8</v>
      </c>
      <c r="AI155" s="2" t="s">
        <v>772</v>
      </c>
      <c r="AJ155" s="2">
        <v>193.8</v>
      </c>
      <c r="AK155" s="2" t="s">
        <v>772</v>
      </c>
      <c r="AL155" s="2" t="s">
        <v>772</v>
      </c>
      <c r="AM155" s="19">
        <v>0.32777777777777778</v>
      </c>
      <c r="AN155" s="8">
        <f>(7+(52/60))*AJ155</f>
        <v>1524.5600000000002</v>
      </c>
      <c r="AX155" s="8">
        <v>233.68920299999999</v>
      </c>
      <c r="AY155" s="8">
        <v>245.74024700000001</v>
      </c>
      <c r="AZ155" s="8">
        <v>232.18044399999999</v>
      </c>
      <c r="BA155" s="8">
        <v>228.916336</v>
      </c>
      <c r="BB155" s="8">
        <v>243.09141</v>
      </c>
      <c r="BC155" s="8">
        <v>243.953969</v>
      </c>
      <c r="BD155" s="8">
        <v>254.13208599999999</v>
      </c>
      <c r="BE155" s="8">
        <v>262.829926</v>
      </c>
      <c r="BF155" s="8">
        <v>296.74005699999998</v>
      </c>
      <c r="BG155" s="8">
        <v>302.69884000000002</v>
      </c>
      <c r="BH155" s="8">
        <v>294.714832</v>
      </c>
      <c r="BI155" s="8">
        <v>278.78840400000001</v>
      </c>
      <c r="BJ155" s="8">
        <v>310.45043900000002</v>
      </c>
    </row>
    <row r="156" spans="1:64" ht="12.5" x14ac:dyDescent="0.25">
      <c r="A156" s="2">
        <v>334</v>
      </c>
      <c r="B156" s="2">
        <v>306</v>
      </c>
      <c r="C156" s="2">
        <v>138</v>
      </c>
      <c r="D156" s="2">
        <v>88</v>
      </c>
      <c r="E156" s="138" t="s">
        <v>1356</v>
      </c>
      <c r="F156" t="s">
        <v>1233</v>
      </c>
      <c r="G156" t="s">
        <v>1233</v>
      </c>
      <c r="K156" s="15"/>
      <c r="P156" s="2">
        <v>246</v>
      </c>
      <c r="Q156" s="2"/>
      <c r="R156" s="2"/>
      <c r="S156" s="2"/>
      <c r="T156" s="1">
        <v>445.9</v>
      </c>
      <c r="U156" s="1">
        <v>450.5</v>
      </c>
      <c r="V156" s="1">
        <v>443.4</v>
      </c>
      <c r="W156" s="1">
        <v>398.3</v>
      </c>
      <c r="X156" s="1">
        <v>368.1</v>
      </c>
      <c r="Y156" s="1">
        <v>417.5</v>
      </c>
      <c r="AE156" s="2">
        <v>276.7</v>
      </c>
      <c r="AF156" s="2" t="s">
        <v>772</v>
      </c>
      <c r="AG156" s="2" t="s">
        <v>772</v>
      </c>
      <c r="AH156" s="2" t="s">
        <v>772</v>
      </c>
      <c r="AI156" s="14" t="s">
        <v>772</v>
      </c>
      <c r="AJ156" s="14" t="s">
        <v>772</v>
      </c>
      <c r="AK156" s="14" t="s">
        <v>772</v>
      </c>
      <c r="AL156" s="14" t="s">
        <v>772</v>
      </c>
      <c r="AM156" s="19">
        <v>9.583333333333334E-2</v>
      </c>
      <c r="AN156" s="8">
        <f>(2+(18/60))*AE156</f>
        <v>636.41</v>
      </c>
    </row>
    <row r="157" spans="1:64" ht="12.5" x14ac:dyDescent="0.25">
      <c r="E157" s="138" t="s">
        <v>1734</v>
      </c>
      <c r="K157" s="15"/>
      <c r="P157" s="2"/>
      <c r="Q157" s="2"/>
      <c r="R157" s="2"/>
      <c r="S157" s="2"/>
      <c r="AE157" s="2"/>
      <c r="AG157" s="2"/>
      <c r="AH157" s="2"/>
      <c r="AI157" s="14"/>
      <c r="AJ157" s="14"/>
      <c r="AK157" s="14"/>
      <c r="AL157" s="14"/>
      <c r="AM157" s="19"/>
      <c r="AN157" s="8"/>
    </row>
    <row r="158" spans="1:64" ht="12.5" x14ac:dyDescent="0.25">
      <c r="E158" s="138" t="s">
        <v>1549</v>
      </c>
      <c r="K158" s="15"/>
      <c r="P158" s="2"/>
      <c r="Q158" s="2"/>
      <c r="R158" s="2"/>
      <c r="S158" s="2"/>
      <c r="AE158" s="2"/>
      <c r="AG158" s="2"/>
      <c r="AH158" s="2"/>
      <c r="AI158" s="14"/>
      <c r="AJ158" s="14"/>
      <c r="AK158" s="14"/>
      <c r="AL158" s="14"/>
      <c r="AM158" s="19"/>
      <c r="AN158" s="8"/>
    </row>
    <row r="159" spans="1:64" ht="12.5" x14ac:dyDescent="0.25">
      <c r="E159" s="138" t="s">
        <v>1743</v>
      </c>
      <c r="K159" s="15"/>
      <c r="P159" s="2"/>
      <c r="Q159" s="2"/>
      <c r="R159" s="2"/>
      <c r="S159" s="2"/>
      <c r="AE159" s="2"/>
      <c r="AG159" s="2"/>
      <c r="AH159" s="2"/>
      <c r="AI159" s="14"/>
      <c r="AJ159" s="14"/>
      <c r="AK159" s="14"/>
      <c r="AL159" s="14"/>
      <c r="AM159" s="19"/>
      <c r="AN159" s="8"/>
    </row>
    <row r="160" spans="1:64" ht="12.5" x14ac:dyDescent="0.25">
      <c r="E160" s="138" t="s">
        <v>1742</v>
      </c>
      <c r="K160" s="15"/>
      <c r="P160" s="2"/>
      <c r="Q160" s="2"/>
      <c r="R160" s="2"/>
      <c r="S160" s="2"/>
      <c r="AE160" s="2"/>
      <c r="AG160" s="2"/>
      <c r="AH160" s="2"/>
      <c r="AI160" s="14"/>
      <c r="AJ160" s="14"/>
      <c r="AK160" s="14"/>
      <c r="AL160" s="14"/>
      <c r="AM160" s="19"/>
      <c r="AN160" s="8"/>
    </row>
    <row r="161" spans="1:64" ht="12.5" x14ac:dyDescent="0.25">
      <c r="E161" s="138" t="s">
        <v>1553</v>
      </c>
      <c r="K161" s="15"/>
      <c r="P161" s="2"/>
      <c r="Q161" s="2"/>
      <c r="R161" s="2"/>
      <c r="S161" s="2"/>
      <c r="AE161" s="2"/>
      <c r="AG161" s="2"/>
      <c r="AH161" s="2"/>
      <c r="AI161" s="14"/>
      <c r="AJ161" s="14"/>
      <c r="AK161" s="14"/>
      <c r="AL161" s="14"/>
      <c r="AM161" s="19"/>
      <c r="AN161" s="8"/>
    </row>
    <row r="162" spans="1:64" ht="12.5" x14ac:dyDescent="0.25">
      <c r="A162" s="2">
        <v>42</v>
      </c>
      <c r="B162" s="2">
        <v>43</v>
      </c>
      <c r="C162" s="2">
        <v>142</v>
      </c>
      <c r="D162" s="2">
        <v>142</v>
      </c>
      <c r="E162" s="138" t="s">
        <v>48</v>
      </c>
      <c r="F162" t="s">
        <v>520</v>
      </c>
      <c r="G162" t="s">
        <v>1236</v>
      </c>
      <c r="H162" s="2">
        <v>15820</v>
      </c>
      <c r="I162" s="2">
        <v>287.7</v>
      </c>
      <c r="J162" s="15">
        <v>10.27</v>
      </c>
      <c r="K162" s="15">
        <v>5.9850000000000003</v>
      </c>
      <c r="P162" s="2">
        <v>271</v>
      </c>
      <c r="Q162" s="2"/>
      <c r="R162" s="2"/>
      <c r="S162" s="2"/>
      <c r="AE162" s="2">
        <v>332.6</v>
      </c>
      <c r="AF162" s="2">
        <v>246.6</v>
      </c>
      <c r="AG162" s="2">
        <v>274.8</v>
      </c>
      <c r="AH162" s="2">
        <v>257.8</v>
      </c>
      <c r="AI162" s="2" t="s">
        <v>772</v>
      </c>
      <c r="AJ162" s="2">
        <v>268.8</v>
      </c>
      <c r="AK162" s="2" t="s">
        <v>772</v>
      </c>
      <c r="AL162" s="2" t="s">
        <v>772</v>
      </c>
      <c r="AM162" s="19">
        <v>0.2673611111111111</v>
      </c>
      <c r="AN162" s="57">
        <f>(6+(25/60))*AJ162</f>
        <v>1724.8000000000002</v>
      </c>
      <c r="AX162" s="26">
        <v>772.803</v>
      </c>
      <c r="AY162" s="26">
        <v>774.49</v>
      </c>
      <c r="AZ162" s="26">
        <v>765.82799999999997</v>
      </c>
      <c r="BA162" s="26">
        <v>835.25</v>
      </c>
      <c r="BB162" s="26">
        <v>690.36</v>
      </c>
      <c r="BC162" s="26">
        <v>690.90099999999995</v>
      </c>
      <c r="BD162" s="26">
        <v>753.80200000000002</v>
      </c>
      <c r="BE162" s="26">
        <v>753.24800000000005</v>
      </c>
      <c r="BF162" s="26">
        <v>887.91899999999998</v>
      </c>
      <c r="BG162" s="26">
        <v>1008.769</v>
      </c>
      <c r="BH162" s="26">
        <v>1026.9590000000001</v>
      </c>
      <c r="BI162" s="26">
        <v>936.45600000000002</v>
      </c>
      <c r="BJ162" s="26">
        <v>1075.652</v>
      </c>
    </row>
    <row r="163" spans="1:64" ht="12.5" x14ac:dyDescent="0.25">
      <c r="A163" s="2">
        <v>262</v>
      </c>
      <c r="B163" s="2">
        <v>294</v>
      </c>
      <c r="C163" s="2">
        <v>132</v>
      </c>
      <c r="D163" s="2">
        <v>148</v>
      </c>
      <c r="E163" t="s">
        <v>313</v>
      </c>
      <c r="F163" t="s">
        <v>1233</v>
      </c>
      <c r="K163" s="15"/>
      <c r="Q163" s="54">
        <v>203.5</v>
      </c>
      <c r="R163" s="54">
        <v>232.5</v>
      </c>
      <c r="S163" s="54">
        <v>248.8</v>
      </c>
      <c r="T163" s="54">
        <v>226.2</v>
      </c>
      <c r="U163" s="54">
        <v>229.1</v>
      </c>
      <c r="V163" s="54">
        <v>222.1</v>
      </c>
      <c r="W163" s="54">
        <v>220.8</v>
      </c>
      <c r="X163" s="54">
        <v>201.5</v>
      </c>
      <c r="Y163" s="54">
        <v>228.8</v>
      </c>
      <c r="Z163" s="54">
        <v>228.5</v>
      </c>
      <c r="AA163" s="54">
        <v>209.4</v>
      </c>
      <c r="AB163" s="54">
        <v>208.2</v>
      </c>
      <c r="AE163" s="2">
        <v>177.6</v>
      </c>
      <c r="AF163" s="2" t="s">
        <v>772</v>
      </c>
      <c r="AG163" s="2" t="s">
        <v>772</v>
      </c>
      <c r="AH163" s="2" t="s">
        <v>772</v>
      </c>
      <c r="AI163" s="2" t="s">
        <v>772</v>
      </c>
      <c r="AJ163" s="2" t="s">
        <v>772</v>
      </c>
      <c r="AK163" s="2" t="s">
        <v>772</v>
      </c>
      <c r="AL163" s="2" t="s">
        <v>772</v>
      </c>
      <c r="AM163" s="19">
        <v>0.26458333333333334</v>
      </c>
      <c r="AN163" s="8">
        <f>(6+(21/60))*AE163</f>
        <v>1127.76</v>
      </c>
    </row>
    <row r="164" spans="1:64" ht="12.5" x14ac:dyDescent="0.25">
      <c r="A164" s="2">
        <v>100</v>
      </c>
      <c r="B164" s="2">
        <v>135</v>
      </c>
      <c r="C164" s="2">
        <v>144</v>
      </c>
      <c r="D164" s="2">
        <v>92</v>
      </c>
      <c r="E164" s="138" t="s">
        <v>75</v>
      </c>
      <c r="I164" s="2">
        <v>328.4</v>
      </c>
      <c r="J164" s="15">
        <v>11.73</v>
      </c>
      <c r="K164" s="15">
        <v>4.1159999999999997</v>
      </c>
      <c r="P164" s="2">
        <v>214.4</v>
      </c>
      <c r="Q164" s="2"/>
      <c r="R164" s="2"/>
      <c r="S164" s="2"/>
      <c r="AE164" s="2">
        <v>236.6</v>
      </c>
      <c r="AF164" s="2">
        <v>292.8</v>
      </c>
      <c r="AG164" s="2">
        <v>288.39999999999998</v>
      </c>
      <c r="AH164" s="2">
        <v>328.4</v>
      </c>
      <c r="AI164" s="2" t="s">
        <v>772</v>
      </c>
      <c r="AJ164" s="2">
        <v>328.9</v>
      </c>
      <c r="AK164" s="2" t="s">
        <v>772</v>
      </c>
      <c r="AL164" s="2" t="s">
        <v>772</v>
      </c>
      <c r="AM164" s="19">
        <v>0.67152777777777783</v>
      </c>
      <c r="AN164" s="8">
        <f>(16+(7/60))*AJ164</f>
        <v>5300.7716666666665</v>
      </c>
    </row>
    <row r="165" spans="1:64" x14ac:dyDescent="0.3">
      <c r="A165" s="2">
        <v>221</v>
      </c>
      <c r="B165" s="2">
        <v>242</v>
      </c>
      <c r="C165" s="2">
        <v>148</v>
      </c>
      <c r="D165" s="2">
        <v>158</v>
      </c>
      <c r="E165" s="138" t="s">
        <v>491</v>
      </c>
      <c r="F165" t="s">
        <v>6</v>
      </c>
      <c r="G165" t="s">
        <v>1537</v>
      </c>
      <c r="H165" s="2">
        <v>10000</v>
      </c>
      <c r="P165" s="2">
        <v>162.19999999999999</v>
      </c>
      <c r="Q165" s="2"/>
      <c r="R165" s="2"/>
      <c r="S165" s="2"/>
      <c r="T165" s="1">
        <v>155.6</v>
      </c>
      <c r="U165" s="1">
        <v>159.19999999999999</v>
      </c>
      <c r="V165" s="1">
        <v>159.69999999999999</v>
      </c>
      <c r="W165" s="1">
        <v>159.9</v>
      </c>
      <c r="X165" s="1">
        <v>147.4</v>
      </c>
      <c r="Y165" s="1">
        <v>159.19999999999999</v>
      </c>
      <c r="AE165" s="1">
        <v>137</v>
      </c>
      <c r="AF165" s="2" t="s">
        <v>772</v>
      </c>
      <c r="AG165" s="2" t="s">
        <v>772</v>
      </c>
      <c r="AH165" s="2" t="s">
        <v>772</v>
      </c>
      <c r="AI165" s="2" t="s">
        <v>772</v>
      </c>
      <c r="AJ165" s="2" t="s">
        <v>772</v>
      </c>
      <c r="AK165" s="2" t="s">
        <v>772</v>
      </c>
      <c r="AL165" s="2" t="s">
        <v>772</v>
      </c>
      <c r="AM165" s="19">
        <v>0.37916666666666665</v>
      </c>
      <c r="AN165" s="8">
        <f>(9+(6/60))*AE165</f>
        <v>1246.7</v>
      </c>
    </row>
    <row r="166" spans="1:64" s="5" customFormat="1" x14ac:dyDescent="0.3">
      <c r="A166" s="6">
        <v>11446</v>
      </c>
      <c r="B166" s="6" t="s">
        <v>772</v>
      </c>
      <c r="C166" s="6">
        <v>150</v>
      </c>
      <c r="D166" s="6">
        <v>112</v>
      </c>
      <c r="E166" s="143" t="s">
        <v>1478</v>
      </c>
      <c r="F166" s="157" t="s">
        <v>6</v>
      </c>
      <c r="G166" s="6" t="s">
        <v>1233</v>
      </c>
      <c r="H166" s="6"/>
      <c r="I166" s="6"/>
      <c r="J166" s="17"/>
      <c r="K166" s="17"/>
      <c r="L166" s="6"/>
      <c r="M166" s="7"/>
      <c r="N166" s="7"/>
      <c r="O166" s="7"/>
      <c r="P166" s="6">
        <v>183.8</v>
      </c>
      <c r="Q166" s="6"/>
      <c r="R166" s="6"/>
      <c r="S166" s="6"/>
      <c r="T166" s="6">
        <v>429.4</v>
      </c>
      <c r="U166" s="6">
        <v>424.3</v>
      </c>
      <c r="V166" s="6">
        <v>432.5</v>
      </c>
      <c r="W166" s="6">
        <v>523.4</v>
      </c>
      <c r="X166" s="6">
        <v>660.8</v>
      </c>
      <c r="Y166" s="6">
        <v>935.9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2"/>
      <c r="AN166" s="53"/>
      <c r="AV166" s="158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7"/>
    </row>
    <row r="167" spans="1:64" ht="12.5" x14ac:dyDescent="0.25">
      <c r="A167" s="2">
        <v>46</v>
      </c>
      <c r="B167" s="2">
        <v>40</v>
      </c>
      <c r="C167" s="2">
        <v>181</v>
      </c>
      <c r="D167" s="2">
        <v>141</v>
      </c>
      <c r="E167" s="138" t="s">
        <v>63</v>
      </c>
      <c r="F167" t="s">
        <v>524</v>
      </c>
      <c r="G167" t="s">
        <v>1279</v>
      </c>
      <c r="H167" s="2">
        <v>290540</v>
      </c>
      <c r="I167" s="2">
        <v>181.2</v>
      </c>
      <c r="J167" s="15">
        <v>7.25</v>
      </c>
      <c r="K167" s="15">
        <v>5.6109999999999998</v>
      </c>
      <c r="P167" s="2">
        <v>157.19999999999999</v>
      </c>
      <c r="Q167" s="2"/>
      <c r="R167" s="2"/>
      <c r="S167" s="2"/>
      <c r="AE167" s="2">
        <v>194</v>
      </c>
      <c r="AF167" s="2">
        <v>161.19999999999999</v>
      </c>
      <c r="AG167" s="2">
        <v>171.8</v>
      </c>
      <c r="AH167" s="2">
        <v>194.5</v>
      </c>
      <c r="AI167" s="2" t="s">
        <v>772</v>
      </c>
      <c r="AJ167" s="2">
        <v>208.2</v>
      </c>
      <c r="AK167" s="2" t="s">
        <v>772</v>
      </c>
      <c r="AL167" s="2" t="s">
        <v>772</v>
      </c>
      <c r="AM167" s="19">
        <v>0.20347222222222219</v>
      </c>
      <c r="AN167" s="8">
        <f>(4+(53/60))*AJ167</f>
        <v>1016.7099999999998</v>
      </c>
      <c r="AX167" s="8">
        <v>275.34672499999999</v>
      </c>
      <c r="AY167" s="8">
        <v>262.27178800000002</v>
      </c>
      <c r="AZ167" s="8">
        <v>291.258397</v>
      </c>
      <c r="BA167" s="8">
        <v>246.64854399999999</v>
      </c>
      <c r="BB167" s="8">
        <v>247.093321</v>
      </c>
      <c r="BC167" s="8">
        <v>264.89945499999999</v>
      </c>
      <c r="BD167" s="8">
        <v>286.78350499999999</v>
      </c>
      <c r="BE167" s="8">
        <v>293.65545100000003</v>
      </c>
      <c r="BF167" s="8">
        <v>333.76142099999998</v>
      </c>
      <c r="BG167" s="8">
        <v>299.882002</v>
      </c>
      <c r="BH167" s="8">
        <v>296.39478300000002</v>
      </c>
      <c r="BI167" s="8">
        <v>223.92214200000001</v>
      </c>
      <c r="BJ167" s="8">
        <v>248.097385</v>
      </c>
      <c r="BL167" s="2"/>
    </row>
    <row r="168" spans="1:64" ht="12.5" x14ac:dyDescent="0.25">
      <c r="E168" s="138" t="s">
        <v>1552</v>
      </c>
      <c r="K168" s="15"/>
      <c r="P168" s="2"/>
      <c r="Q168" s="2"/>
      <c r="R168" s="2"/>
      <c r="S168" s="2"/>
      <c r="AE168" s="2"/>
      <c r="AG168" s="2"/>
      <c r="AH168" s="2"/>
      <c r="AI168" s="2"/>
      <c r="AJ168" s="2"/>
      <c r="AK168" s="2"/>
      <c r="AL168" s="2"/>
      <c r="AM168" s="19"/>
      <c r="AN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L168" s="2"/>
    </row>
    <row r="169" spans="1:64" ht="12.5" x14ac:dyDescent="0.25">
      <c r="E169" s="138" t="s">
        <v>1551</v>
      </c>
      <c r="K169" s="15"/>
      <c r="P169" s="2"/>
      <c r="Q169" s="2"/>
      <c r="R169" s="2"/>
      <c r="S169" s="2"/>
      <c r="AE169" s="2"/>
      <c r="AG169" s="2"/>
      <c r="AH169" s="2"/>
      <c r="AI169" s="2"/>
      <c r="AJ169" s="2"/>
      <c r="AK169" s="2"/>
      <c r="AL169" s="2"/>
      <c r="AM169" s="19"/>
      <c r="AN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L169" s="2"/>
    </row>
    <row r="170" spans="1:64" ht="12.5" x14ac:dyDescent="0.25">
      <c r="E170" s="138" t="s">
        <v>1800</v>
      </c>
      <c r="K170" s="15"/>
      <c r="P170" s="2"/>
      <c r="Q170" s="2"/>
      <c r="R170" s="2"/>
      <c r="S170" s="2"/>
      <c r="AE170" s="2"/>
      <c r="AG170" s="2"/>
      <c r="AH170" s="2"/>
      <c r="AI170" s="2"/>
      <c r="AJ170" s="2"/>
      <c r="AK170" s="2"/>
      <c r="AL170" s="2"/>
      <c r="AM170" s="19"/>
      <c r="AN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L170" s="2"/>
    </row>
    <row r="171" spans="1:64" ht="12.5" x14ac:dyDescent="0.25">
      <c r="E171" s="138" t="s">
        <v>1558</v>
      </c>
      <c r="K171" s="15"/>
      <c r="P171" s="2"/>
      <c r="Q171" s="2"/>
      <c r="R171" s="2"/>
      <c r="S171" s="2"/>
      <c r="AE171" s="2"/>
      <c r="AG171" s="2"/>
      <c r="AH171" s="2"/>
      <c r="AI171" s="2"/>
      <c r="AJ171" s="2"/>
      <c r="AK171" s="2"/>
      <c r="AL171" s="2"/>
      <c r="AM171" s="19"/>
      <c r="AN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L171" s="2"/>
    </row>
    <row r="172" spans="1:64" ht="12.5" x14ac:dyDescent="0.25">
      <c r="E172" s="138" t="s">
        <v>1559</v>
      </c>
      <c r="K172" s="15"/>
      <c r="P172" s="2"/>
      <c r="Q172" s="2"/>
      <c r="R172" s="2"/>
      <c r="S172" s="2"/>
      <c r="AE172" s="2"/>
      <c r="AG172" s="2"/>
      <c r="AH172" s="2"/>
      <c r="AI172" s="2"/>
      <c r="AJ172" s="2"/>
      <c r="AK172" s="2"/>
      <c r="AL172" s="2"/>
      <c r="AM172" s="19"/>
      <c r="AN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L172" s="2"/>
    </row>
    <row r="173" spans="1:64" ht="12.5" x14ac:dyDescent="0.25">
      <c r="A173" s="2">
        <v>50</v>
      </c>
      <c r="B173" s="2">
        <v>47</v>
      </c>
      <c r="C173" s="2">
        <v>188</v>
      </c>
      <c r="D173" s="2">
        <v>171</v>
      </c>
      <c r="E173" s="138" t="s">
        <v>82</v>
      </c>
      <c r="F173" t="s">
        <v>551</v>
      </c>
      <c r="G173" t="s">
        <v>1279</v>
      </c>
      <c r="H173" s="2">
        <v>73170</v>
      </c>
      <c r="I173" s="2">
        <v>146.69999999999999</v>
      </c>
      <c r="J173" s="15">
        <v>5.2389999999999999</v>
      </c>
      <c r="K173" s="15">
        <v>4.327</v>
      </c>
      <c r="P173" s="2">
        <v>158.19999999999999</v>
      </c>
      <c r="Q173" s="2"/>
      <c r="R173" s="2"/>
      <c r="S173" s="2"/>
      <c r="AE173" s="2">
        <v>156.30000000000001</v>
      </c>
      <c r="AF173" s="2">
        <v>194.8</v>
      </c>
      <c r="AG173" s="2">
        <v>149.5</v>
      </c>
      <c r="AH173" s="2">
        <v>146.69999999999999</v>
      </c>
      <c r="AI173" s="2" t="s">
        <v>772</v>
      </c>
      <c r="AJ173" s="2">
        <v>147.69999999999999</v>
      </c>
      <c r="AK173" s="2" t="s">
        <v>772</v>
      </c>
      <c r="AL173" s="2" t="s">
        <v>772</v>
      </c>
      <c r="AM173" s="19">
        <v>0.16111111111111112</v>
      </c>
      <c r="AN173" s="8">
        <f>(3+(52/60))*AJ173</f>
        <v>571.10666666666668</v>
      </c>
      <c r="AX173" s="8">
        <v>201.247094</v>
      </c>
      <c r="AY173" s="8">
        <v>234.092454</v>
      </c>
      <c r="AZ173" s="8">
        <v>234.58243100000001</v>
      </c>
      <c r="BA173" s="8">
        <v>156.60469399999999</v>
      </c>
      <c r="BB173" s="8">
        <v>138.94261800000001</v>
      </c>
      <c r="BC173" s="8">
        <v>146.75013999999999</v>
      </c>
      <c r="BD173" s="8">
        <v>149.351078</v>
      </c>
      <c r="BE173" s="8">
        <v>150.495442</v>
      </c>
      <c r="BF173" s="8">
        <v>179.60797700000001</v>
      </c>
      <c r="BG173" s="8">
        <v>161.25776500000001</v>
      </c>
      <c r="BH173" s="8">
        <v>192.524573</v>
      </c>
      <c r="BI173" s="8">
        <v>153.51055199999999</v>
      </c>
      <c r="BJ173" s="8">
        <v>169.016085</v>
      </c>
    </row>
    <row r="174" spans="1:64" ht="12.5" x14ac:dyDescent="0.25">
      <c r="A174" s="2">
        <v>131</v>
      </c>
      <c r="B174" s="2">
        <v>90</v>
      </c>
      <c r="C174" s="2">
        <v>194</v>
      </c>
      <c r="D174" s="2">
        <v>145</v>
      </c>
      <c r="E174" s="138" t="s">
        <v>57</v>
      </c>
      <c r="F174" t="s">
        <v>6</v>
      </c>
      <c r="G174" t="s">
        <v>1538</v>
      </c>
      <c r="H174" s="2">
        <v>1000</v>
      </c>
      <c r="I174" s="2">
        <v>509.6</v>
      </c>
      <c r="J174" s="15">
        <v>18.2</v>
      </c>
      <c r="K174" s="15">
        <v>13.96</v>
      </c>
      <c r="P174" s="2">
        <v>219.3</v>
      </c>
      <c r="Q174" s="2"/>
      <c r="R174" s="2"/>
      <c r="S174" s="2"/>
      <c r="AE174" s="2">
        <v>308.8</v>
      </c>
      <c r="AF174" s="2">
        <v>482</v>
      </c>
      <c r="AG174" s="2">
        <v>455.1</v>
      </c>
      <c r="AH174" s="2">
        <v>572</v>
      </c>
      <c r="AI174" s="2" t="s">
        <v>772</v>
      </c>
      <c r="AJ174" s="2">
        <v>599.4</v>
      </c>
      <c r="AK174" s="2" t="s">
        <v>772</v>
      </c>
      <c r="AL174" s="2" t="s">
        <v>772</v>
      </c>
      <c r="AM174" s="19">
        <v>5.1388888888888894E-2</v>
      </c>
      <c r="AN174" s="8">
        <f>(1+(14/60))*AJ174</f>
        <v>739.26</v>
      </c>
      <c r="AX174" s="8">
        <v>656.19464100000005</v>
      </c>
      <c r="AY174" s="8">
        <v>637.62245199999995</v>
      </c>
      <c r="AZ174" s="8">
        <v>657.59888699999999</v>
      </c>
      <c r="BA174" s="8">
        <v>644.30729099999996</v>
      </c>
      <c r="BB174" s="8">
        <v>633.89720699999998</v>
      </c>
      <c r="BC174" s="8">
        <v>687.184349</v>
      </c>
      <c r="BD174" s="8">
        <v>788.88637400000005</v>
      </c>
      <c r="BE174" s="8">
        <v>744.68915100000004</v>
      </c>
      <c r="BF174" s="8">
        <v>712.89092600000004</v>
      </c>
      <c r="BG174" s="8">
        <v>802.68906400000003</v>
      </c>
      <c r="BH174" s="8">
        <v>856.50980400000003</v>
      </c>
      <c r="BI174" s="8">
        <v>695.097983</v>
      </c>
      <c r="BJ174" s="8">
        <v>752.55072800000005</v>
      </c>
    </row>
    <row r="175" spans="1:64" ht="12.5" x14ac:dyDescent="0.25">
      <c r="E175" s="138" t="s">
        <v>1565</v>
      </c>
      <c r="K175" s="15"/>
      <c r="P175" s="2"/>
      <c r="Q175" s="2"/>
      <c r="R175" s="2"/>
      <c r="S175" s="2"/>
      <c r="AE175" s="2"/>
      <c r="AG175" s="2"/>
      <c r="AH175" s="2"/>
      <c r="AI175" s="2"/>
      <c r="AJ175" s="2"/>
      <c r="AK175" s="2"/>
      <c r="AL175" s="2"/>
      <c r="AM175" s="19"/>
      <c r="AN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</row>
    <row r="176" spans="1:64" ht="12.5" x14ac:dyDescent="0.25">
      <c r="E176" s="138" t="s">
        <v>1566</v>
      </c>
      <c r="K176" s="15"/>
      <c r="P176" s="2"/>
      <c r="Q176" s="2"/>
      <c r="R176" s="2"/>
      <c r="S176" s="2"/>
      <c r="AE176" s="2"/>
      <c r="AG176" s="2"/>
      <c r="AH176" s="2"/>
      <c r="AI176" s="2"/>
      <c r="AJ176" s="2"/>
      <c r="AK176" s="2"/>
      <c r="AL176" s="2"/>
      <c r="AM176" s="19"/>
      <c r="AN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</row>
    <row r="177" spans="1:63" ht="12.5" x14ac:dyDescent="0.25">
      <c r="E177" s="138" t="s">
        <v>485</v>
      </c>
      <c r="K177" s="15"/>
      <c r="P177" s="2"/>
      <c r="Q177" s="2"/>
      <c r="R177" s="2"/>
      <c r="S177" s="2"/>
      <c r="AE177" s="2"/>
      <c r="AG177" s="2"/>
      <c r="AH177" s="2"/>
      <c r="AI177" s="2"/>
      <c r="AJ177" s="2"/>
      <c r="AK177" s="2"/>
      <c r="AL177" s="2"/>
      <c r="AM177" s="19"/>
      <c r="AN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</row>
    <row r="178" spans="1:63" ht="12.5" x14ac:dyDescent="0.25">
      <c r="E178" s="138" t="s">
        <v>1567</v>
      </c>
      <c r="K178" s="15"/>
      <c r="P178" s="2"/>
      <c r="Q178" s="2"/>
      <c r="R178" s="2"/>
      <c r="S178" s="2"/>
      <c r="AE178" s="2"/>
      <c r="AG178" s="2"/>
      <c r="AH178" s="2"/>
      <c r="AI178" s="2"/>
      <c r="AJ178" s="2"/>
      <c r="AK178" s="2"/>
      <c r="AL178" s="2"/>
      <c r="AM178" s="19"/>
      <c r="AN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</row>
    <row r="179" spans="1:63" ht="12.5" x14ac:dyDescent="0.25">
      <c r="E179" s="138" t="s">
        <v>1593</v>
      </c>
      <c r="K179" s="15"/>
      <c r="P179" s="2"/>
      <c r="Q179" s="2"/>
      <c r="R179" s="2"/>
      <c r="S179" s="2"/>
      <c r="AE179" s="2"/>
      <c r="AG179" s="2"/>
      <c r="AH179" s="2"/>
      <c r="AI179" s="2"/>
      <c r="AJ179" s="2"/>
      <c r="AK179" s="2"/>
      <c r="AL179" s="2"/>
      <c r="AM179" s="19"/>
      <c r="AN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</row>
    <row r="180" spans="1:63" ht="12.5" x14ac:dyDescent="0.25">
      <c r="E180" s="138" t="s">
        <v>1793</v>
      </c>
      <c r="K180" s="15"/>
      <c r="P180" s="2"/>
      <c r="Q180" s="2"/>
      <c r="R180" s="2"/>
      <c r="S180" s="2"/>
      <c r="AE180" s="2"/>
      <c r="AG180" s="2"/>
      <c r="AH180" s="2"/>
      <c r="AI180" s="2"/>
      <c r="AJ180" s="2"/>
      <c r="AK180" s="2"/>
      <c r="AL180" s="2"/>
      <c r="AM180" s="19"/>
      <c r="AN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</row>
    <row r="181" spans="1:63" ht="12.5" x14ac:dyDescent="0.25">
      <c r="E181" s="138" t="s">
        <v>1594</v>
      </c>
      <c r="K181" s="15"/>
      <c r="P181" s="2"/>
      <c r="Q181" s="2"/>
      <c r="R181" s="2"/>
      <c r="S181" s="2"/>
      <c r="AE181" s="2"/>
      <c r="AG181" s="2"/>
      <c r="AH181" s="2"/>
      <c r="AI181" s="2"/>
      <c r="AJ181" s="2"/>
      <c r="AK181" s="2"/>
      <c r="AL181" s="2"/>
      <c r="AM181" s="19"/>
      <c r="AN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</row>
    <row r="182" spans="1:63" ht="12.5" x14ac:dyDescent="0.25">
      <c r="E182" s="138" t="s">
        <v>1595</v>
      </c>
      <c r="K182" s="15"/>
      <c r="P182" s="2"/>
      <c r="Q182" s="2"/>
      <c r="R182" s="2"/>
      <c r="S182" s="2"/>
      <c r="AE182" s="2"/>
      <c r="AG182" s="2"/>
      <c r="AH182" s="2"/>
      <c r="AI182" s="2"/>
      <c r="AJ182" s="2"/>
      <c r="AK182" s="2"/>
      <c r="AL182" s="2"/>
      <c r="AM182" s="19"/>
      <c r="AN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</row>
    <row r="183" spans="1:63" ht="12.5" x14ac:dyDescent="0.25">
      <c r="E183" s="138" t="s">
        <v>1569</v>
      </c>
      <c r="K183" s="15"/>
      <c r="P183" s="2"/>
      <c r="Q183" s="2"/>
      <c r="R183" s="2"/>
      <c r="S183" s="2"/>
      <c r="AE183" s="2"/>
      <c r="AG183" s="2"/>
      <c r="AH183" s="2"/>
      <c r="AI183" s="2"/>
      <c r="AJ183" s="2"/>
      <c r="AK183" s="2"/>
      <c r="AL183" s="2"/>
      <c r="AM183" s="19"/>
      <c r="AN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</row>
    <row r="184" spans="1:63" x14ac:dyDescent="0.3">
      <c r="A184" s="2">
        <v>398</v>
      </c>
      <c r="B184" s="2">
        <v>382</v>
      </c>
      <c r="C184" s="2">
        <v>199</v>
      </c>
      <c r="D184" s="2">
        <v>181</v>
      </c>
      <c r="E184" s="138" t="s">
        <v>1120</v>
      </c>
      <c r="G184" t="s">
        <v>1289</v>
      </c>
      <c r="I184" s="15">
        <v>77.900000000000006</v>
      </c>
      <c r="L184" s="15"/>
      <c r="P184" s="2">
        <v>156.69999999999999</v>
      </c>
      <c r="Q184" s="2"/>
      <c r="R184" s="2"/>
      <c r="S184" s="2"/>
      <c r="T184" s="1">
        <v>171.2</v>
      </c>
      <c r="U184" s="1">
        <v>178.8</v>
      </c>
      <c r="V184" s="1">
        <v>164.9</v>
      </c>
      <c r="W184" s="1">
        <v>169.3</v>
      </c>
      <c r="X184" s="1">
        <v>144.80000000000001</v>
      </c>
      <c r="Y184" s="1">
        <v>161.5</v>
      </c>
      <c r="AH184" s="14"/>
      <c r="AI184" s="14">
        <v>77.900000000000006</v>
      </c>
      <c r="AJ184" s="14"/>
      <c r="AK184" s="14"/>
      <c r="AL184" s="50"/>
      <c r="AM184" s="21">
        <v>0.51597222222222217</v>
      </c>
    </row>
    <row r="185" spans="1:63" ht="12.5" x14ac:dyDescent="0.25">
      <c r="A185" s="2">
        <v>53</v>
      </c>
      <c r="B185" s="2">
        <v>48</v>
      </c>
      <c r="C185" s="2">
        <v>200</v>
      </c>
      <c r="D185" s="2">
        <v>175</v>
      </c>
      <c r="E185" s="138" t="s">
        <v>100</v>
      </c>
      <c r="F185" t="s">
        <v>537</v>
      </c>
      <c r="G185" t="s">
        <v>1262</v>
      </c>
      <c r="H185" s="2">
        <v>32970</v>
      </c>
      <c r="I185" s="2">
        <v>111.5</v>
      </c>
      <c r="J185" s="15">
        <v>3.9820000000000002</v>
      </c>
      <c r="K185" s="15">
        <v>3.262</v>
      </c>
      <c r="P185" s="2">
        <v>114.4</v>
      </c>
      <c r="Q185" s="2"/>
      <c r="R185" s="2"/>
      <c r="S185" s="2"/>
      <c r="AE185" s="2">
        <v>124</v>
      </c>
      <c r="AF185" s="2">
        <v>119.5</v>
      </c>
      <c r="AG185" s="2">
        <v>111.4</v>
      </c>
      <c r="AH185" s="2">
        <v>111.5</v>
      </c>
      <c r="AI185" s="2" t="s">
        <v>772</v>
      </c>
      <c r="AJ185" s="2">
        <v>110.1</v>
      </c>
      <c r="AK185" s="2" t="s">
        <v>772</v>
      </c>
      <c r="AL185" s="2" t="s">
        <v>772</v>
      </c>
      <c r="AM185" s="19">
        <v>0.22777777777777777</v>
      </c>
      <c r="AN185" s="8">
        <f>(5+(28/60))*AJ185</f>
        <v>601.88</v>
      </c>
      <c r="AX185" s="8">
        <v>151.99377999999999</v>
      </c>
      <c r="AY185" s="8">
        <v>163.54823300000001</v>
      </c>
      <c r="AZ185" s="8">
        <v>155.857541</v>
      </c>
      <c r="BA185" s="8">
        <v>150.80878899999999</v>
      </c>
      <c r="BB185" s="8">
        <v>142.017528</v>
      </c>
      <c r="BC185" s="8">
        <v>136.123752</v>
      </c>
      <c r="BD185" s="8">
        <v>132.27839900000001</v>
      </c>
      <c r="BE185" s="8">
        <v>129.99387100000001</v>
      </c>
      <c r="BF185" s="8">
        <v>141.467488</v>
      </c>
      <c r="BG185" s="8">
        <v>150.62464199999999</v>
      </c>
      <c r="BH185" s="8">
        <v>156.79405600000001</v>
      </c>
      <c r="BI185" s="8">
        <v>138.225954</v>
      </c>
      <c r="BJ185" s="8">
        <v>145.46554599999999</v>
      </c>
    </row>
    <row r="186" spans="1:63" ht="12.5" x14ac:dyDescent="0.25">
      <c r="A186" s="2">
        <v>69</v>
      </c>
      <c r="B186" s="2">
        <v>50</v>
      </c>
      <c r="C186" s="2">
        <v>210</v>
      </c>
      <c r="D186" s="2">
        <v>162</v>
      </c>
      <c r="E186" s="138" t="s">
        <v>132</v>
      </c>
      <c r="F186" t="s">
        <v>544</v>
      </c>
      <c r="G186" t="s">
        <v>1326</v>
      </c>
      <c r="H186" s="2">
        <v>66340</v>
      </c>
      <c r="I186" s="2">
        <v>81.09</v>
      </c>
      <c r="J186" s="15">
        <v>2.8959999999999999</v>
      </c>
      <c r="K186" s="15">
        <v>2.0859999999999999</v>
      </c>
      <c r="P186" s="2">
        <v>79.900000000000006</v>
      </c>
      <c r="Q186" s="2"/>
      <c r="R186" s="2"/>
      <c r="S186" s="2"/>
      <c r="AE186" s="2">
        <v>103.7</v>
      </c>
      <c r="AF186" s="2">
        <v>82.45</v>
      </c>
      <c r="AG186" s="2">
        <v>81.09</v>
      </c>
      <c r="AH186" s="2">
        <v>101.8</v>
      </c>
      <c r="AI186" s="14" t="s">
        <v>772</v>
      </c>
      <c r="AJ186" s="2">
        <v>103</v>
      </c>
      <c r="AK186" s="14" t="s">
        <v>772</v>
      </c>
      <c r="AL186" s="14" t="s">
        <v>772</v>
      </c>
      <c r="AM186" s="19">
        <v>0.33888888888888885</v>
      </c>
      <c r="AN186" s="8">
        <f>(8+(8/60))*AJ186</f>
        <v>837.73333333333323</v>
      </c>
      <c r="AX186" s="8">
        <v>99.125834999999995</v>
      </c>
      <c r="AY186" s="8">
        <v>97.153350000000003</v>
      </c>
      <c r="AZ186" s="8">
        <v>98.756732999999997</v>
      </c>
      <c r="BA186" s="8">
        <v>96.608424999999997</v>
      </c>
      <c r="BB186" s="8">
        <v>102.56881199999999</v>
      </c>
      <c r="BC186" s="8">
        <v>103.09679</v>
      </c>
      <c r="BD186" s="8">
        <v>116.79480700000001</v>
      </c>
      <c r="BE186" s="8">
        <v>107.50936</v>
      </c>
      <c r="BF186" s="8">
        <v>101.88049700000001</v>
      </c>
      <c r="BG186" s="8">
        <v>106.765067</v>
      </c>
      <c r="BH186" s="8">
        <v>115.57920300000001</v>
      </c>
      <c r="BI186" s="8">
        <v>95.808505999999994</v>
      </c>
      <c r="BJ186" s="8">
        <v>101.214114</v>
      </c>
    </row>
    <row r="187" spans="1:63" ht="12.5" x14ac:dyDescent="0.25">
      <c r="A187" s="2">
        <v>62</v>
      </c>
      <c r="B187" s="2">
        <v>69</v>
      </c>
      <c r="C187" s="2">
        <v>214</v>
      </c>
      <c r="D187" s="2">
        <v>221</v>
      </c>
      <c r="E187" s="138" t="s">
        <v>96</v>
      </c>
      <c r="F187" t="s">
        <v>542</v>
      </c>
      <c r="G187" t="s">
        <v>1309</v>
      </c>
      <c r="H187" s="2">
        <v>56030</v>
      </c>
      <c r="I187" s="2">
        <v>157.4</v>
      </c>
      <c r="J187" s="15">
        <v>5.6210000000000004</v>
      </c>
      <c r="K187" s="15">
        <v>3.47</v>
      </c>
      <c r="P187" s="2">
        <v>162.30000000000001</v>
      </c>
      <c r="Q187" s="2"/>
      <c r="R187" s="2"/>
      <c r="S187" s="2"/>
      <c r="T187" s="97">
        <v>167.1</v>
      </c>
      <c r="U187" s="97">
        <v>159.30000000000001</v>
      </c>
      <c r="V187" s="97">
        <v>150.1</v>
      </c>
      <c r="W187" s="97">
        <v>153.9</v>
      </c>
      <c r="X187" s="97">
        <v>143</v>
      </c>
      <c r="Y187" s="97">
        <v>175.6</v>
      </c>
      <c r="AE187" s="2">
        <v>161</v>
      </c>
      <c r="AF187" s="2">
        <v>155.9</v>
      </c>
      <c r="AG187" s="2">
        <v>143.1</v>
      </c>
      <c r="AH187" s="2">
        <v>157.4</v>
      </c>
      <c r="AI187" s="2" t="s">
        <v>772</v>
      </c>
      <c r="AJ187" s="2">
        <v>151.5</v>
      </c>
      <c r="AK187" s="2" t="s">
        <v>772</v>
      </c>
      <c r="AL187" s="2" t="s">
        <v>772</v>
      </c>
      <c r="AM187" s="19">
        <v>0.13402777777777777</v>
      </c>
      <c r="AN187" s="8">
        <f>(3+(13/60))*AJ187</f>
        <v>487.32500000000005</v>
      </c>
      <c r="AX187" s="8">
        <v>221.57844600000001</v>
      </c>
      <c r="AY187" s="8">
        <v>260.91471100000001</v>
      </c>
      <c r="AZ187" s="8">
        <v>237.54325399999999</v>
      </c>
      <c r="BA187" s="8">
        <v>198.41718299999999</v>
      </c>
      <c r="BB187" s="8">
        <v>192.94568799999999</v>
      </c>
      <c r="BC187" s="8">
        <v>196.64950099999999</v>
      </c>
      <c r="BD187" s="8">
        <v>204.56594699999999</v>
      </c>
      <c r="BE187" s="8">
        <v>210.35311899999999</v>
      </c>
      <c r="BF187" s="8">
        <v>222.425006</v>
      </c>
      <c r="BG187" s="8">
        <v>224.63211999999999</v>
      </c>
      <c r="BH187" s="8">
        <v>248.68123900000001</v>
      </c>
      <c r="BI187" s="8">
        <v>215.21005099999999</v>
      </c>
      <c r="BJ187" s="8">
        <v>217.41474099999999</v>
      </c>
    </row>
    <row r="188" spans="1:63" ht="12.5" x14ac:dyDescent="0.25">
      <c r="E188" s="138" t="s">
        <v>1602</v>
      </c>
      <c r="K188" s="15"/>
      <c r="P188" s="2"/>
      <c r="Q188" s="2"/>
      <c r="R188" s="2"/>
      <c r="S188" s="2"/>
      <c r="T188" s="97"/>
      <c r="U188" s="97"/>
      <c r="V188" s="97"/>
      <c r="W188" s="97"/>
      <c r="X188" s="97"/>
      <c r="Y188" s="97"/>
      <c r="AE188" s="2"/>
      <c r="AG188" s="2"/>
      <c r="AH188" s="2"/>
      <c r="AI188" s="2"/>
      <c r="AJ188" s="2"/>
      <c r="AK188" s="2"/>
      <c r="AL188" s="2"/>
      <c r="AM188" s="19"/>
      <c r="AN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</row>
    <row r="189" spans="1:63" ht="12.5" x14ac:dyDescent="0.25">
      <c r="A189" s="2">
        <v>73</v>
      </c>
      <c r="B189" s="2">
        <v>74</v>
      </c>
      <c r="C189" s="2">
        <v>221</v>
      </c>
      <c r="D189" s="2">
        <v>217</v>
      </c>
      <c r="E189" s="138" t="s">
        <v>83</v>
      </c>
      <c r="F189" t="s">
        <v>552</v>
      </c>
      <c r="G189" t="s">
        <v>1309</v>
      </c>
      <c r="H189" s="2">
        <v>145640</v>
      </c>
      <c r="I189" s="2">
        <v>177.3</v>
      </c>
      <c r="J189" s="15">
        <v>6.3339999999999996</v>
      </c>
      <c r="K189" s="15">
        <v>4.0990000000000002</v>
      </c>
      <c r="P189" s="2">
        <v>171.5</v>
      </c>
      <c r="Q189" s="2"/>
      <c r="R189" s="2"/>
      <c r="S189" s="2"/>
      <c r="AE189" s="2">
        <v>193.5</v>
      </c>
      <c r="AF189" s="2">
        <v>223.8</v>
      </c>
      <c r="AG189" s="2">
        <v>178.2</v>
      </c>
      <c r="AH189" s="2">
        <v>177.3</v>
      </c>
      <c r="AI189" s="2" t="s">
        <v>772</v>
      </c>
      <c r="AJ189" s="2">
        <v>177.7</v>
      </c>
      <c r="AK189" s="2" t="s">
        <v>772</v>
      </c>
      <c r="AL189" s="2" t="s">
        <v>772</v>
      </c>
      <c r="AM189" s="19">
        <v>0.12430555555555556</v>
      </c>
      <c r="AN189" s="8">
        <f>(2+(59/60))*AJ189</f>
        <v>530.13833333333332</v>
      </c>
      <c r="AV189" t="s">
        <v>471</v>
      </c>
      <c r="AX189" s="8">
        <v>262.83671800000002</v>
      </c>
      <c r="AY189" s="8">
        <v>324.54936300000003</v>
      </c>
      <c r="AZ189" s="8">
        <v>292.15715599999999</v>
      </c>
      <c r="BA189" s="8">
        <v>225.57047700000001</v>
      </c>
      <c r="BB189" s="8">
        <v>204.78367600000001</v>
      </c>
      <c r="BC189" s="8">
        <v>203.60387299999999</v>
      </c>
      <c r="BD189" s="8">
        <v>224.46857600000001</v>
      </c>
      <c r="BE189" s="8">
        <v>229.681319</v>
      </c>
      <c r="BF189" s="8">
        <v>255.66807700000001</v>
      </c>
      <c r="BG189" s="8">
        <v>253.94436400000001</v>
      </c>
      <c r="BH189" s="8">
        <v>300.23787800000002</v>
      </c>
      <c r="BI189" s="8">
        <v>257.79612300000002</v>
      </c>
      <c r="BJ189" s="8">
        <v>295.05753800000002</v>
      </c>
    </row>
    <row r="190" spans="1:63" s="5" customFormat="1" x14ac:dyDescent="0.3">
      <c r="A190" s="6"/>
      <c r="B190" s="6"/>
      <c r="C190" s="6">
        <v>228</v>
      </c>
      <c r="D190" s="6" t="s">
        <v>772</v>
      </c>
      <c r="E190" s="143" t="s">
        <v>1623</v>
      </c>
      <c r="F190" s="157"/>
      <c r="G190" s="6"/>
      <c r="H190" s="6"/>
      <c r="I190" s="6"/>
      <c r="J190" s="17"/>
      <c r="K190" s="17"/>
      <c r="L190" s="6"/>
      <c r="M190" s="7"/>
      <c r="N190" s="7"/>
      <c r="O190" s="7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52"/>
      <c r="AN190" s="53"/>
      <c r="AV190" s="158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7"/>
    </row>
    <row r="191" spans="1:63" ht="12.5" x14ac:dyDescent="0.25">
      <c r="A191" s="2">
        <v>61</v>
      </c>
      <c r="B191" s="2">
        <v>57</v>
      </c>
      <c r="C191" s="2">
        <v>244</v>
      </c>
      <c r="D191" s="2">
        <v>220</v>
      </c>
      <c r="E191" s="138" t="s">
        <v>90</v>
      </c>
      <c r="F191" t="s">
        <v>607</v>
      </c>
      <c r="G191" t="s">
        <v>1310</v>
      </c>
      <c r="H191" s="2">
        <v>2050</v>
      </c>
      <c r="I191" s="2">
        <v>150.30000000000001</v>
      </c>
      <c r="J191" s="15">
        <v>5.3689999999999998</v>
      </c>
      <c r="K191" s="15">
        <v>4.7720000000000002</v>
      </c>
      <c r="P191" s="2">
        <v>117.6</v>
      </c>
      <c r="Q191" s="2"/>
      <c r="R191" s="2"/>
      <c r="S191" s="2"/>
      <c r="T191" s="97">
        <v>131.1</v>
      </c>
      <c r="U191" s="97">
        <v>132</v>
      </c>
      <c r="V191" s="97">
        <v>126.2</v>
      </c>
      <c r="W191" s="97">
        <v>131.9</v>
      </c>
      <c r="X191" s="97">
        <v>119</v>
      </c>
      <c r="Y191" s="97">
        <v>136</v>
      </c>
      <c r="AE191" s="2">
        <v>137.1</v>
      </c>
      <c r="AF191" s="2">
        <v>125.3</v>
      </c>
      <c r="AG191" s="2">
        <v>128.4</v>
      </c>
      <c r="AH191" s="2">
        <v>150.30000000000001</v>
      </c>
      <c r="AI191" s="2" t="s">
        <v>772</v>
      </c>
      <c r="AJ191" s="2">
        <v>142.30000000000001</v>
      </c>
      <c r="AK191" s="2" t="s">
        <v>772</v>
      </c>
      <c r="AL191" s="2" t="s">
        <v>772</v>
      </c>
      <c r="AM191" s="19">
        <v>0.11388888888888889</v>
      </c>
      <c r="AN191" s="8">
        <f>(2+(44/60))*AJ191</f>
        <v>388.95333333333338</v>
      </c>
      <c r="AX191" s="8">
        <v>158.68978899999999</v>
      </c>
      <c r="AY191" s="8">
        <v>166.519384</v>
      </c>
      <c r="AZ191" s="8">
        <v>157.60469499999999</v>
      </c>
      <c r="BA191" s="8">
        <v>157.44032000000001</v>
      </c>
      <c r="BB191" s="8">
        <v>155.457089</v>
      </c>
      <c r="BC191" s="8">
        <v>176.269463</v>
      </c>
      <c r="BD191" s="8">
        <v>182.093256</v>
      </c>
      <c r="BE191" s="8">
        <v>174.50502900000001</v>
      </c>
      <c r="BF191" s="8">
        <v>193.97065499999999</v>
      </c>
      <c r="BG191" s="8">
        <v>182.07780500000001</v>
      </c>
      <c r="BH191" s="8">
        <v>194.52558300000001</v>
      </c>
      <c r="BI191" s="8">
        <v>181.52839599999999</v>
      </c>
      <c r="BJ191" s="8">
        <v>184.877724</v>
      </c>
    </row>
    <row r="192" spans="1:63" s="5" customFormat="1" x14ac:dyDescent="0.3">
      <c r="A192" s="6"/>
      <c r="B192" s="6"/>
      <c r="C192" s="6">
        <v>253</v>
      </c>
      <c r="D192" s="6" t="s">
        <v>772</v>
      </c>
      <c r="E192" s="143" t="s">
        <v>1616</v>
      </c>
      <c r="F192" s="157"/>
      <c r="G192" s="6"/>
      <c r="H192" s="6"/>
      <c r="I192" s="6"/>
      <c r="J192" s="17"/>
      <c r="K192" s="17"/>
      <c r="L192" s="6"/>
      <c r="M192" s="7"/>
      <c r="N192" s="7"/>
      <c r="O192" s="7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2"/>
      <c r="AN192" s="53"/>
      <c r="AV192" s="158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7"/>
    </row>
    <row r="193" spans="1:63" ht="12.5" x14ac:dyDescent="0.25">
      <c r="A193" s="2">
        <v>59</v>
      </c>
      <c r="B193" s="2">
        <v>53</v>
      </c>
      <c r="C193" s="2">
        <v>255</v>
      </c>
      <c r="D193" s="2">
        <v>230</v>
      </c>
      <c r="E193" s="138" t="s">
        <v>97</v>
      </c>
      <c r="F193" t="s">
        <v>536</v>
      </c>
      <c r="G193" t="s">
        <v>1262</v>
      </c>
      <c r="H193" s="2">
        <v>140670</v>
      </c>
      <c r="I193" s="2">
        <v>114</v>
      </c>
      <c r="J193" s="15">
        <v>4.0709999999999997</v>
      </c>
      <c r="K193" s="15">
        <v>3.0990000000000002</v>
      </c>
      <c r="P193" s="2">
        <v>88.7</v>
      </c>
      <c r="Q193" s="2"/>
      <c r="R193" s="2"/>
      <c r="S193" s="2"/>
      <c r="T193" s="97">
        <v>95.93</v>
      </c>
      <c r="U193" s="97">
        <v>98.22</v>
      </c>
      <c r="V193" s="97">
        <v>98.21</v>
      </c>
      <c r="W193" s="97">
        <v>99.94</v>
      </c>
      <c r="X193" s="97">
        <v>90.69</v>
      </c>
      <c r="Y193" s="97">
        <v>100.1</v>
      </c>
      <c r="AE193" s="2">
        <v>96.15</v>
      </c>
      <c r="AF193" s="2">
        <v>114.6</v>
      </c>
      <c r="AG193" s="2">
        <v>106.8</v>
      </c>
      <c r="AH193" s="2">
        <v>114</v>
      </c>
      <c r="AI193" s="2" t="s">
        <v>772</v>
      </c>
      <c r="AJ193" s="2">
        <v>114.3</v>
      </c>
      <c r="AK193" s="2" t="s">
        <v>772</v>
      </c>
      <c r="AL193" s="2" t="s">
        <v>772</v>
      </c>
      <c r="AM193" s="19">
        <v>0.23819444444444446</v>
      </c>
      <c r="AN193" s="8">
        <f>(5+(43/60))*AJ193</f>
        <v>653.41499999999996</v>
      </c>
      <c r="AS193" t="s">
        <v>684</v>
      </c>
      <c r="AX193" s="8">
        <v>110.85867399999999</v>
      </c>
      <c r="AY193" s="8">
        <v>110.41679000000001</v>
      </c>
      <c r="AZ193" s="8">
        <v>112.019164</v>
      </c>
      <c r="BA193" s="8">
        <v>109.976354</v>
      </c>
      <c r="BB193" s="8">
        <v>106.67282</v>
      </c>
      <c r="BC193" s="8">
        <v>106.29632700000001</v>
      </c>
      <c r="BD193" s="8">
        <v>111.87369</v>
      </c>
      <c r="BE193" s="8">
        <v>111.856497</v>
      </c>
      <c r="BF193" s="8">
        <v>126.08363199999999</v>
      </c>
      <c r="BG193" s="8">
        <v>131.57792000000001</v>
      </c>
      <c r="BH193" s="8">
        <v>137.07221999999999</v>
      </c>
      <c r="BI193" s="8">
        <v>118.104066</v>
      </c>
      <c r="BJ193" s="8">
        <v>129.42174900000001</v>
      </c>
    </row>
    <row r="194" spans="1:63" ht="12.5" x14ac:dyDescent="0.25">
      <c r="A194" s="2">
        <v>84</v>
      </c>
      <c r="B194" s="2">
        <v>77</v>
      </c>
      <c r="C194" s="2">
        <v>267</v>
      </c>
      <c r="D194" s="2">
        <v>223</v>
      </c>
      <c r="E194" s="138" t="s">
        <v>74</v>
      </c>
      <c r="F194" t="s">
        <v>534</v>
      </c>
      <c r="H194" s="2">
        <v>119540</v>
      </c>
      <c r="I194" s="2">
        <v>119.4</v>
      </c>
      <c r="J194" s="15">
        <v>4.266</v>
      </c>
      <c r="K194" s="15">
        <v>2.4569999999999999</v>
      </c>
      <c r="P194" s="2">
        <v>93.92</v>
      </c>
      <c r="Q194" s="2"/>
      <c r="R194" s="2"/>
      <c r="S194" s="2"/>
      <c r="T194" s="97"/>
      <c r="U194" s="97"/>
      <c r="V194" s="97"/>
      <c r="W194" s="97"/>
      <c r="X194" s="97"/>
      <c r="Y194" s="97"/>
      <c r="AE194" s="2">
        <v>104.6</v>
      </c>
      <c r="AF194" s="2">
        <v>122.9</v>
      </c>
      <c r="AG194" s="2">
        <v>125.4</v>
      </c>
      <c r="AH194" s="2">
        <v>119.4</v>
      </c>
      <c r="AI194" s="2" t="s">
        <v>772</v>
      </c>
      <c r="AJ194" s="2">
        <v>111.9</v>
      </c>
      <c r="AK194" s="2" t="s">
        <v>772</v>
      </c>
      <c r="AL194" s="2" t="s">
        <v>772</v>
      </c>
      <c r="AM194" s="19">
        <v>0.49236111111111108</v>
      </c>
      <c r="AN194" s="8">
        <f>(11+(49/60))*AJ194</f>
        <v>1322.2850000000001</v>
      </c>
      <c r="AX194" s="8">
        <v>113.673306</v>
      </c>
      <c r="AY194" s="8">
        <v>113.272987</v>
      </c>
      <c r="AZ194" s="8">
        <v>114.715581</v>
      </c>
      <c r="BA194" s="8">
        <v>114.658068</v>
      </c>
      <c r="BB194" s="8">
        <v>107.475613</v>
      </c>
      <c r="BC194" s="8">
        <v>102.655462</v>
      </c>
      <c r="BD194" s="8">
        <v>110.55453900000001</v>
      </c>
      <c r="BE194" s="8">
        <v>116.265669</v>
      </c>
      <c r="BF194" s="8">
        <v>123.714185</v>
      </c>
      <c r="BG194" s="8">
        <v>223.117379</v>
      </c>
      <c r="BH194" s="8">
        <v>208.03979200000001</v>
      </c>
      <c r="BI194" s="8">
        <v>209.94866400000001</v>
      </c>
      <c r="BJ194" s="8">
        <v>179.73884200000001</v>
      </c>
    </row>
    <row r="195" spans="1:63" ht="12.5" x14ac:dyDescent="0.25">
      <c r="A195" s="2">
        <v>63</v>
      </c>
      <c r="B195" s="2">
        <v>64</v>
      </c>
      <c r="C195" s="2">
        <v>271</v>
      </c>
      <c r="D195" s="2">
        <v>263</v>
      </c>
      <c r="E195" s="138" t="s">
        <v>72</v>
      </c>
      <c r="F195" t="s">
        <v>9</v>
      </c>
      <c r="H195" s="2">
        <v>167830</v>
      </c>
      <c r="I195" s="2">
        <v>169.5</v>
      </c>
      <c r="J195" s="15">
        <v>6.0540000000000003</v>
      </c>
      <c r="K195" s="15">
        <v>3.121</v>
      </c>
      <c r="P195" s="2">
        <v>141.6</v>
      </c>
      <c r="Q195" s="2"/>
      <c r="R195" s="2"/>
      <c r="S195" s="2"/>
      <c r="T195" s="97">
        <v>154.5</v>
      </c>
      <c r="U195" s="97">
        <v>158.69999999999999</v>
      </c>
      <c r="V195" s="97">
        <v>154.1</v>
      </c>
      <c r="W195" s="97">
        <v>168.7</v>
      </c>
      <c r="X195" s="97">
        <v>151.30000000000001</v>
      </c>
      <c r="Y195" s="97">
        <v>176</v>
      </c>
      <c r="AE195" s="2">
        <v>165.9</v>
      </c>
      <c r="AF195" s="2">
        <v>165.1</v>
      </c>
      <c r="AG195" s="2">
        <v>162.80000000000001</v>
      </c>
      <c r="AH195" s="2">
        <v>169.5</v>
      </c>
      <c r="AI195" s="2" t="s">
        <v>772</v>
      </c>
      <c r="AJ195" s="2">
        <v>169.3</v>
      </c>
      <c r="AK195" s="2" t="s">
        <v>772</v>
      </c>
      <c r="AL195" s="2" t="s">
        <v>772</v>
      </c>
      <c r="AM195" s="19">
        <v>0.47847222222222219</v>
      </c>
      <c r="AN195" s="8">
        <f>(11+(29/60))*AJ195</f>
        <v>1944.1283333333333</v>
      </c>
      <c r="AX195" s="8">
        <v>179.86115000000001</v>
      </c>
      <c r="AY195" s="8">
        <v>167.87699799999999</v>
      </c>
      <c r="AZ195" s="8">
        <v>186.162474</v>
      </c>
      <c r="BA195" s="8">
        <v>171.27169000000001</v>
      </c>
      <c r="BB195" s="8">
        <v>168.616872</v>
      </c>
      <c r="BC195" s="8">
        <v>160.537994</v>
      </c>
      <c r="BD195" s="8">
        <v>183.40650600000001</v>
      </c>
      <c r="BE195" s="8">
        <v>175.57702399999999</v>
      </c>
      <c r="BF195" s="8">
        <v>192.92382900000001</v>
      </c>
      <c r="BG195" s="8">
        <v>199.941351</v>
      </c>
      <c r="BH195" s="8">
        <v>221.76248699999999</v>
      </c>
      <c r="BI195" s="8">
        <v>194.05548400000001</v>
      </c>
      <c r="BJ195" s="8">
        <v>217.68362500000001</v>
      </c>
    </row>
    <row r="196" spans="1:63" ht="12.5" x14ac:dyDescent="0.25">
      <c r="E196" s="138" t="s">
        <v>1608</v>
      </c>
      <c r="K196" s="15"/>
      <c r="P196" s="2"/>
      <c r="Q196" s="2"/>
      <c r="R196" s="2"/>
      <c r="S196" s="2"/>
      <c r="T196" s="97"/>
      <c r="U196" s="97"/>
      <c r="V196" s="97"/>
      <c r="W196" s="97"/>
      <c r="X196" s="97"/>
      <c r="Y196" s="97"/>
      <c r="AE196" s="2"/>
      <c r="AG196" s="2"/>
      <c r="AH196" s="2"/>
      <c r="AI196" s="2"/>
      <c r="AJ196" s="2"/>
      <c r="AK196" s="2"/>
      <c r="AL196" s="2"/>
      <c r="AM196" s="19"/>
      <c r="AN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</row>
    <row r="197" spans="1:63" ht="12.5" x14ac:dyDescent="0.25">
      <c r="A197" s="2">
        <v>65</v>
      </c>
      <c r="B197" s="2">
        <v>58</v>
      </c>
      <c r="C197" s="2">
        <v>272</v>
      </c>
      <c r="D197" s="2">
        <v>245</v>
      </c>
      <c r="E197" s="138" t="s">
        <v>105</v>
      </c>
      <c r="F197" t="s">
        <v>539</v>
      </c>
      <c r="G197" t="s">
        <v>1262</v>
      </c>
      <c r="H197" s="2">
        <v>215690</v>
      </c>
      <c r="I197" s="2">
        <v>108.1</v>
      </c>
      <c r="J197" s="15">
        <v>3.8610000000000002</v>
      </c>
      <c r="K197" s="15">
        <v>3.0209999999999999</v>
      </c>
      <c r="P197" s="2">
        <v>97.2</v>
      </c>
      <c r="Q197" s="2"/>
      <c r="R197" s="2"/>
      <c r="S197" s="2"/>
      <c r="T197" s="97">
        <v>111</v>
      </c>
      <c r="U197" s="97">
        <v>109.9</v>
      </c>
      <c r="V197" s="97">
        <v>107.6</v>
      </c>
      <c r="W197" s="97">
        <v>108.5</v>
      </c>
      <c r="X197" s="97">
        <v>99.44</v>
      </c>
      <c r="Y197" s="97">
        <v>113.6</v>
      </c>
      <c r="AE197" s="2">
        <v>106.4</v>
      </c>
      <c r="AF197" s="2">
        <v>111.4</v>
      </c>
      <c r="AG197" s="2">
        <v>103.5</v>
      </c>
      <c r="AH197" s="2">
        <v>108.1</v>
      </c>
      <c r="AI197" s="14" t="s">
        <v>772</v>
      </c>
      <c r="AJ197" s="2">
        <v>107.4</v>
      </c>
      <c r="AK197" s="2" t="s">
        <v>772</v>
      </c>
      <c r="AL197" s="2" t="s">
        <v>772</v>
      </c>
      <c r="AM197" s="19">
        <v>0.26805555555555555</v>
      </c>
      <c r="AN197" s="8">
        <f>(6+(26/60))*AJ197</f>
        <v>690.94</v>
      </c>
      <c r="AX197" s="8">
        <v>119.382222</v>
      </c>
      <c r="AY197" s="8">
        <v>119.996616</v>
      </c>
      <c r="AZ197" s="8">
        <v>122.890113</v>
      </c>
      <c r="BA197" s="8">
        <v>114.44946400000001</v>
      </c>
      <c r="BB197" s="8">
        <v>112.242696</v>
      </c>
      <c r="BC197" s="8">
        <v>112.984989</v>
      </c>
      <c r="BD197" s="8">
        <v>117.180475</v>
      </c>
      <c r="BE197" s="8">
        <v>121.649986</v>
      </c>
      <c r="BF197" s="8">
        <v>123.60369799999999</v>
      </c>
      <c r="BG197" s="8">
        <v>130.90648400000001</v>
      </c>
      <c r="BH197" s="8">
        <v>139.64740399999999</v>
      </c>
      <c r="BI197" s="8">
        <v>121.549999</v>
      </c>
      <c r="BJ197" s="8">
        <v>122.658205</v>
      </c>
    </row>
    <row r="198" spans="1:63" ht="12.5" x14ac:dyDescent="0.25">
      <c r="A198" s="2">
        <v>66</v>
      </c>
      <c r="B198" s="2">
        <v>55</v>
      </c>
      <c r="C198" s="2">
        <v>278</v>
      </c>
      <c r="D198" s="2">
        <v>232</v>
      </c>
      <c r="E198" s="138" t="s">
        <v>88</v>
      </c>
      <c r="F198" t="s">
        <v>674</v>
      </c>
      <c r="H198" s="2">
        <v>10280</v>
      </c>
      <c r="I198" s="2">
        <v>133.30000000000001</v>
      </c>
      <c r="J198" s="15">
        <v>4.7629999999999999</v>
      </c>
      <c r="K198" s="15">
        <v>3.621</v>
      </c>
      <c r="P198" s="2">
        <v>106.1</v>
      </c>
      <c r="Q198" s="2"/>
      <c r="R198" s="2"/>
      <c r="S198" s="2"/>
      <c r="T198" s="97">
        <v>127.8</v>
      </c>
      <c r="U198" s="97">
        <v>128.9</v>
      </c>
      <c r="V198" s="97">
        <v>120.7</v>
      </c>
      <c r="W198" s="97">
        <v>125.3</v>
      </c>
      <c r="X198" s="97">
        <v>109</v>
      </c>
      <c r="Y198" s="97">
        <v>120.8</v>
      </c>
      <c r="AE198" s="1">
        <v>134</v>
      </c>
      <c r="AF198" s="2">
        <v>101.9</v>
      </c>
      <c r="AG198" s="2">
        <v>115.5</v>
      </c>
      <c r="AH198" s="2">
        <v>133.30000000000001</v>
      </c>
      <c r="AI198" s="2" t="s">
        <v>772</v>
      </c>
      <c r="AJ198" s="2">
        <v>132.80000000000001</v>
      </c>
      <c r="AK198" s="2" t="s">
        <v>772</v>
      </c>
      <c r="AL198" s="2" t="s">
        <v>772</v>
      </c>
      <c r="AM198" s="19">
        <v>0.23750000000000002</v>
      </c>
      <c r="AN198" s="8">
        <f>(5+(42/60))*AJ198</f>
        <v>756.96</v>
      </c>
      <c r="AV198" t="s">
        <v>465</v>
      </c>
      <c r="AX198" s="8">
        <v>112.556155</v>
      </c>
      <c r="AY198" s="8">
        <v>115.047977</v>
      </c>
      <c r="AZ198" s="8">
        <v>106.948634</v>
      </c>
      <c r="BA198" s="8">
        <v>116.777173</v>
      </c>
      <c r="BB198" s="8">
        <v>121.941237</v>
      </c>
      <c r="BC198" s="8">
        <v>128.213382</v>
      </c>
      <c r="BD198" s="8">
        <v>141.187431</v>
      </c>
      <c r="BE198" s="8">
        <v>145.042676</v>
      </c>
      <c r="BF198" s="8">
        <v>160.857596</v>
      </c>
      <c r="BG198" s="8">
        <v>172.01261600000001</v>
      </c>
      <c r="BH198" s="8">
        <v>174.444039</v>
      </c>
      <c r="BI198" s="8">
        <v>145.410932</v>
      </c>
      <c r="BJ198" s="8">
        <v>148.406958</v>
      </c>
    </row>
    <row r="199" spans="1:63" s="3" customFormat="1" x14ac:dyDescent="0.3">
      <c r="A199" s="4">
        <v>68</v>
      </c>
      <c r="B199" s="4">
        <v>70</v>
      </c>
      <c r="C199" s="4">
        <v>283</v>
      </c>
      <c r="D199" s="4">
        <v>304</v>
      </c>
      <c r="E199" s="139" t="s">
        <v>126</v>
      </c>
      <c r="F199" s="3" t="s">
        <v>6</v>
      </c>
      <c r="G199" s="3" t="s">
        <v>1305</v>
      </c>
      <c r="H199" s="4">
        <v>85900</v>
      </c>
      <c r="I199" s="4">
        <v>83.15</v>
      </c>
      <c r="J199" s="16">
        <v>2.9689999999999999</v>
      </c>
      <c r="K199" s="16">
        <v>1.8879999999999999</v>
      </c>
      <c r="L199" s="4"/>
      <c r="M199" s="9"/>
      <c r="N199" s="9"/>
      <c r="O199" s="9"/>
      <c r="P199" s="4">
        <v>99.08</v>
      </c>
      <c r="Q199" s="4"/>
      <c r="R199" s="4"/>
      <c r="S199" s="4"/>
      <c r="T199" s="95">
        <v>98.1</v>
      </c>
      <c r="U199" s="95">
        <v>98.38</v>
      </c>
      <c r="V199" s="95">
        <v>104.8</v>
      </c>
      <c r="W199" s="95">
        <v>103.7</v>
      </c>
      <c r="X199" s="95">
        <v>103.5</v>
      </c>
      <c r="Y199" s="95">
        <v>118.9</v>
      </c>
      <c r="Z199" s="9"/>
      <c r="AA199" s="9"/>
      <c r="AB199" s="9"/>
      <c r="AC199" s="9"/>
      <c r="AD199" s="9"/>
      <c r="AE199" s="4">
        <v>90.32</v>
      </c>
      <c r="AF199" s="4">
        <v>100</v>
      </c>
      <c r="AG199" s="4">
        <v>71.52</v>
      </c>
      <c r="AH199" s="4">
        <v>83.15</v>
      </c>
      <c r="AI199" s="45" t="s">
        <v>772</v>
      </c>
      <c r="AJ199" s="4">
        <v>76.8</v>
      </c>
      <c r="AK199" s="4" t="s">
        <v>772</v>
      </c>
      <c r="AL199" s="4" t="s">
        <v>772</v>
      </c>
      <c r="AM199" s="22">
        <v>0.30138888888888887</v>
      </c>
      <c r="AN199" s="46">
        <f>(7+(14/60))*AJ199</f>
        <v>555.52</v>
      </c>
      <c r="AX199" s="55">
        <v>65.23</v>
      </c>
      <c r="AY199" s="55">
        <v>84.632000000000005</v>
      </c>
      <c r="AZ199" s="55">
        <v>66.501999999999995</v>
      </c>
      <c r="BA199" s="55">
        <v>63.628999999999998</v>
      </c>
      <c r="BB199" s="55">
        <v>58.64</v>
      </c>
      <c r="BC199" s="55">
        <v>65.061999999999998</v>
      </c>
      <c r="BD199" s="55">
        <v>76.882000000000005</v>
      </c>
      <c r="BE199" s="55">
        <v>72.637</v>
      </c>
      <c r="BF199" s="55">
        <v>71.230999999999995</v>
      </c>
      <c r="BG199" s="55">
        <v>77.054000000000002</v>
      </c>
      <c r="BH199" s="55">
        <v>81.292000000000002</v>
      </c>
      <c r="BI199" s="55">
        <v>77.007000000000005</v>
      </c>
      <c r="BJ199" s="55">
        <v>77.881</v>
      </c>
      <c r="BK199" s="9"/>
    </row>
    <row r="200" spans="1:63" ht="12.5" x14ac:dyDescent="0.25">
      <c r="A200" s="2">
        <v>71</v>
      </c>
      <c r="B200" s="2">
        <v>66</v>
      </c>
      <c r="C200" s="2">
        <v>299</v>
      </c>
      <c r="D200" s="2">
        <v>278</v>
      </c>
      <c r="E200" s="138" t="s">
        <v>79</v>
      </c>
      <c r="F200" t="s">
        <v>675</v>
      </c>
      <c r="H200" s="2">
        <v>863</v>
      </c>
      <c r="I200" s="2">
        <v>164.6</v>
      </c>
      <c r="J200" s="15">
        <v>5.8810000000000002</v>
      </c>
      <c r="K200" s="15">
        <v>4.1779999999999999</v>
      </c>
      <c r="P200" s="2">
        <v>146.30000000000001</v>
      </c>
      <c r="Q200" s="2"/>
      <c r="R200" s="2"/>
      <c r="S200" s="2"/>
      <c r="T200" s="97"/>
      <c r="U200" s="97"/>
      <c r="V200" s="97"/>
      <c r="W200" s="97"/>
      <c r="X200" s="97"/>
      <c r="Y200" s="97"/>
      <c r="AE200" s="2">
        <v>172.9</v>
      </c>
      <c r="AF200" s="2">
        <v>164.2</v>
      </c>
      <c r="AG200" s="2">
        <v>151.69999999999999</v>
      </c>
      <c r="AH200" s="2">
        <v>164.6</v>
      </c>
      <c r="AI200" s="2" t="s">
        <v>772</v>
      </c>
      <c r="AJ200" s="2">
        <v>165.3</v>
      </c>
      <c r="AK200" s="2" t="s">
        <v>772</v>
      </c>
      <c r="AL200" s="2" t="s">
        <v>772</v>
      </c>
      <c r="AM200" s="19">
        <v>0.12083333333333333</v>
      </c>
      <c r="AN200" s="8">
        <f>(2+(54/60))*AJ200</f>
        <v>479.37</v>
      </c>
      <c r="AX200" s="8">
        <v>146.86779999999999</v>
      </c>
      <c r="AY200" s="8">
        <v>174.40543299999999</v>
      </c>
      <c r="AZ200" s="8">
        <v>152.78054399999999</v>
      </c>
      <c r="BA200" s="8">
        <v>140.599951</v>
      </c>
      <c r="BB200" s="8">
        <v>129.180904</v>
      </c>
      <c r="BC200" s="8">
        <v>131.57056499999999</v>
      </c>
      <c r="BD200" s="8">
        <v>154.11898099999999</v>
      </c>
      <c r="BE200" s="8">
        <v>151.374698</v>
      </c>
      <c r="BF200" s="8">
        <v>168.27498399999999</v>
      </c>
      <c r="BG200" s="8">
        <v>180.862741</v>
      </c>
      <c r="BH200" s="8">
        <v>179.02940100000001</v>
      </c>
      <c r="BI200" s="8">
        <v>157.960295</v>
      </c>
      <c r="BJ200" s="8">
        <v>176.230006</v>
      </c>
    </row>
    <row r="201" spans="1:63" ht="12.5" x14ac:dyDescent="0.25">
      <c r="A201" s="2">
        <v>70</v>
      </c>
      <c r="B201" s="2">
        <v>67</v>
      </c>
      <c r="C201" s="2">
        <v>303</v>
      </c>
      <c r="D201" s="2">
        <v>294</v>
      </c>
      <c r="E201" s="138" t="s">
        <v>86</v>
      </c>
      <c r="F201" t="s">
        <v>538</v>
      </c>
      <c r="G201" t="s">
        <v>1274</v>
      </c>
      <c r="H201" s="2">
        <v>167900</v>
      </c>
      <c r="I201" s="2">
        <v>121.9</v>
      </c>
      <c r="J201" s="15">
        <v>4.3550000000000004</v>
      </c>
      <c r="K201" s="15">
        <v>2.5110000000000001</v>
      </c>
      <c r="P201" s="2">
        <v>105.1</v>
      </c>
      <c r="Q201" s="2"/>
      <c r="R201" s="2"/>
      <c r="S201" s="2"/>
      <c r="T201" s="97">
        <v>115.3</v>
      </c>
      <c r="U201" s="97">
        <v>117.1</v>
      </c>
      <c r="V201" s="97">
        <v>112.8</v>
      </c>
      <c r="W201" s="97">
        <v>115.5</v>
      </c>
      <c r="X201" s="97">
        <v>105.5</v>
      </c>
      <c r="Y201" s="97">
        <v>124.3</v>
      </c>
      <c r="AE201" s="2">
        <v>124.8</v>
      </c>
      <c r="AF201" s="2">
        <v>130</v>
      </c>
      <c r="AG201" s="2">
        <v>126.3</v>
      </c>
      <c r="AH201" s="2">
        <v>121.9</v>
      </c>
      <c r="AI201" s="2" t="s">
        <v>772</v>
      </c>
      <c r="AJ201" s="2">
        <v>123.9</v>
      </c>
      <c r="AK201" s="2" t="s">
        <v>772</v>
      </c>
      <c r="AL201" s="2" t="s">
        <v>772</v>
      </c>
      <c r="AM201" s="19">
        <v>0.28402777777777777</v>
      </c>
      <c r="AN201" s="8">
        <f>(6+(49/60))*AJ201</f>
        <v>844.58500000000004</v>
      </c>
      <c r="AX201" s="8">
        <v>138.937985</v>
      </c>
      <c r="AY201" s="8">
        <v>151.171009</v>
      </c>
      <c r="AZ201" s="8">
        <v>139.085037</v>
      </c>
      <c r="BA201" s="8">
        <v>138.71865399999999</v>
      </c>
      <c r="BB201" s="8">
        <v>132.808727</v>
      </c>
      <c r="BC201" s="8">
        <v>145.48617400000001</v>
      </c>
      <c r="BD201" s="8">
        <v>146.44754599999999</v>
      </c>
      <c r="BE201" s="8">
        <v>148.53864899999999</v>
      </c>
      <c r="BF201" s="8">
        <v>167.553425</v>
      </c>
      <c r="BG201" s="8">
        <v>166.915603</v>
      </c>
      <c r="BH201" s="8">
        <v>189.69699199999999</v>
      </c>
      <c r="BI201" s="8">
        <v>171.10156599999999</v>
      </c>
      <c r="BJ201" s="8">
        <v>179.491287</v>
      </c>
    </row>
    <row r="202" spans="1:63" ht="12.5" x14ac:dyDescent="0.25">
      <c r="A202" s="2">
        <v>628</v>
      </c>
      <c r="B202" s="2" t="s">
        <v>772</v>
      </c>
      <c r="C202" s="2">
        <v>309</v>
      </c>
      <c r="D202" s="2" t="s">
        <v>772</v>
      </c>
      <c r="E202" t="s">
        <v>1535</v>
      </c>
      <c r="H202" s="2">
        <v>0</v>
      </c>
      <c r="K202" s="15"/>
      <c r="P202" s="2">
        <v>60.62</v>
      </c>
      <c r="Q202" s="2"/>
      <c r="R202" s="2"/>
      <c r="S202" s="2"/>
      <c r="T202" s="97"/>
      <c r="U202" s="97"/>
      <c r="V202" s="97"/>
      <c r="W202" s="97"/>
      <c r="X202" s="97"/>
      <c r="Y202" s="97"/>
      <c r="AE202" s="2"/>
      <c r="AG202" s="2"/>
      <c r="AH202" s="2"/>
      <c r="AI202" s="2"/>
      <c r="AJ202" s="2"/>
      <c r="AK202" s="2"/>
      <c r="AL202" s="2"/>
      <c r="AM202" s="19"/>
      <c r="AN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</row>
    <row r="203" spans="1:63" s="5" customFormat="1" x14ac:dyDescent="0.3">
      <c r="A203" s="6"/>
      <c r="B203" s="6"/>
      <c r="C203" s="6">
        <v>315</v>
      </c>
      <c r="D203" s="6" t="s">
        <v>772</v>
      </c>
      <c r="E203" s="143" t="s">
        <v>1738</v>
      </c>
      <c r="F203" s="157"/>
      <c r="G203" s="6"/>
      <c r="H203" s="6"/>
      <c r="I203" s="6"/>
      <c r="J203" s="17"/>
      <c r="K203" s="17"/>
      <c r="L203" s="6"/>
      <c r="M203" s="7"/>
      <c r="N203" s="7"/>
      <c r="O203" s="7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2"/>
      <c r="AN203" s="53"/>
      <c r="AV203" s="158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7"/>
    </row>
    <row r="204" spans="1:63" x14ac:dyDescent="0.3">
      <c r="A204" s="2">
        <v>282</v>
      </c>
      <c r="B204" s="2">
        <v>265</v>
      </c>
      <c r="C204" s="2">
        <v>321</v>
      </c>
      <c r="D204" s="2">
        <v>297</v>
      </c>
      <c r="E204" s="138" t="s">
        <v>811</v>
      </c>
      <c r="I204" s="2">
        <v>19.43</v>
      </c>
      <c r="O204" s="1">
        <f>AG204/AI204-1</f>
        <v>-0.46011322696860524</v>
      </c>
      <c r="P204" s="2">
        <v>95.31</v>
      </c>
      <c r="Q204" s="2"/>
      <c r="R204" s="2"/>
      <c r="S204" s="2"/>
      <c r="T204" s="97"/>
      <c r="U204" s="97"/>
      <c r="V204" s="97"/>
      <c r="W204" s="97"/>
      <c r="X204" s="97"/>
      <c r="Y204" s="97"/>
      <c r="AG204" s="1">
        <v>10.49</v>
      </c>
      <c r="AH204" s="14"/>
      <c r="AI204" s="14">
        <v>19.43</v>
      </c>
      <c r="AJ204" s="14"/>
      <c r="AK204" s="14"/>
      <c r="AL204" s="50"/>
      <c r="AM204" s="44" t="s">
        <v>812</v>
      </c>
    </row>
    <row r="205" spans="1:63" ht="12.5" x14ac:dyDescent="0.25">
      <c r="A205" s="2">
        <v>75</v>
      </c>
      <c r="B205" s="2">
        <v>83</v>
      </c>
      <c r="C205" s="2">
        <v>323</v>
      </c>
      <c r="D205" s="2">
        <v>339</v>
      </c>
      <c r="E205" s="138" t="s">
        <v>80</v>
      </c>
      <c r="F205" t="s">
        <v>541</v>
      </c>
      <c r="G205" t="s">
        <v>1290</v>
      </c>
      <c r="H205" s="2">
        <v>200000</v>
      </c>
      <c r="I205" s="2">
        <v>172.3</v>
      </c>
      <c r="J205" s="15">
        <v>6.157</v>
      </c>
      <c r="K205" s="15">
        <v>4.2229999999999999</v>
      </c>
      <c r="P205" s="2">
        <v>110.8</v>
      </c>
      <c r="Q205" s="2"/>
      <c r="R205" s="2"/>
      <c r="S205" s="2"/>
      <c r="T205" s="97"/>
      <c r="U205" s="97"/>
      <c r="V205" s="97"/>
      <c r="W205" s="97"/>
      <c r="X205" s="97"/>
      <c r="Y205" s="97"/>
      <c r="AE205" s="2">
        <v>124.3</v>
      </c>
      <c r="AF205" s="2">
        <v>172.4</v>
      </c>
      <c r="AG205" s="2">
        <v>177.7</v>
      </c>
      <c r="AH205" s="2">
        <v>172.3</v>
      </c>
      <c r="AI205" s="2" t="s">
        <v>772</v>
      </c>
      <c r="AJ205" s="2">
        <v>162.30000000000001</v>
      </c>
      <c r="AK205" s="2" t="s">
        <v>772</v>
      </c>
      <c r="AL205" s="2" t="s">
        <v>772</v>
      </c>
      <c r="AM205" s="19">
        <v>0.12638888888888888</v>
      </c>
      <c r="AN205" s="8">
        <f>(3+(2/60))*AJ205</f>
        <v>492.31</v>
      </c>
      <c r="AV205" t="s">
        <v>387</v>
      </c>
      <c r="AX205" s="8">
        <v>91.663527999999999</v>
      </c>
      <c r="AY205" s="8">
        <v>89.095899000000003</v>
      </c>
      <c r="AZ205" s="8">
        <v>93.728061999999994</v>
      </c>
      <c r="BA205" s="8">
        <v>86.627934999999994</v>
      </c>
      <c r="BB205" s="8">
        <v>93.346442999999994</v>
      </c>
      <c r="BC205" s="8">
        <v>85.733232000000001</v>
      </c>
      <c r="BD205" s="8">
        <v>92.077292</v>
      </c>
      <c r="BE205" s="8">
        <v>89.925949000000003</v>
      </c>
      <c r="BF205" s="8">
        <v>102.3723</v>
      </c>
      <c r="BG205" s="8">
        <v>99.222930000000005</v>
      </c>
      <c r="BH205" s="8">
        <v>105.58072</v>
      </c>
      <c r="BI205" s="8">
        <v>97.025212999999994</v>
      </c>
      <c r="BJ205" s="8">
        <v>96.469246999999996</v>
      </c>
    </row>
    <row r="206" spans="1:63" ht="12.5" x14ac:dyDescent="0.25">
      <c r="A206" s="2">
        <v>75</v>
      </c>
      <c r="B206" s="2">
        <v>54</v>
      </c>
      <c r="C206" s="2">
        <v>324</v>
      </c>
      <c r="D206" s="2">
        <v>228</v>
      </c>
      <c r="E206" s="138" t="s">
        <v>91</v>
      </c>
      <c r="F206" t="s">
        <v>606</v>
      </c>
      <c r="G206" t="s">
        <v>1279</v>
      </c>
      <c r="H206" s="2">
        <v>121240</v>
      </c>
      <c r="I206" s="2">
        <v>110.6</v>
      </c>
      <c r="J206" s="15">
        <v>3.9529999999999998</v>
      </c>
      <c r="K206" s="15">
        <v>3.2120000000000002</v>
      </c>
      <c r="P206" s="2">
        <v>97.62</v>
      </c>
      <c r="Q206" s="2"/>
      <c r="R206" s="2"/>
      <c r="S206" s="2"/>
      <c r="T206" s="97">
        <v>134.5</v>
      </c>
      <c r="U206" s="97">
        <v>140.30000000000001</v>
      </c>
      <c r="V206" s="97">
        <v>124.5</v>
      </c>
      <c r="W206" s="97">
        <v>118.4</v>
      </c>
      <c r="X206" s="97">
        <v>92.03</v>
      </c>
      <c r="Y206" s="97">
        <v>115</v>
      </c>
      <c r="AE206" s="2">
        <v>139</v>
      </c>
      <c r="AF206" s="2">
        <v>101.5</v>
      </c>
      <c r="AG206" s="2">
        <v>94.27</v>
      </c>
      <c r="AH206" s="2">
        <v>110.6</v>
      </c>
      <c r="AI206" s="2" t="s">
        <v>772</v>
      </c>
      <c r="AJ206" s="2">
        <v>129.80000000000001</v>
      </c>
      <c r="AK206" s="2" t="s">
        <v>772</v>
      </c>
      <c r="AL206" s="2" t="s">
        <v>772</v>
      </c>
      <c r="AM206" s="19">
        <v>0.18472222222222223</v>
      </c>
      <c r="AN206" s="8">
        <f>(4+(26/60))*AJ206</f>
        <v>575.44666666666672</v>
      </c>
    </row>
    <row r="207" spans="1:63" ht="12.5" x14ac:dyDescent="0.25">
      <c r="A207" s="2">
        <v>103</v>
      </c>
      <c r="B207" s="2">
        <v>78</v>
      </c>
      <c r="C207" s="2">
        <v>393</v>
      </c>
      <c r="D207" s="2">
        <v>363</v>
      </c>
      <c r="E207" s="138" t="s">
        <v>120</v>
      </c>
      <c r="F207" t="s">
        <v>555</v>
      </c>
      <c r="G207" t="s">
        <v>1317</v>
      </c>
      <c r="H207" s="2">
        <v>13250</v>
      </c>
      <c r="I207" s="2">
        <v>88.27</v>
      </c>
      <c r="J207" s="15">
        <v>3.1520000000000001</v>
      </c>
      <c r="K207" s="15">
        <v>2.5760000000000001</v>
      </c>
      <c r="P207" s="2">
        <v>68.84</v>
      </c>
      <c r="Q207" s="2"/>
      <c r="R207" s="2"/>
      <c r="S207" s="2"/>
      <c r="T207" s="97"/>
      <c r="U207" s="97"/>
      <c r="V207" s="97"/>
      <c r="W207" s="97"/>
      <c r="X207" s="97"/>
      <c r="Y207" s="97"/>
      <c r="AE207" s="2">
        <v>81.56</v>
      </c>
      <c r="AF207" s="2">
        <v>77.86</v>
      </c>
      <c r="AG207" s="2">
        <v>73.78</v>
      </c>
      <c r="AH207" s="2">
        <v>88.27</v>
      </c>
      <c r="AI207" s="14" t="s">
        <v>772</v>
      </c>
      <c r="AJ207" s="2">
        <v>95.61</v>
      </c>
      <c r="AK207" s="2" t="s">
        <v>772</v>
      </c>
      <c r="AL207" s="2" t="s">
        <v>772</v>
      </c>
      <c r="AM207" s="19">
        <v>0.24305555555555555</v>
      </c>
      <c r="AN207" s="8">
        <f>(5+(50/60))*AJ207</f>
        <v>557.72500000000002</v>
      </c>
    </row>
    <row r="208" spans="1:63" s="5" customFormat="1" x14ac:dyDescent="0.3">
      <c r="A208" s="6"/>
      <c r="B208" s="6"/>
      <c r="C208" s="6">
        <v>301</v>
      </c>
      <c r="D208" s="6" t="s">
        <v>772</v>
      </c>
      <c r="E208" s="140" t="s">
        <v>1669</v>
      </c>
      <c r="H208" s="6"/>
      <c r="I208" s="6"/>
      <c r="J208" s="17"/>
      <c r="K208" s="17"/>
      <c r="L208" s="6"/>
      <c r="M208" s="7"/>
      <c r="N208" s="7"/>
      <c r="O208" s="7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7"/>
      <c r="AC208" s="7"/>
      <c r="AD208" s="7"/>
      <c r="AE208" s="6"/>
      <c r="AF208" s="6"/>
      <c r="AG208" s="6"/>
      <c r="AH208" s="6"/>
      <c r="AI208" s="6"/>
      <c r="AJ208" s="6"/>
      <c r="AK208" s="6"/>
      <c r="AL208" s="6"/>
      <c r="AM208" s="52"/>
      <c r="AN208" s="62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7"/>
    </row>
    <row r="209" spans="1:62" ht="12.5" x14ac:dyDescent="0.25">
      <c r="A209" s="2">
        <v>101</v>
      </c>
      <c r="B209" s="2">
        <v>72</v>
      </c>
      <c r="C209" s="2">
        <v>411</v>
      </c>
      <c r="D209" s="2">
        <v>379</v>
      </c>
      <c r="E209" s="138" t="s">
        <v>107</v>
      </c>
      <c r="F209" t="s">
        <v>680</v>
      </c>
      <c r="G209" t="s">
        <v>1306</v>
      </c>
      <c r="H209" s="2">
        <v>1170</v>
      </c>
      <c r="I209" s="2">
        <v>102.3</v>
      </c>
      <c r="J209" s="15">
        <v>3.6549999999999998</v>
      </c>
      <c r="K209" s="15">
        <v>2.6989999999999998</v>
      </c>
      <c r="P209" s="2">
        <v>75.81</v>
      </c>
      <c r="Q209" s="2"/>
      <c r="R209" s="2"/>
      <c r="S209" s="2"/>
      <c r="T209" s="97"/>
      <c r="U209" s="97"/>
      <c r="V209" s="97"/>
      <c r="W209" s="97"/>
      <c r="X209" s="97"/>
      <c r="Y209" s="97"/>
      <c r="AE209" s="2">
        <v>100.3</v>
      </c>
      <c r="AF209" s="2">
        <v>80.55</v>
      </c>
      <c r="AG209" s="2">
        <v>91.3</v>
      </c>
      <c r="AH209" s="2">
        <v>102.3</v>
      </c>
      <c r="AI209" s="14" t="s">
        <v>772</v>
      </c>
      <c r="AJ209" s="2">
        <v>103.8</v>
      </c>
      <c r="AK209" s="2" t="s">
        <v>772</v>
      </c>
      <c r="AL209" s="2" t="s">
        <v>772</v>
      </c>
      <c r="AM209" s="19">
        <v>0.18194444444444444</v>
      </c>
      <c r="AN209" s="8">
        <f>(4+(22/60))*AJ209</f>
        <v>453.25999999999993</v>
      </c>
    </row>
    <row r="210" spans="1:62" ht="12.5" x14ac:dyDescent="0.25">
      <c r="A210" s="2">
        <v>168</v>
      </c>
      <c r="B210" s="2">
        <v>115</v>
      </c>
      <c r="C210" s="2">
        <v>462</v>
      </c>
      <c r="D210" s="2">
        <v>248</v>
      </c>
      <c r="E210" s="138" t="s">
        <v>106</v>
      </c>
      <c r="F210" t="s">
        <v>679</v>
      </c>
      <c r="G210" t="s">
        <v>1307</v>
      </c>
      <c r="H210" s="2">
        <v>2220</v>
      </c>
      <c r="I210" s="2">
        <v>180.9</v>
      </c>
      <c r="J210" s="15">
        <v>6.4610000000000003</v>
      </c>
      <c r="K210" s="15">
        <v>5.5350000000000001</v>
      </c>
      <c r="P210" s="2">
        <v>88.04</v>
      </c>
      <c r="Q210" s="2"/>
      <c r="R210" s="2"/>
      <c r="S210" s="2"/>
      <c r="T210" s="97"/>
      <c r="U210" s="97"/>
      <c r="V210" s="97"/>
      <c r="W210" s="97"/>
      <c r="X210" s="97"/>
      <c r="Y210" s="97"/>
      <c r="AE210" s="2">
        <v>162.30000000000001</v>
      </c>
      <c r="AF210" s="2">
        <v>144.80000000000001</v>
      </c>
      <c r="AG210" s="2">
        <v>140.6</v>
      </c>
      <c r="AH210" s="2">
        <v>180.9</v>
      </c>
      <c r="AI210" s="14" t="s">
        <v>772</v>
      </c>
      <c r="AJ210" s="2">
        <v>184.5</v>
      </c>
      <c r="AK210" s="2" t="s">
        <v>772</v>
      </c>
      <c r="AL210" s="2" t="s">
        <v>772</v>
      </c>
      <c r="AM210" s="19">
        <v>0.125</v>
      </c>
      <c r="AN210" s="8">
        <f>3*AJ210</f>
        <v>553.5</v>
      </c>
      <c r="AX210" s="8">
        <v>153.16297299999999</v>
      </c>
      <c r="AY210" s="8">
        <v>152.118695</v>
      </c>
      <c r="AZ210" s="8">
        <v>149.579339</v>
      </c>
      <c r="BA210" s="8">
        <v>155.927358</v>
      </c>
      <c r="BB210" s="8">
        <v>155.64313899999999</v>
      </c>
      <c r="BC210" s="8">
        <v>166.878646</v>
      </c>
      <c r="BD210" s="8">
        <v>183.94783100000001</v>
      </c>
      <c r="BE210" s="8">
        <v>174.68577400000001</v>
      </c>
      <c r="BF210" s="8">
        <v>187.02173300000001</v>
      </c>
      <c r="BG210" s="8">
        <v>172.49722399999999</v>
      </c>
      <c r="BH210" s="8">
        <v>182.85318000000001</v>
      </c>
      <c r="BI210" s="8">
        <v>165.518821</v>
      </c>
      <c r="BJ210" s="8">
        <v>168.77802299999999</v>
      </c>
    </row>
    <row r="211" spans="1:62" ht="12.5" x14ac:dyDescent="0.25">
      <c r="A211" s="2">
        <v>80</v>
      </c>
      <c r="B211" s="2">
        <v>80</v>
      </c>
      <c r="C211" s="2">
        <v>140</v>
      </c>
      <c r="E211" s="138" t="s">
        <v>192</v>
      </c>
      <c r="F211" t="s">
        <v>1233</v>
      </c>
      <c r="K211" s="15"/>
      <c r="P211" s="2"/>
      <c r="Q211" s="2"/>
      <c r="R211" s="2"/>
      <c r="S211" s="2"/>
      <c r="T211" s="97"/>
      <c r="U211" s="97"/>
      <c r="V211" s="97"/>
      <c r="W211" s="97"/>
      <c r="X211" s="97"/>
      <c r="Y211" s="97"/>
      <c r="AE211" s="2">
        <v>92.13</v>
      </c>
      <c r="AF211" s="2" t="s">
        <v>772</v>
      </c>
      <c r="AG211" s="2" t="s">
        <v>772</v>
      </c>
      <c r="AH211" s="2" t="s">
        <v>772</v>
      </c>
      <c r="AI211" s="14" t="s">
        <v>772</v>
      </c>
      <c r="AJ211" s="14" t="s">
        <v>772</v>
      </c>
      <c r="AK211" s="14" t="s">
        <v>772</v>
      </c>
      <c r="AL211" s="14" t="s">
        <v>772</v>
      </c>
      <c r="AM211" s="19">
        <v>0.39513888888888887</v>
      </c>
      <c r="AN211" s="8">
        <f>(9+(29/60))*AE211</f>
        <v>873.69949999999983</v>
      </c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</row>
    <row r="212" spans="1:62" ht="12.5" x14ac:dyDescent="0.25">
      <c r="A212" s="2">
        <v>81</v>
      </c>
      <c r="B212" s="2">
        <v>79</v>
      </c>
      <c r="C212" s="2">
        <v>318</v>
      </c>
      <c r="E212" s="138" t="s">
        <v>102</v>
      </c>
      <c r="F212" t="s">
        <v>678</v>
      </c>
      <c r="H212" s="2">
        <v>3910</v>
      </c>
      <c r="I212" s="2">
        <v>107.3</v>
      </c>
      <c r="J212" s="15">
        <v>3.8319999999999999</v>
      </c>
      <c r="K212" s="15">
        <v>3.0259999999999998</v>
      </c>
      <c r="P212" s="2"/>
      <c r="Q212" s="2"/>
      <c r="R212" s="2"/>
      <c r="S212" s="2"/>
      <c r="T212" s="97"/>
      <c r="U212" s="97"/>
      <c r="V212" s="97"/>
      <c r="W212" s="97"/>
      <c r="X212" s="97"/>
      <c r="Y212" s="97"/>
      <c r="AE212" s="2">
        <v>84.09</v>
      </c>
      <c r="AF212" s="2">
        <v>103</v>
      </c>
      <c r="AG212" s="2">
        <v>93.14</v>
      </c>
      <c r="AH212" s="2">
        <v>107.3</v>
      </c>
      <c r="AI212" s="2" t="s">
        <v>772</v>
      </c>
      <c r="AJ212" s="2">
        <v>109.2</v>
      </c>
      <c r="AK212" s="2" t="s">
        <v>772</v>
      </c>
      <c r="AL212" s="2" t="s">
        <v>772</v>
      </c>
      <c r="AM212" s="19">
        <v>0.21180555555555555</v>
      </c>
      <c r="AN212" s="8">
        <f>(5+(5/60))*AJ212</f>
        <v>555.1</v>
      </c>
      <c r="AX212" s="8">
        <v>103.732428</v>
      </c>
      <c r="AY212" s="8">
        <v>106.029051</v>
      </c>
      <c r="AZ212" s="8">
        <v>113.632982</v>
      </c>
      <c r="BA212" s="8">
        <v>91.868801000000005</v>
      </c>
      <c r="BB212" s="8">
        <v>84.007401999999999</v>
      </c>
      <c r="BC212" s="8">
        <v>84.297330000000002</v>
      </c>
      <c r="BD212" s="8">
        <v>90.088382999999993</v>
      </c>
      <c r="BE212" s="8">
        <v>75.593892999999994</v>
      </c>
      <c r="BF212" s="8">
        <v>82.809622000000005</v>
      </c>
      <c r="BG212" s="8">
        <v>93.027375000000006</v>
      </c>
      <c r="BH212" s="8">
        <v>92.38382</v>
      </c>
      <c r="BI212" s="8">
        <v>84.604642999999996</v>
      </c>
      <c r="BJ212" s="8">
        <v>93.815090999999995</v>
      </c>
    </row>
    <row r="213" spans="1:62" ht="12.5" x14ac:dyDescent="0.25">
      <c r="A213" s="2">
        <v>82</v>
      </c>
      <c r="B213" s="2">
        <v>88</v>
      </c>
      <c r="C213" s="2">
        <v>361</v>
      </c>
      <c r="E213" s="138" t="s">
        <v>127</v>
      </c>
      <c r="F213" t="s">
        <v>543</v>
      </c>
      <c r="G213" t="s">
        <v>1279</v>
      </c>
      <c r="H213" s="2">
        <v>223550</v>
      </c>
      <c r="I213" s="2">
        <v>85.87</v>
      </c>
      <c r="J213" s="15">
        <v>3.0430000000000001</v>
      </c>
      <c r="K213" s="15">
        <v>2.48</v>
      </c>
      <c r="P213" s="2"/>
      <c r="Q213" s="2"/>
      <c r="R213" s="2"/>
      <c r="S213" s="2"/>
      <c r="T213" s="97"/>
      <c r="U213" s="97"/>
      <c r="V213" s="97"/>
      <c r="W213" s="97"/>
      <c r="X213" s="97"/>
      <c r="Y213" s="97"/>
      <c r="AE213" s="2">
        <v>92.8</v>
      </c>
      <c r="AF213" s="2">
        <v>100.5</v>
      </c>
      <c r="AG213" s="2">
        <v>85.87</v>
      </c>
      <c r="AH213" s="2">
        <v>85.22</v>
      </c>
      <c r="AI213" s="14" t="s">
        <v>772</v>
      </c>
      <c r="AJ213" s="2">
        <v>90.46</v>
      </c>
      <c r="AK213" s="2" t="s">
        <v>772</v>
      </c>
      <c r="AL213" s="2" t="s">
        <v>772</v>
      </c>
      <c r="AM213" s="19">
        <v>0.17986111111111111</v>
      </c>
      <c r="AN213" s="8">
        <f>(4+(19/60))*AJ213</f>
        <v>390.48566666666665</v>
      </c>
    </row>
    <row r="214" spans="1:62" ht="12.5" x14ac:dyDescent="0.25">
      <c r="E214" s="138" t="s">
        <v>1718</v>
      </c>
      <c r="K214" s="15"/>
      <c r="P214" s="2"/>
      <c r="Q214" s="2"/>
      <c r="R214" s="2"/>
      <c r="S214" s="2"/>
      <c r="T214" s="97"/>
      <c r="U214" s="97"/>
      <c r="V214" s="97"/>
      <c r="W214" s="97"/>
      <c r="X214" s="97"/>
      <c r="Y214" s="97"/>
      <c r="AE214" s="2"/>
      <c r="AG214" s="2"/>
      <c r="AH214" s="2"/>
      <c r="AI214" s="14"/>
      <c r="AJ214" s="2"/>
      <c r="AK214" s="2"/>
      <c r="AL214" s="2"/>
      <c r="AM214" s="19"/>
      <c r="AN214" s="8"/>
    </row>
    <row r="215" spans="1:62" ht="12.5" x14ac:dyDescent="0.25">
      <c r="E215" s="138" t="s">
        <v>1719</v>
      </c>
      <c r="K215" s="15"/>
      <c r="P215" s="2"/>
      <c r="Q215" s="2"/>
      <c r="R215" s="2"/>
      <c r="S215" s="2"/>
      <c r="T215" s="97"/>
      <c r="U215" s="97"/>
      <c r="V215" s="97"/>
      <c r="W215" s="97"/>
      <c r="X215" s="97"/>
      <c r="Y215" s="97"/>
      <c r="AE215" s="2"/>
      <c r="AG215" s="2"/>
      <c r="AH215" s="2"/>
      <c r="AI215" s="14"/>
      <c r="AJ215" s="2"/>
      <c r="AK215" s="2"/>
      <c r="AL215" s="2"/>
      <c r="AM215" s="19"/>
      <c r="AN215" s="8"/>
    </row>
    <row r="216" spans="1:62" ht="12.5" x14ac:dyDescent="0.25">
      <c r="A216" s="2">
        <v>83</v>
      </c>
      <c r="B216" s="2">
        <v>86</v>
      </c>
      <c r="C216" s="2">
        <v>321</v>
      </c>
      <c r="E216" s="138" t="s">
        <v>94</v>
      </c>
      <c r="G216" t="s">
        <v>1236</v>
      </c>
      <c r="I216" s="2">
        <v>134.80000000000001</v>
      </c>
      <c r="J216" s="15">
        <v>4.8159999999999998</v>
      </c>
      <c r="K216" s="15">
        <v>4.0039999999999996</v>
      </c>
      <c r="N216" s="1" t="s">
        <v>16</v>
      </c>
      <c r="P216" s="2"/>
      <c r="Q216" s="2"/>
      <c r="R216" s="2"/>
      <c r="S216" s="2"/>
      <c r="T216" s="97"/>
      <c r="U216" s="97"/>
      <c r="V216" s="97"/>
      <c r="W216" s="97"/>
      <c r="X216" s="97"/>
      <c r="Y216" s="97"/>
      <c r="AE216" s="2">
        <v>189.8</v>
      </c>
      <c r="AF216" s="2">
        <v>157.4</v>
      </c>
      <c r="AG216" s="2">
        <v>139.19999999999999</v>
      </c>
      <c r="AH216" s="2">
        <v>134.80000000000001</v>
      </c>
      <c r="AI216" s="2" t="s">
        <v>772</v>
      </c>
      <c r="AJ216" s="2">
        <v>139.6</v>
      </c>
      <c r="AK216" s="2" t="s">
        <v>772</v>
      </c>
      <c r="AL216" s="2" t="s">
        <v>772</v>
      </c>
      <c r="AM216" s="19">
        <v>0.1111111111111111</v>
      </c>
      <c r="AN216" s="57">
        <f>(2+(40/60))*AJ216</f>
        <v>372.26666666666665</v>
      </c>
      <c r="AX216" s="54">
        <v>174</v>
      </c>
      <c r="AY216" s="54">
        <v>199</v>
      </c>
      <c r="AZ216" s="54">
        <v>176</v>
      </c>
      <c r="BA216" s="54">
        <v>170</v>
      </c>
      <c r="BB216" s="54">
        <v>172</v>
      </c>
      <c r="BC216" s="54">
        <v>172</v>
      </c>
      <c r="BD216" s="54">
        <v>167</v>
      </c>
      <c r="BE216" s="54">
        <v>169</v>
      </c>
      <c r="BF216" s="54">
        <v>170</v>
      </c>
      <c r="BG216" s="54">
        <v>209</v>
      </c>
      <c r="BH216" s="54">
        <v>227</v>
      </c>
      <c r="BI216" s="54">
        <v>198</v>
      </c>
      <c r="BJ216" s="54">
        <v>190</v>
      </c>
    </row>
    <row r="217" spans="1:62" ht="12.5" x14ac:dyDescent="0.25">
      <c r="A217" s="2">
        <v>85</v>
      </c>
      <c r="B217" s="2">
        <v>136</v>
      </c>
      <c r="C217" s="2">
        <v>488</v>
      </c>
      <c r="E217" s="138" t="s">
        <v>99</v>
      </c>
      <c r="F217" t="s">
        <v>6</v>
      </c>
      <c r="G217" t="s">
        <v>1308</v>
      </c>
      <c r="H217" s="2">
        <v>0</v>
      </c>
      <c r="I217" s="2">
        <v>130</v>
      </c>
      <c r="J217" s="15">
        <v>4.6440000000000001</v>
      </c>
      <c r="K217" s="15">
        <v>2.8580000000000001</v>
      </c>
      <c r="P217" s="2"/>
      <c r="Q217" s="2"/>
      <c r="R217" s="2"/>
      <c r="S217" s="2"/>
      <c r="T217" s="97"/>
      <c r="U217" s="97"/>
      <c r="V217" s="97"/>
      <c r="W217" s="97"/>
      <c r="X217" s="97"/>
      <c r="Y217" s="97"/>
      <c r="AE217" s="2">
        <v>129.30000000000001</v>
      </c>
      <c r="AF217" s="2">
        <v>33.15</v>
      </c>
      <c r="AG217" s="2">
        <v>99.61</v>
      </c>
      <c r="AH217" s="2">
        <v>130</v>
      </c>
      <c r="AI217" s="2" t="s">
        <v>772</v>
      </c>
      <c r="AJ217" s="2">
        <v>127.7</v>
      </c>
      <c r="AK217" s="2" t="s">
        <v>772</v>
      </c>
      <c r="AL217" s="2" t="s">
        <v>772</v>
      </c>
      <c r="AM217" s="19">
        <v>0.35833333333333334</v>
      </c>
      <c r="AN217" s="8">
        <f>(8+(36/60))*AJ217</f>
        <v>1098.22</v>
      </c>
    </row>
    <row r="218" spans="1:62" ht="12.5" x14ac:dyDescent="0.25">
      <c r="A218" s="2">
        <v>88</v>
      </c>
      <c r="B218" s="2">
        <v>97</v>
      </c>
      <c r="C218" s="2">
        <v>347</v>
      </c>
      <c r="E218" s="138" t="s">
        <v>81</v>
      </c>
      <c r="F218" t="s">
        <v>674</v>
      </c>
      <c r="G218" t="s">
        <v>1236</v>
      </c>
      <c r="H218" s="2">
        <v>10280</v>
      </c>
      <c r="I218" s="2">
        <v>162</v>
      </c>
      <c r="J218" s="15">
        <v>5.7869999999999999</v>
      </c>
      <c r="K218" s="15">
        <v>4.3440000000000003</v>
      </c>
      <c r="P218" s="2"/>
      <c r="Q218" s="2"/>
      <c r="R218" s="2"/>
      <c r="S218" s="2"/>
      <c r="T218" s="97"/>
      <c r="U218" s="97"/>
      <c r="V218" s="97"/>
      <c r="W218" s="97"/>
      <c r="X218" s="97"/>
      <c r="Y218" s="97"/>
      <c r="AE218" s="2">
        <v>163.1</v>
      </c>
      <c r="AF218" s="2">
        <v>141.6</v>
      </c>
      <c r="AG218" s="2">
        <v>139.69999999999999</v>
      </c>
      <c r="AH218" s="2">
        <v>162</v>
      </c>
      <c r="AI218" s="2" t="s">
        <v>772</v>
      </c>
      <c r="AJ218" s="2">
        <v>165.8</v>
      </c>
      <c r="AK218" s="2" t="s">
        <v>772</v>
      </c>
      <c r="AL218" s="2" t="s">
        <v>772</v>
      </c>
      <c r="AM218" s="19">
        <v>0.1076388888888889</v>
      </c>
      <c r="AN218" s="57">
        <f>(2+(35/60))*AJ218</f>
        <v>428.31666666666672</v>
      </c>
      <c r="AV218" t="s">
        <v>501</v>
      </c>
      <c r="AX218" s="54">
        <v>326</v>
      </c>
      <c r="AY218" s="54">
        <v>347</v>
      </c>
      <c r="AZ218" s="54">
        <v>334</v>
      </c>
      <c r="BA218" s="54">
        <v>313</v>
      </c>
      <c r="BB218" s="54">
        <v>305</v>
      </c>
      <c r="BC218" s="54">
        <v>313</v>
      </c>
      <c r="BD218" s="54">
        <v>339</v>
      </c>
      <c r="BE218" s="54">
        <v>314</v>
      </c>
      <c r="BF218" s="54">
        <v>381</v>
      </c>
      <c r="BG218" s="54">
        <v>369</v>
      </c>
      <c r="BH218" s="54">
        <v>380</v>
      </c>
      <c r="BI218" s="54">
        <v>355</v>
      </c>
      <c r="BJ218" s="54">
        <v>345</v>
      </c>
    </row>
    <row r="219" spans="1:62" ht="12.5" x14ac:dyDescent="0.25">
      <c r="E219" s="138" t="s">
        <v>1597</v>
      </c>
      <c r="K219" s="15"/>
      <c r="P219" s="2"/>
      <c r="Q219" s="2"/>
      <c r="R219" s="2"/>
      <c r="S219" s="2"/>
      <c r="T219" s="97"/>
      <c r="U219" s="97"/>
      <c r="V219" s="97"/>
      <c r="W219" s="97"/>
      <c r="X219" s="97"/>
      <c r="Y219" s="97"/>
      <c r="AE219" s="2"/>
      <c r="AG219" s="2"/>
      <c r="AH219" s="2"/>
      <c r="AI219" s="2"/>
      <c r="AJ219" s="2"/>
      <c r="AK219" s="2"/>
      <c r="AL219" s="2"/>
      <c r="AM219" s="19"/>
      <c r="AN219" s="57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</row>
    <row r="220" spans="1:62" ht="12.5" x14ac:dyDescent="0.25">
      <c r="A220" s="2">
        <v>89</v>
      </c>
      <c r="B220" s="2">
        <v>103</v>
      </c>
      <c r="C220" s="2">
        <v>347</v>
      </c>
      <c r="E220" s="138" t="s">
        <v>104</v>
      </c>
      <c r="F220" t="s">
        <v>681</v>
      </c>
      <c r="H220" s="2">
        <v>5030</v>
      </c>
      <c r="I220" s="2">
        <v>146.9</v>
      </c>
      <c r="J220" s="15">
        <v>5.2460000000000004</v>
      </c>
      <c r="K220" s="15">
        <v>4.1689999999999996</v>
      </c>
      <c r="P220" s="2"/>
      <c r="Q220" s="2"/>
      <c r="R220" s="2"/>
      <c r="S220" s="2"/>
      <c r="T220" s="97"/>
      <c r="U220" s="97"/>
      <c r="V220" s="97"/>
      <c r="W220" s="97"/>
      <c r="X220" s="97"/>
      <c r="Y220" s="97"/>
      <c r="AE220" s="2">
        <v>172.5</v>
      </c>
      <c r="AF220" s="2">
        <v>170.8</v>
      </c>
      <c r="AG220" s="2">
        <v>140.4</v>
      </c>
      <c r="AH220" s="2">
        <v>146.9</v>
      </c>
      <c r="AI220" s="2" t="s">
        <v>772</v>
      </c>
      <c r="AJ220" s="2">
        <v>143.5</v>
      </c>
      <c r="AK220" s="2" t="s">
        <v>772</v>
      </c>
      <c r="AL220" s="2" t="s">
        <v>772</v>
      </c>
      <c r="AM220" s="19">
        <v>8.0555555555555561E-2</v>
      </c>
      <c r="AN220" s="8">
        <f>(1+(56/60))*AJ220</f>
        <v>277.43333333333334</v>
      </c>
    </row>
    <row r="221" spans="1:62" ht="12.5" x14ac:dyDescent="0.25">
      <c r="A221" s="2">
        <v>101</v>
      </c>
      <c r="B221" s="2">
        <v>91</v>
      </c>
      <c r="C221" s="2">
        <v>421</v>
      </c>
      <c r="D221" s="2">
        <v>219</v>
      </c>
      <c r="E221" s="138" t="s">
        <v>67</v>
      </c>
      <c r="F221" t="s">
        <v>525</v>
      </c>
      <c r="H221" s="2">
        <v>171400</v>
      </c>
      <c r="I221" s="2">
        <v>211.5</v>
      </c>
      <c r="J221" s="15">
        <v>7.556</v>
      </c>
      <c r="K221" s="15">
        <v>4.702</v>
      </c>
      <c r="P221" s="2"/>
      <c r="Q221" s="2"/>
      <c r="R221" s="2"/>
      <c r="S221" s="2"/>
      <c r="T221" s="97"/>
      <c r="U221" s="97"/>
      <c r="V221" s="97"/>
      <c r="W221" s="97"/>
      <c r="X221" s="97"/>
      <c r="Y221" s="97"/>
      <c r="AE221" s="2">
        <v>114.7</v>
      </c>
      <c r="AF221" s="2">
        <v>190.1</v>
      </c>
      <c r="AG221" s="2">
        <v>209</v>
      </c>
      <c r="AH221" s="2">
        <v>211.5</v>
      </c>
      <c r="AI221" s="2" t="s">
        <v>772</v>
      </c>
      <c r="AJ221" s="2">
        <v>209.6</v>
      </c>
      <c r="AK221" s="2" t="s">
        <v>772</v>
      </c>
      <c r="AL221" s="2" t="s">
        <v>772</v>
      </c>
      <c r="AM221" s="19">
        <v>0.14305555555555557</v>
      </c>
      <c r="AN221" s="8">
        <f>(3+(26/60))*AJ221</f>
        <v>719.62666666666667</v>
      </c>
      <c r="AX221" s="8">
        <v>80.124294000000006</v>
      </c>
      <c r="AY221" s="8">
        <v>79.022028000000006</v>
      </c>
      <c r="AZ221" s="8">
        <v>80.716860999999994</v>
      </c>
      <c r="BA221" s="8">
        <v>81.878158999999997</v>
      </c>
      <c r="BB221" s="8">
        <v>74.474273999999994</v>
      </c>
      <c r="BC221" s="8">
        <v>76.593495000000004</v>
      </c>
      <c r="BD221" s="8">
        <v>79.399601000000004</v>
      </c>
      <c r="BE221" s="8">
        <v>70.498362999999998</v>
      </c>
      <c r="BF221" s="8">
        <v>70.241204999999994</v>
      </c>
      <c r="BG221" s="8">
        <v>71.382029000000003</v>
      </c>
      <c r="BH221" s="8">
        <v>91.316939000000005</v>
      </c>
      <c r="BI221" s="8">
        <v>81.475021999999996</v>
      </c>
      <c r="BJ221" s="8">
        <v>77.230063999999999</v>
      </c>
    </row>
    <row r="222" spans="1:62" ht="12.5" x14ac:dyDescent="0.25">
      <c r="A222" s="2">
        <v>90</v>
      </c>
      <c r="B222" s="2">
        <v>110</v>
      </c>
      <c r="C222" s="2">
        <v>470</v>
      </c>
      <c r="E222" s="138" t="s">
        <v>189</v>
      </c>
      <c r="F222" t="s">
        <v>549</v>
      </c>
      <c r="G222" t="s">
        <v>1262</v>
      </c>
      <c r="H222" s="2">
        <v>88480</v>
      </c>
      <c r="I222" s="2">
        <v>96.74</v>
      </c>
      <c r="J222" s="15">
        <v>3.4550000000000001</v>
      </c>
      <c r="K222" s="15">
        <v>1.6830000000000001</v>
      </c>
      <c r="P222" s="2"/>
      <c r="Q222" s="2"/>
      <c r="R222" s="2"/>
      <c r="S222" s="2"/>
      <c r="T222" s="97"/>
      <c r="U222" s="97"/>
      <c r="V222" s="97"/>
      <c r="W222" s="97"/>
      <c r="X222" s="97"/>
      <c r="Y222" s="97"/>
      <c r="AE222" s="2">
        <v>120.9</v>
      </c>
      <c r="AF222" s="2">
        <v>74.48</v>
      </c>
      <c r="AG222" s="2">
        <v>77.48</v>
      </c>
      <c r="AH222" s="2">
        <v>96.74</v>
      </c>
      <c r="AI222" s="14" t="s">
        <v>772</v>
      </c>
      <c r="AJ222" s="2">
        <v>88.87</v>
      </c>
      <c r="AK222" s="14" t="s">
        <v>772</v>
      </c>
      <c r="AL222" s="14" t="s">
        <v>772</v>
      </c>
      <c r="AM222" s="19">
        <v>0.20972222222222223</v>
      </c>
      <c r="AN222" s="8">
        <f>(5+(2/60))*AJ222</f>
        <v>447.31233333333336</v>
      </c>
    </row>
    <row r="223" spans="1:62" ht="12.5" x14ac:dyDescent="0.25">
      <c r="E223" s="138" t="s">
        <v>1712</v>
      </c>
      <c r="K223" s="15"/>
      <c r="P223" s="2"/>
      <c r="Q223" s="2"/>
      <c r="R223" s="2"/>
      <c r="S223" s="2"/>
      <c r="T223" s="97"/>
      <c r="U223" s="97"/>
      <c r="V223" s="97"/>
      <c r="W223" s="97"/>
      <c r="X223" s="97"/>
      <c r="Y223" s="97"/>
      <c r="AE223" s="2"/>
      <c r="AG223" s="2"/>
      <c r="AH223" s="2"/>
      <c r="AI223" s="14"/>
      <c r="AJ223" s="2"/>
      <c r="AK223" s="14"/>
      <c r="AL223" s="14"/>
      <c r="AM223" s="19"/>
      <c r="AN223" s="8"/>
    </row>
    <row r="224" spans="1:62" ht="12.5" x14ac:dyDescent="0.25">
      <c r="E224" s="138" t="s">
        <v>1713</v>
      </c>
      <c r="K224" s="15"/>
      <c r="P224" s="2"/>
      <c r="Q224" s="2"/>
      <c r="R224" s="2"/>
      <c r="S224" s="2"/>
      <c r="T224" s="97"/>
      <c r="U224" s="97"/>
      <c r="V224" s="97"/>
      <c r="W224" s="97"/>
      <c r="X224" s="97"/>
      <c r="Y224" s="97"/>
      <c r="AE224" s="2"/>
      <c r="AG224" s="2"/>
      <c r="AH224" s="2"/>
      <c r="AI224" s="14"/>
      <c r="AJ224" s="2"/>
      <c r="AK224" s="14"/>
      <c r="AL224" s="14"/>
      <c r="AM224" s="19"/>
      <c r="AN224" s="8"/>
    </row>
    <row r="225" spans="1:63" ht="12.5" x14ac:dyDescent="0.25">
      <c r="E225" s="138" t="s">
        <v>1714</v>
      </c>
      <c r="K225" s="15"/>
      <c r="P225" s="2"/>
      <c r="Q225" s="2"/>
      <c r="R225" s="2"/>
      <c r="S225" s="2"/>
      <c r="T225" s="97"/>
      <c r="U225" s="97"/>
      <c r="V225" s="97"/>
      <c r="W225" s="97"/>
      <c r="X225" s="97"/>
      <c r="Y225" s="97"/>
      <c r="AE225" s="2"/>
      <c r="AG225" s="2"/>
      <c r="AH225" s="2"/>
      <c r="AI225" s="14"/>
      <c r="AJ225" s="2"/>
      <c r="AK225" s="14"/>
      <c r="AL225" s="14"/>
      <c r="AM225" s="19"/>
      <c r="AN225" s="8"/>
    </row>
    <row r="226" spans="1:63" x14ac:dyDescent="0.3">
      <c r="A226" s="2">
        <v>92</v>
      </c>
      <c r="B226" s="2">
        <v>102</v>
      </c>
      <c r="C226" s="2">
        <v>366</v>
      </c>
      <c r="E226" s="138" t="s">
        <v>125</v>
      </c>
      <c r="F226" t="s">
        <v>689</v>
      </c>
      <c r="H226" s="2">
        <v>191320</v>
      </c>
      <c r="I226" s="2">
        <v>69.39</v>
      </c>
      <c r="J226" s="15">
        <v>2.4780000000000002</v>
      </c>
      <c r="K226" s="15">
        <v>1.8660000000000001</v>
      </c>
      <c r="P226" s="2"/>
      <c r="Q226" s="2"/>
      <c r="R226" s="2"/>
      <c r="S226" s="2"/>
      <c r="T226" s="97"/>
      <c r="U226" s="97"/>
      <c r="V226" s="97"/>
      <c r="W226" s="97"/>
      <c r="X226" s="97"/>
      <c r="Y226" s="97"/>
      <c r="AE226" s="2">
        <v>122.4</v>
      </c>
      <c r="AF226" s="2">
        <v>89.16</v>
      </c>
      <c r="AG226" s="2">
        <v>121</v>
      </c>
      <c r="AH226" s="2">
        <v>69.39</v>
      </c>
      <c r="AI226" s="14" t="s">
        <v>772</v>
      </c>
      <c r="AJ226" s="2">
        <v>60.28</v>
      </c>
      <c r="AK226" s="2" t="s">
        <v>772</v>
      </c>
      <c r="AL226" s="2" t="s">
        <v>772</v>
      </c>
      <c r="AM226" s="19">
        <v>4.5833333333333337E-2</v>
      </c>
      <c r="AN226" s="8">
        <f>(1+(6/60))*AJ226</f>
        <v>66.308000000000007</v>
      </c>
      <c r="AS226" s="5"/>
      <c r="AT226" s="5"/>
      <c r="AU226" s="5"/>
    </row>
    <row r="227" spans="1:63" ht="12.5" x14ac:dyDescent="0.25">
      <c r="A227" s="2">
        <v>93</v>
      </c>
      <c r="B227" s="2">
        <v>83</v>
      </c>
      <c r="C227" s="2">
        <v>352</v>
      </c>
      <c r="E227" t="s">
        <v>137</v>
      </c>
      <c r="F227" t="s">
        <v>558</v>
      </c>
      <c r="G227" t="s">
        <v>1318</v>
      </c>
      <c r="H227" s="2">
        <v>2910</v>
      </c>
      <c r="I227" s="2">
        <v>69.819999999999993</v>
      </c>
      <c r="J227" s="15">
        <v>2.4929999999999999</v>
      </c>
      <c r="K227" s="15">
        <v>2</v>
      </c>
      <c r="P227" s="2"/>
      <c r="Q227" s="2"/>
      <c r="R227" s="2"/>
      <c r="S227" s="2"/>
      <c r="T227" s="97"/>
      <c r="U227" s="97"/>
      <c r="V227" s="97"/>
      <c r="W227" s="97"/>
      <c r="X227" s="97"/>
      <c r="Y227" s="97"/>
      <c r="AE227" s="2">
        <v>62.15</v>
      </c>
      <c r="AF227" s="2">
        <v>69.81</v>
      </c>
      <c r="AG227" s="2">
        <v>69.819999999999993</v>
      </c>
      <c r="AH227" s="2">
        <v>63.23</v>
      </c>
      <c r="AI227" s="14" t="s">
        <v>772</v>
      </c>
      <c r="AJ227" s="2">
        <v>69.09</v>
      </c>
      <c r="AK227" s="14" t="s">
        <v>772</v>
      </c>
      <c r="AL227" s="14" t="s">
        <v>772</v>
      </c>
      <c r="AM227" s="19">
        <v>0.21875</v>
      </c>
      <c r="AN227" s="8">
        <f>(5+(15/60))*AJ227</f>
        <v>362.72250000000003</v>
      </c>
    </row>
    <row r="228" spans="1:63" ht="12.5" x14ac:dyDescent="0.25">
      <c r="A228" s="2">
        <v>94</v>
      </c>
      <c r="B228" s="2">
        <v>111</v>
      </c>
      <c r="C228" s="2">
        <v>342</v>
      </c>
      <c r="E228" s="138" t="s">
        <v>161</v>
      </c>
      <c r="F228" t="s">
        <v>547</v>
      </c>
      <c r="H228" s="2">
        <v>109950</v>
      </c>
      <c r="I228" s="2">
        <v>81.97</v>
      </c>
      <c r="J228" s="15">
        <v>2.927</v>
      </c>
      <c r="K228" s="15">
        <v>2.4039999999999999</v>
      </c>
      <c r="P228" s="2"/>
      <c r="Q228" s="2"/>
      <c r="R228" s="2"/>
      <c r="S228" s="2"/>
      <c r="T228" s="97"/>
      <c r="U228" s="97"/>
      <c r="V228" s="97"/>
      <c r="W228" s="97"/>
      <c r="X228" s="97"/>
      <c r="Y228" s="97"/>
      <c r="AE228" s="2">
        <v>98.31</v>
      </c>
      <c r="AF228" s="2">
        <v>87.94</v>
      </c>
      <c r="AG228" s="2">
        <v>82.39</v>
      </c>
      <c r="AH228" s="2">
        <v>81.97</v>
      </c>
      <c r="AI228" s="14" t="s">
        <v>772</v>
      </c>
      <c r="AJ228" s="2">
        <v>81.77</v>
      </c>
      <c r="AK228" s="14" t="s">
        <v>772</v>
      </c>
      <c r="AL228" s="14" t="s">
        <v>772</v>
      </c>
      <c r="AM228" s="19">
        <v>0.20277777777777781</v>
      </c>
      <c r="AN228" s="8">
        <f>(4+(52/60))*AJ228</f>
        <v>397.94733333333335</v>
      </c>
    </row>
    <row r="229" spans="1:63" ht="12.5" x14ac:dyDescent="0.25">
      <c r="A229" s="2">
        <v>96</v>
      </c>
      <c r="B229" s="2">
        <v>105</v>
      </c>
      <c r="C229" s="2">
        <v>422</v>
      </c>
      <c r="E229" s="138" t="s">
        <v>121</v>
      </c>
      <c r="F229" t="s">
        <v>556</v>
      </c>
      <c r="G229" t="s">
        <v>1279</v>
      </c>
      <c r="H229" s="2">
        <v>15680</v>
      </c>
      <c r="I229" s="2">
        <v>91.59</v>
      </c>
      <c r="J229" s="15">
        <v>3.2709999999999999</v>
      </c>
      <c r="K229" s="15">
        <v>2.6389999999999998</v>
      </c>
      <c r="P229" s="2"/>
      <c r="Q229" s="2"/>
      <c r="R229" s="2"/>
      <c r="S229" s="2"/>
      <c r="T229" s="97"/>
      <c r="U229" s="97"/>
      <c r="V229" s="97"/>
      <c r="W229" s="97"/>
      <c r="X229" s="97"/>
      <c r="Y229" s="97"/>
      <c r="AE229" s="2">
        <v>97.15</v>
      </c>
      <c r="AF229" s="2">
        <v>111.8</v>
      </c>
      <c r="AG229" s="2">
        <v>87.7</v>
      </c>
      <c r="AH229" s="2">
        <v>91.59</v>
      </c>
      <c r="AI229" s="14" t="s">
        <v>772</v>
      </c>
      <c r="AJ229" s="2">
        <v>101.6</v>
      </c>
      <c r="AK229" s="2" t="s">
        <v>772</v>
      </c>
      <c r="AL229" s="2" t="s">
        <v>772</v>
      </c>
      <c r="AM229" s="19">
        <v>0.17430555555555557</v>
      </c>
      <c r="AN229" s="8">
        <f>(4+(11/60))*AJ229</f>
        <v>425.02666666666664</v>
      </c>
    </row>
    <row r="230" spans="1:63" s="3" customFormat="1" x14ac:dyDescent="0.3">
      <c r="A230" s="4">
        <v>99</v>
      </c>
      <c r="B230" s="2">
        <v>97</v>
      </c>
      <c r="C230" s="4">
        <v>405</v>
      </c>
      <c r="D230" s="4">
        <v>740</v>
      </c>
      <c r="E230" s="139" t="s">
        <v>306</v>
      </c>
      <c r="F230" s="3" t="s">
        <v>1243</v>
      </c>
      <c r="H230" s="4">
        <v>108000</v>
      </c>
      <c r="I230" s="4">
        <v>45.8</v>
      </c>
      <c r="J230" s="16">
        <v>1.635</v>
      </c>
      <c r="K230" s="16">
        <v>1.028</v>
      </c>
      <c r="L230" s="4"/>
      <c r="M230" s="9"/>
      <c r="N230" s="9"/>
      <c r="O230" s="9"/>
      <c r="P230" s="4"/>
      <c r="Q230" s="4"/>
      <c r="R230" s="4"/>
      <c r="S230" s="4"/>
      <c r="T230" s="95">
        <v>83.85</v>
      </c>
      <c r="U230" s="95">
        <v>83.19</v>
      </c>
      <c r="V230" s="95">
        <v>87.91</v>
      </c>
      <c r="W230" s="95">
        <v>87.76</v>
      </c>
      <c r="X230" s="95">
        <v>88.27</v>
      </c>
      <c r="Y230" s="95">
        <v>94.94</v>
      </c>
      <c r="Z230" s="9"/>
      <c r="AA230" s="9"/>
      <c r="AB230" s="9"/>
      <c r="AC230" s="9"/>
      <c r="AD230" s="9"/>
      <c r="AE230" s="4">
        <v>81.150000000000006</v>
      </c>
      <c r="AF230" s="4">
        <v>70.430000000000007</v>
      </c>
      <c r="AG230" s="4">
        <v>45.61</v>
      </c>
      <c r="AH230" s="4">
        <v>45.8</v>
      </c>
      <c r="AI230" s="45" t="s">
        <v>772</v>
      </c>
      <c r="AJ230" s="45" t="s">
        <v>772</v>
      </c>
      <c r="AK230" s="45" t="s">
        <v>772</v>
      </c>
      <c r="AL230" s="45" t="s">
        <v>772</v>
      </c>
      <c r="AM230" s="22">
        <v>0.32500000000000001</v>
      </c>
      <c r="AN230" s="46">
        <f>(7+(48/60))*AH230</f>
        <v>357.23999999999995</v>
      </c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</row>
    <row r="231" spans="1:63" ht="12.5" x14ac:dyDescent="0.25">
      <c r="A231" s="2">
        <v>98</v>
      </c>
      <c r="B231" s="2">
        <v>78</v>
      </c>
      <c r="C231" s="2">
        <v>315</v>
      </c>
      <c r="E231" s="138" t="s">
        <v>135</v>
      </c>
      <c r="F231" t="s">
        <v>557</v>
      </c>
      <c r="H231" s="2">
        <v>87920</v>
      </c>
      <c r="I231" s="2">
        <v>91.11</v>
      </c>
      <c r="J231" s="15">
        <v>3.254</v>
      </c>
      <c r="K231" s="15">
        <v>2.714</v>
      </c>
      <c r="P231" s="2"/>
      <c r="Q231" s="2"/>
      <c r="R231" s="2"/>
      <c r="S231" s="2"/>
      <c r="AE231" s="2">
        <v>79.89</v>
      </c>
      <c r="AF231" s="2">
        <v>80.959999999999994</v>
      </c>
      <c r="AG231" s="2">
        <v>91.11</v>
      </c>
      <c r="AH231" s="2">
        <v>68.11</v>
      </c>
      <c r="AI231" s="14" t="s">
        <v>772</v>
      </c>
      <c r="AJ231" s="2">
        <v>67.12</v>
      </c>
      <c r="AK231" s="14" t="s">
        <v>772</v>
      </c>
      <c r="AL231" s="14" t="s">
        <v>772</v>
      </c>
      <c r="AM231" s="19">
        <v>0.14305555555555557</v>
      </c>
      <c r="AN231" s="8">
        <f>(3+(26/60))*AJ231</f>
        <v>230.44533333333337</v>
      </c>
      <c r="AX231" s="8">
        <v>121.358643</v>
      </c>
      <c r="AY231" s="8">
        <v>122.158323</v>
      </c>
      <c r="AZ231" s="8">
        <v>123.050037</v>
      </c>
      <c r="BA231" s="8">
        <v>130.00998000000001</v>
      </c>
      <c r="BB231" s="8">
        <v>112.829432</v>
      </c>
      <c r="BC231" s="8">
        <v>86.654787999999996</v>
      </c>
      <c r="BD231" s="8">
        <v>80.452219999999997</v>
      </c>
      <c r="BE231" s="8">
        <v>84.192243000000005</v>
      </c>
      <c r="BF231" s="8">
        <v>96.508593000000005</v>
      </c>
      <c r="BG231" s="8">
        <v>106.220119</v>
      </c>
      <c r="BH231" s="8">
        <v>115.40329699999999</v>
      </c>
      <c r="BI231" s="8">
        <v>99.194010000000006</v>
      </c>
      <c r="BJ231" s="8">
        <v>107.733481</v>
      </c>
    </row>
    <row r="232" spans="1:63" ht="12.5" x14ac:dyDescent="0.25">
      <c r="A232" s="2">
        <v>100</v>
      </c>
      <c r="B232" s="2">
        <v>8</v>
      </c>
      <c r="C232" s="2">
        <v>34</v>
      </c>
      <c r="E232" t="s">
        <v>1222</v>
      </c>
      <c r="F232" t="s">
        <v>533</v>
      </c>
      <c r="H232" s="2">
        <v>30480</v>
      </c>
      <c r="I232" s="2">
        <v>835.3</v>
      </c>
      <c r="J232" s="15">
        <v>29.72</v>
      </c>
      <c r="K232" s="15">
        <v>15.38</v>
      </c>
      <c r="P232" s="2"/>
      <c r="Q232" s="2"/>
      <c r="R232" s="2"/>
      <c r="S232" s="2"/>
      <c r="AE232" s="2">
        <v>256.3</v>
      </c>
      <c r="AF232" s="2">
        <v>1077</v>
      </c>
      <c r="AG232" s="2">
        <v>929.6</v>
      </c>
      <c r="AH232" s="2">
        <v>832.3</v>
      </c>
      <c r="AI232" s="14" t="s">
        <v>772</v>
      </c>
      <c r="AJ232" s="2" t="s">
        <v>772</v>
      </c>
      <c r="AK232" s="2" t="s">
        <v>772</v>
      </c>
      <c r="AL232" s="2" t="s">
        <v>772</v>
      </c>
      <c r="AM232" s="19">
        <v>0.24444444444444446</v>
      </c>
      <c r="AN232" s="8">
        <f>(5+(52/60)*AH232)</f>
        <v>726.3266666666666</v>
      </c>
      <c r="AX232" s="8">
        <v>97.053492000000006</v>
      </c>
      <c r="AY232" s="8">
        <v>101.972375</v>
      </c>
      <c r="AZ232" s="8">
        <v>98.915245999999996</v>
      </c>
      <c r="BA232" s="8">
        <v>96.324033</v>
      </c>
      <c r="BB232" s="8">
        <v>95.450507000000002</v>
      </c>
      <c r="BC232" s="8">
        <v>83.932011000000003</v>
      </c>
      <c r="BD232" s="8">
        <v>91.936893999999995</v>
      </c>
      <c r="BE232" s="8">
        <v>107.078659</v>
      </c>
      <c r="BF232" s="8">
        <v>51.331536999999997</v>
      </c>
      <c r="BG232" s="8">
        <v>4.2054010000000002</v>
      </c>
      <c r="BH232" s="2"/>
      <c r="BI232" s="2"/>
      <c r="BJ232" s="2"/>
    </row>
    <row r="233" spans="1:63" ht="12.5" x14ac:dyDescent="0.25">
      <c r="A233" s="2">
        <v>101</v>
      </c>
      <c r="B233" s="2">
        <v>107</v>
      </c>
      <c r="C233" s="2">
        <v>129</v>
      </c>
      <c r="E233" s="138" t="s">
        <v>98</v>
      </c>
      <c r="F233" t="s">
        <v>6</v>
      </c>
      <c r="G233" t="s">
        <v>1236</v>
      </c>
      <c r="H233" s="2">
        <v>1000</v>
      </c>
      <c r="I233" s="2">
        <v>385.6</v>
      </c>
      <c r="J233" s="15">
        <v>13.77</v>
      </c>
      <c r="K233" s="15">
        <v>7.7549999999999999</v>
      </c>
      <c r="N233" s="1" t="s">
        <v>16</v>
      </c>
      <c r="P233" s="2"/>
      <c r="Q233" s="2"/>
      <c r="R233" s="2"/>
      <c r="S233" s="2"/>
      <c r="AE233" s="2">
        <v>305.8</v>
      </c>
      <c r="AF233" s="2">
        <v>346.4</v>
      </c>
      <c r="AG233" s="2">
        <v>372</v>
      </c>
      <c r="AH233" s="2">
        <v>385.6</v>
      </c>
      <c r="AI233" s="2" t="s">
        <v>772</v>
      </c>
      <c r="AJ233" s="2">
        <v>397</v>
      </c>
      <c r="AK233" s="2" t="s">
        <v>772</v>
      </c>
      <c r="AL233" s="2" t="s">
        <v>772</v>
      </c>
      <c r="AM233" s="19">
        <v>0.18402777777777779</v>
      </c>
      <c r="AN233" s="57">
        <f>(4+(25/60))*AJ233</f>
        <v>1753.4166666666667</v>
      </c>
      <c r="AX233" s="1">
        <v>795</v>
      </c>
      <c r="AY233" s="1">
        <v>795</v>
      </c>
      <c r="AZ233" s="1">
        <v>797</v>
      </c>
      <c r="BA233" s="1">
        <v>781</v>
      </c>
      <c r="BB233" s="1">
        <v>800</v>
      </c>
      <c r="BC233" s="1">
        <v>770</v>
      </c>
      <c r="BD233" s="1">
        <v>879</v>
      </c>
      <c r="BE233" s="1">
        <v>865</v>
      </c>
      <c r="BF233" s="1">
        <v>974</v>
      </c>
      <c r="BG233" s="1">
        <v>987</v>
      </c>
      <c r="BH233" s="1">
        <v>971</v>
      </c>
      <c r="BI233" s="1">
        <v>982</v>
      </c>
      <c r="BJ233" s="1">
        <v>1095</v>
      </c>
    </row>
    <row r="234" spans="1:63" ht="12.5" x14ac:dyDescent="0.25">
      <c r="E234" s="138" t="s">
        <v>1634</v>
      </c>
      <c r="K234" s="15"/>
      <c r="P234" s="2"/>
      <c r="Q234" s="2"/>
      <c r="R234" s="2"/>
      <c r="S234" s="2"/>
      <c r="AE234" s="2"/>
      <c r="AG234" s="2"/>
      <c r="AH234" s="2"/>
      <c r="AI234" s="2"/>
      <c r="AJ234" s="2"/>
      <c r="AK234" s="2"/>
      <c r="AL234" s="2"/>
      <c r="AM234" s="19"/>
      <c r="AN234" s="57"/>
    </row>
    <row r="235" spans="1:63" ht="12.5" x14ac:dyDescent="0.25">
      <c r="E235" s="138" t="s">
        <v>1635</v>
      </c>
      <c r="K235" s="15"/>
      <c r="P235" s="2"/>
      <c r="Q235" s="2"/>
      <c r="R235" s="2"/>
      <c r="S235" s="2"/>
      <c r="AE235" s="2"/>
      <c r="AG235" s="2"/>
      <c r="AH235" s="2"/>
      <c r="AI235" s="2"/>
      <c r="AJ235" s="2"/>
      <c r="AK235" s="2"/>
      <c r="AL235" s="2"/>
      <c r="AM235" s="19"/>
      <c r="AN235" s="57"/>
    </row>
    <row r="236" spans="1:63" ht="12.5" x14ac:dyDescent="0.25">
      <c r="E236" s="138" t="s">
        <v>1676</v>
      </c>
      <c r="K236" s="15"/>
      <c r="P236" s="2"/>
      <c r="Q236" s="2"/>
      <c r="R236" s="2"/>
      <c r="S236" s="2"/>
      <c r="AE236" s="2"/>
      <c r="AG236" s="2"/>
      <c r="AH236" s="2"/>
      <c r="AI236" s="2"/>
      <c r="AJ236" s="2"/>
      <c r="AK236" s="2"/>
      <c r="AL236" s="2"/>
      <c r="AM236" s="19"/>
      <c r="AN236" s="57"/>
    </row>
    <row r="237" spans="1:63" ht="12.5" x14ac:dyDescent="0.25">
      <c r="E237" s="138" t="s">
        <v>1677</v>
      </c>
      <c r="K237" s="15"/>
      <c r="P237" s="2"/>
      <c r="Q237" s="2"/>
      <c r="R237" s="2"/>
      <c r="S237" s="2"/>
      <c r="AE237" s="2"/>
      <c r="AG237" s="2"/>
      <c r="AH237" s="2"/>
      <c r="AI237" s="2"/>
      <c r="AJ237" s="2"/>
      <c r="AK237" s="2"/>
      <c r="AL237" s="2"/>
      <c r="AM237" s="19"/>
      <c r="AN237" s="57"/>
    </row>
    <row r="238" spans="1:63" ht="12.5" x14ac:dyDescent="0.25">
      <c r="E238" s="138" t="s">
        <v>1636</v>
      </c>
      <c r="K238" s="15"/>
      <c r="P238" s="2"/>
      <c r="Q238" s="2"/>
      <c r="R238" s="2"/>
      <c r="S238" s="2"/>
      <c r="AE238" s="2"/>
      <c r="AG238" s="2"/>
      <c r="AH238" s="2"/>
      <c r="AI238" s="2"/>
      <c r="AJ238" s="2"/>
      <c r="AK238" s="2"/>
      <c r="AL238" s="2"/>
      <c r="AM238" s="19"/>
      <c r="AN238" s="57"/>
    </row>
    <row r="239" spans="1:63" ht="12.5" x14ac:dyDescent="0.25">
      <c r="E239" s="138" t="s">
        <v>1637</v>
      </c>
      <c r="K239" s="15"/>
      <c r="P239" s="2"/>
      <c r="Q239" s="2"/>
      <c r="R239" s="2"/>
      <c r="S239" s="2"/>
      <c r="AE239" s="2"/>
      <c r="AG239" s="2"/>
      <c r="AH239" s="2"/>
      <c r="AI239" s="2"/>
      <c r="AJ239" s="2"/>
      <c r="AK239" s="2"/>
      <c r="AL239" s="2"/>
      <c r="AM239" s="19"/>
      <c r="AN239" s="57"/>
    </row>
    <row r="240" spans="1:63" ht="12.5" x14ac:dyDescent="0.25">
      <c r="E240" s="138" t="s">
        <v>1638</v>
      </c>
      <c r="K240" s="15"/>
      <c r="P240" s="2"/>
      <c r="Q240" s="2"/>
      <c r="R240" s="2"/>
      <c r="S240" s="2"/>
      <c r="AE240" s="2"/>
      <c r="AG240" s="2"/>
      <c r="AH240" s="2"/>
      <c r="AI240" s="2"/>
      <c r="AJ240" s="2"/>
      <c r="AK240" s="2"/>
      <c r="AL240" s="2"/>
      <c r="AM240" s="19"/>
      <c r="AN240" s="57"/>
    </row>
    <row r="241" spans="1:62" ht="12.5" x14ac:dyDescent="0.25">
      <c r="E241" s="138" t="s">
        <v>1639</v>
      </c>
      <c r="K241" s="15"/>
      <c r="P241" s="2"/>
      <c r="Q241" s="2"/>
      <c r="R241" s="2"/>
      <c r="S241" s="2"/>
      <c r="AE241" s="2"/>
      <c r="AG241" s="2"/>
      <c r="AH241" s="2"/>
      <c r="AI241" s="2"/>
      <c r="AJ241" s="2"/>
      <c r="AK241" s="2"/>
      <c r="AL241" s="2"/>
      <c r="AM241" s="19"/>
      <c r="AN241" s="57"/>
    </row>
    <row r="242" spans="1:62" ht="12.5" x14ac:dyDescent="0.25">
      <c r="E242" s="138" t="s">
        <v>1640</v>
      </c>
      <c r="K242" s="15"/>
      <c r="P242" s="2"/>
      <c r="Q242" s="2"/>
      <c r="R242" s="2"/>
      <c r="S242" s="2"/>
      <c r="AE242" s="2"/>
      <c r="AG242" s="2"/>
      <c r="AH242" s="2"/>
      <c r="AI242" s="2"/>
      <c r="AJ242" s="2"/>
      <c r="AK242" s="2"/>
      <c r="AL242" s="2"/>
      <c r="AM242" s="19"/>
      <c r="AN242" s="57"/>
    </row>
    <row r="243" spans="1:62" ht="12.5" x14ac:dyDescent="0.25">
      <c r="E243" s="138" t="s">
        <v>1641</v>
      </c>
      <c r="K243" s="15"/>
      <c r="P243" s="2"/>
      <c r="Q243" s="2"/>
      <c r="R243" s="2"/>
      <c r="S243" s="2"/>
      <c r="AE243" s="2"/>
      <c r="AG243" s="2"/>
      <c r="AH243" s="2"/>
      <c r="AI243" s="2"/>
      <c r="AJ243" s="2"/>
      <c r="AK243" s="2"/>
      <c r="AL243" s="2"/>
      <c r="AM243" s="19"/>
      <c r="AN243" s="57"/>
    </row>
    <row r="244" spans="1:62" ht="12.5" x14ac:dyDescent="0.25">
      <c r="E244" s="138" t="s">
        <v>1642</v>
      </c>
      <c r="K244" s="15"/>
      <c r="P244" s="2"/>
      <c r="Q244" s="2"/>
      <c r="R244" s="2"/>
      <c r="S244" s="2"/>
      <c r="AE244" s="2"/>
      <c r="AG244" s="2"/>
      <c r="AH244" s="2"/>
      <c r="AI244" s="2"/>
      <c r="AJ244" s="2"/>
      <c r="AK244" s="2"/>
      <c r="AL244" s="2"/>
      <c r="AM244" s="19"/>
      <c r="AN244" s="57"/>
    </row>
    <row r="245" spans="1:62" ht="12.5" x14ac:dyDescent="0.25">
      <c r="A245" s="2">
        <v>172</v>
      </c>
      <c r="B245" s="2">
        <v>102</v>
      </c>
      <c r="C245" s="2">
        <v>289</v>
      </c>
      <c r="E245" t="s">
        <v>1342</v>
      </c>
      <c r="F245" t="s">
        <v>695</v>
      </c>
      <c r="H245" s="2">
        <v>0</v>
      </c>
      <c r="K245" s="15"/>
      <c r="P245" s="2"/>
      <c r="Q245" s="2"/>
      <c r="R245" s="2"/>
      <c r="S245" s="2"/>
      <c r="AE245" s="2">
        <v>164.6</v>
      </c>
      <c r="AF245" s="2" t="s">
        <v>772</v>
      </c>
      <c r="AG245" s="2" t="s">
        <v>772</v>
      </c>
      <c r="AH245" s="2" t="s">
        <v>772</v>
      </c>
      <c r="AI245" s="2" t="s">
        <v>772</v>
      </c>
      <c r="AJ245" s="2" t="s">
        <v>772</v>
      </c>
      <c r="AK245" s="2" t="s">
        <v>772</v>
      </c>
      <c r="AL245" s="2" t="s">
        <v>772</v>
      </c>
      <c r="AM245" s="19">
        <v>0.20833333333333334</v>
      </c>
      <c r="AN245" s="57">
        <f>(5+(0/60))*AE245</f>
        <v>823</v>
      </c>
    </row>
    <row r="246" spans="1:62" ht="12.5" x14ac:dyDescent="0.25">
      <c r="A246" s="2">
        <v>104</v>
      </c>
      <c r="B246" s="2">
        <v>106</v>
      </c>
      <c r="C246" s="2">
        <v>306</v>
      </c>
      <c r="E246" s="138" t="s">
        <v>116</v>
      </c>
      <c r="F246" t="s">
        <v>554</v>
      </c>
      <c r="H246" s="2">
        <v>12330</v>
      </c>
      <c r="I246" s="2">
        <v>134.19999999999999</v>
      </c>
      <c r="J246" s="15">
        <v>4.7949999999999999</v>
      </c>
      <c r="K246" s="15">
        <v>2.6760000000000002</v>
      </c>
      <c r="P246" s="2"/>
      <c r="Q246" s="2"/>
      <c r="R246" s="2"/>
      <c r="S246" s="2"/>
      <c r="AE246" s="2">
        <v>146.4</v>
      </c>
      <c r="AF246" s="2">
        <v>113.8</v>
      </c>
      <c r="AG246" s="2">
        <v>142.69999999999999</v>
      </c>
      <c r="AH246" s="2">
        <v>134.19999999999999</v>
      </c>
      <c r="AI246" s="14" t="s">
        <v>772</v>
      </c>
      <c r="AJ246" s="2">
        <v>122.4</v>
      </c>
      <c r="AK246" s="2" t="s">
        <v>772</v>
      </c>
      <c r="AL246" s="2" t="s">
        <v>772</v>
      </c>
      <c r="AM246" s="19">
        <v>0.15625</v>
      </c>
      <c r="AN246" s="8">
        <f>(3+(45/60))*AJ246</f>
        <v>459</v>
      </c>
      <c r="AX246" s="8">
        <v>179.57813400000001</v>
      </c>
      <c r="AY246" s="8">
        <v>176.32757100000001</v>
      </c>
      <c r="AZ246" s="8">
        <v>180.422067</v>
      </c>
      <c r="BA246" s="8">
        <v>182.77253899999999</v>
      </c>
      <c r="BB246" s="8">
        <v>173.460284</v>
      </c>
      <c r="BC246" s="8">
        <v>168.02794800000001</v>
      </c>
      <c r="BD246" s="8">
        <v>166.56506400000001</v>
      </c>
      <c r="BE246" s="8">
        <v>168.72059899999999</v>
      </c>
      <c r="BF246" s="8">
        <v>184.939336</v>
      </c>
      <c r="BG246" s="8">
        <v>182.33801700000001</v>
      </c>
      <c r="BH246" s="8">
        <v>199.25774799999999</v>
      </c>
      <c r="BI246" s="8">
        <v>185.48449400000001</v>
      </c>
      <c r="BJ246" s="8">
        <v>191.64776800000001</v>
      </c>
    </row>
    <row r="247" spans="1:62" ht="12.5" x14ac:dyDescent="0.25">
      <c r="A247" s="2">
        <v>106</v>
      </c>
      <c r="B247" s="2">
        <v>95</v>
      </c>
      <c r="C247" s="2">
        <v>115</v>
      </c>
      <c r="E247" s="138" t="s">
        <v>131</v>
      </c>
      <c r="F247" t="s">
        <v>6</v>
      </c>
      <c r="G247" t="s">
        <v>1318</v>
      </c>
      <c r="H247" s="2">
        <v>64000</v>
      </c>
      <c r="I247" s="2">
        <v>217</v>
      </c>
      <c r="J247" s="15">
        <v>7.7519999999999998</v>
      </c>
      <c r="K247" s="15">
        <v>5.9859999999999998</v>
      </c>
      <c r="P247" s="2"/>
      <c r="Q247" s="2"/>
      <c r="R247" s="2"/>
      <c r="S247" s="2"/>
      <c r="AE247" s="2">
        <v>187.5</v>
      </c>
      <c r="AF247" s="2">
        <v>148.19999999999999</v>
      </c>
      <c r="AG247" s="2">
        <v>196.3</v>
      </c>
      <c r="AH247" s="2">
        <v>217</v>
      </c>
      <c r="AI247" s="14" t="s">
        <v>772</v>
      </c>
      <c r="AJ247" s="2">
        <v>229.6</v>
      </c>
      <c r="AK247" s="2" t="s">
        <v>772</v>
      </c>
      <c r="AL247" s="2" t="s">
        <v>772</v>
      </c>
      <c r="AM247" s="19">
        <v>0.31388888888888888</v>
      </c>
      <c r="AN247" s="8">
        <f>(7+(32/60))*AJ247</f>
        <v>1729.6533333333332</v>
      </c>
      <c r="AX247" s="8">
        <v>215.03395399999999</v>
      </c>
      <c r="AY247" s="8">
        <v>178.64958899999999</v>
      </c>
      <c r="AZ247" s="8">
        <v>225.96984399999999</v>
      </c>
      <c r="BA247" s="8">
        <v>200.068085</v>
      </c>
      <c r="BB247" s="8">
        <v>186.96009100000001</v>
      </c>
      <c r="BC247" s="8">
        <v>189.323296</v>
      </c>
      <c r="BD247" s="8">
        <v>226.45612499999999</v>
      </c>
      <c r="BE247" s="8">
        <v>271.475143</v>
      </c>
      <c r="BF247" s="8">
        <v>276.86228799999998</v>
      </c>
      <c r="BG247" s="8">
        <v>242.73708099999999</v>
      </c>
      <c r="BH247" s="8">
        <v>253.793161</v>
      </c>
      <c r="BI247" s="8">
        <v>200.45792299999999</v>
      </c>
      <c r="BJ247" s="8">
        <v>203.828779</v>
      </c>
    </row>
    <row r="248" spans="1:62" ht="12.5" x14ac:dyDescent="0.25">
      <c r="E248" s="138" t="s">
        <v>1573</v>
      </c>
      <c r="K248" s="15"/>
      <c r="P248" s="2"/>
      <c r="Q248" s="2"/>
      <c r="R248" s="2"/>
      <c r="S248" s="2"/>
      <c r="AE248" s="2"/>
      <c r="AG248" s="2"/>
      <c r="AH248" s="2"/>
      <c r="AI248" s="14"/>
      <c r="AJ248" s="2"/>
      <c r="AK248" s="2"/>
      <c r="AL248" s="2"/>
      <c r="AM248" s="19"/>
      <c r="AN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</row>
    <row r="249" spans="1:62" ht="12.5" x14ac:dyDescent="0.25">
      <c r="E249" s="138" t="s">
        <v>1590</v>
      </c>
      <c r="K249" s="15"/>
      <c r="P249" s="2"/>
      <c r="Q249" s="2"/>
      <c r="R249" s="2"/>
      <c r="S249" s="2"/>
      <c r="AE249" s="2"/>
      <c r="AG249" s="2"/>
      <c r="AH249" s="2"/>
      <c r="AI249" s="14"/>
      <c r="AJ249" s="2"/>
      <c r="AK249" s="2"/>
      <c r="AL249" s="2"/>
      <c r="AM249" s="19"/>
      <c r="AN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</row>
    <row r="250" spans="1:62" ht="12.5" x14ac:dyDescent="0.25">
      <c r="E250" s="138" t="s">
        <v>1591</v>
      </c>
      <c r="K250" s="15"/>
      <c r="P250" s="2"/>
      <c r="Q250" s="2"/>
      <c r="R250" s="2"/>
      <c r="S250" s="2"/>
      <c r="AE250" s="2"/>
      <c r="AG250" s="2"/>
      <c r="AH250" s="2"/>
      <c r="AI250" s="14"/>
      <c r="AJ250" s="2"/>
      <c r="AK250" s="2"/>
      <c r="AL250" s="2"/>
      <c r="AM250" s="19"/>
      <c r="AN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</row>
    <row r="251" spans="1:62" ht="12.5" x14ac:dyDescent="0.25">
      <c r="E251" s="138" t="s">
        <v>1746</v>
      </c>
      <c r="K251" s="15"/>
      <c r="P251" s="2"/>
      <c r="Q251" s="2"/>
      <c r="R251" s="2"/>
      <c r="S251" s="2"/>
      <c r="AE251" s="2"/>
      <c r="AG251" s="2"/>
      <c r="AH251" s="2"/>
      <c r="AI251" s="14"/>
      <c r="AJ251" s="2"/>
      <c r="AK251" s="2"/>
      <c r="AL251" s="2"/>
      <c r="AM251" s="19"/>
      <c r="AN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</row>
    <row r="252" spans="1:62" ht="12.5" x14ac:dyDescent="0.25">
      <c r="E252" s="138" t="s">
        <v>1740</v>
      </c>
      <c r="K252" s="15"/>
      <c r="P252" s="2"/>
      <c r="Q252" s="2"/>
      <c r="R252" s="2"/>
      <c r="S252" s="2"/>
      <c r="AE252" s="2"/>
      <c r="AG252" s="2"/>
      <c r="AH252" s="2"/>
      <c r="AI252" s="14"/>
      <c r="AJ252" s="2"/>
      <c r="AK252" s="2"/>
      <c r="AL252" s="2"/>
      <c r="AM252" s="19"/>
      <c r="AN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</row>
    <row r="253" spans="1:62" ht="12.5" x14ac:dyDescent="0.25">
      <c r="E253" s="138" t="s">
        <v>1739</v>
      </c>
      <c r="K253" s="15"/>
      <c r="P253" s="2"/>
      <c r="Q253" s="2"/>
      <c r="R253" s="2"/>
      <c r="S253" s="2"/>
      <c r="AE253" s="2"/>
      <c r="AG253" s="2"/>
      <c r="AH253" s="2"/>
      <c r="AI253" s="14"/>
      <c r="AJ253" s="2"/>
      <c r="AK253" s="2"/>
      <c r="AL253" s="2"/>
      <c r="AM253" s="19"/>
      <c r="AN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</row>
    <row r="254" spans="1:62" ht="12.5" x14ac:dyDescent="0.25">
      <c r="E254" s="138" t="s">
        <v>1656</v>
      </c>
      <c r="K254" s="15"/>
      <c r="P254" s="2"/>
      <c r="Q254" s="2"/>
      <c r="R254" s="2"/>
      <c r="S254" s="2"/>
      <c r="AE254" s="2"/>
      <c r="AG254" s="2"/>
      <c r="AH254" s="2"/>
      <c r="AI254" s="14"/>
      <c r="AJ254" s="2"/>
      <c r="AK254" s="2"/>
      <c r="AL254" s="2"/>
      <c r="AM254" s="19"/>
      <c r="AN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</row>
    <row r="255" spans="1:62" ht="12.5" x14ac:dyDescent="0.25">
      <c r="E255" s="138" t="s">
        <v>1694</v>
      </c>
      <c r="K255" s="15"/>
      <c r="P255" s="2"/>
      <c r="Q255" s="2"/>
      <c r="R255" s="2"/>
      <c r="S255" s="2"/>
      <c r="AE255" s="2"/>
      <c r="AG255" s="2"/>
      <c r="AH255" s="2"/>
      <c r="AI255" s="14"/>
      <c r="AJ255" s="2"/>
      <c r="AK255" s="2"/>
      <c r="AL255" s="2"/>
      <c r="AM255" s="19"/>
      <c r="AN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</row>
    <row r="256" spans="1:62" ht="12.5" x14ac:dyDescent="0.25">
      <c r="A256" s="2">
        <v>108</v>
      </c>
      <c r="B256" s="2">
        <v>114</v>
      </c>
      <c r="C256" s="2">
        <v>216</v>
      </c>
      <c r="E256" s="138" t="s">
        <v>152</v>
      </c>
      <c r="F256" t="s">
        <v>563</v>
      </c>
      <c r="H256" s="2">
        <v>197580</v>
      </c>
      <c r="I256" s="2">
        <v>117</v>
      </c>
      <c r="J256" s="15">
        <v>4.1790000000000003</v>
      </c>
      <c r="K256" s="15">
        <v>1.93</v>
      </c>
      <c r="P256" s="2"/>
      <c r="Q256" s="2"/>
      <c r="R256" s="2"/>
      <c r="S256" s="2"/>
      <c r="AE256" s="2">
        <v>133.5</v>
      </c>
      <c r="AF256" s="2">
        <v>83.45</v>
      </c>
      <c r="AG256" s="2">
        <v>107.9</v>
      </c>
      <c r="AH256" s="2">
        <v>117</v>
      </c>
      <c r="AI256" s="14" t="s">
        <v>772</v>
      </c>
      <c r="AJ256" s="2">
        <v>116.7</v>
      </c>
      <c r="AK256" s="14" t="s">
        <v>772</v>
      </c>
      <c r="AL256" s="14" t="s">
        <v>772</v>
      </c>
      <c r="AM256" s="19">
        <v>0.74444444444444446</v>
      </c>
      <c r="AN256" s="8">
        <f>(17+(52/60))*AJ256</f>
        <v>2085.04</v>
      </c>
      <c r="AX256" s="8">
        <v>97.972807000000003</v>
      </c>
      <c r="AY256" s="8">
        <v>93.468960999999993</v>
      </c>
      <c r="AZ256" s="8">
        <v>90.149010000000004</v>
      </c>
      <c r="BA256" s="8">
        <v>105.386562</v>
      </c>
      <c r="BB256" s="8">
        <v>112.572558</v>
      </c>
      <c r="BC256" s="8">
        <v>118.011607</v>
      </c>
      <c r="BD256" s="8">
        <v>121.001616</v>
      </c>
      <c r="BE256" s="8">
        <v>130.96588800000001</v>
      </c>
      <c r="BF256" s="8">
        <v>141.65188599999999</v>
      </c>
      <c r="BG256" s="8">
        <v>140.364499</v>
      </c>
      <c r="BH256" s="8">
        <v>152.82569799999999</v>
      </c>
      <c r="BI256" s="8">
        <v>150.339483</v>
      </c>
      <c r="BJ256" s="8">
        <v>186.78333799999999</v>
      </c>
    </row>
    <row r="257" spans="1:63" ht="12.5" x14ac:dyDescent="0.25">
      <c r="A257" s="2">
        <v>109</v>
      </c>
      <c r="B257" s="2">
        <v>87</v>
      </c>
      <c r="C257" s="2">
        <v>322</v>
      </c>
      <c r="E257" s="138" t="s">
        <v>111</v>
      </c>
      <c r="F257" t="s">
        <v>682</v>
      </c>
      <c r="H257" s="2">
        <v>17970</v>
      </c>
      <c r="I257" s="2">
        <v>116.3</v>
      </c>
      <c r="J257" s="15">
        <v>4.1550000000000002</v>
      </c>
      <c r="K257" s="15">
        <v>3.4620000000000002</v>
      </c>
      <c r="P257" s="2"/>
      <c r="Q257" s="2"/>
      <c r="R257" s="2"/>
      <c r="S257" s="2"/>
      <c r="AE257" s="2">
        <v>90.49</v>
      </c>
      <c r="AF257" s="2">
        <v>85.63</v>
      </c>
      <c r="AG257" s="2">
        <v>115.1</v>
      </c>
      <c r="AH257" s="2">
        <v>116.3</v>
      </c>
      <c r="AI257" s="14" t="s">
        <v>772</v>
      </c>
      <c r="AJ257" s="2">
        <v>99.1</v>
      </c>
      <c r="AK257" s="2" t="s">
        <v>772</v>
      </c>
      <c r="AL257" s="2" t="s">
        <v>772</v>
      </c>
      <c r="AM257" s="19">
        <v>0.12986111111111112</v>
      </c>
      <c r="AN257" s="8">
        <f>(3+(7/60))*AJ257</f>
        <v>308.86166666666668</v>
      </c>
      <c r="AX257" s="8">
        <v>137.09609</v>
      </c>
      <c r="AY257" s="8">
        <v>113.56272800000001</v>
      </c>
      <c r="AZ257" s="8">
        <v>137.163149</v>
      </c>
      <c r="BA257" s="8">
        <v>135.85758200000001</v>
      </c>
      <c r="BB257" s="8">
        <v>142.45541499999999</v>
      </c>
      <c r="BC257" s="8">
        <v>136.10682299999999</v>
      </c>
      <c r="BD257" s="8">
        <v>124.612246</v>
      </c>
      <c r="BE257" s="8">
        <v>129.278693</v>
      </c>
      <c r="BF257" s="8">
        <v>141.47256400000001</v>
      </c>
      <c r="BG257" s="8">
        <v>141.13672199999999</v>
      </c>
      <c r="BH257" s="8">
        <v>162.19826599999999</v>
      </c>
      <c r="BI257" s="8">
        <v>125.57170000000001</v>
      </c>
      <c r="BJ257" s="8">
        <v>106.977389</v>
      </c>
    </row>
    <row r="258" spans="1:63" ht="12.5" x14ac:dyDescent="0.25">
      <c r="E258" s="138" t="s">
        <v>1670</v>
      </c>
      <c r="K258" s="15"/>
      <c r="P258" s="2"/>
      <c r="Q258" s="2"/>
      <c r="R258" s="2"/>
      <c r="S258" s="2"/>
      <c r="AE258" s="2"/>
      <c r="AG258" s="2"/>
      <c r="AH258" s="2"/>
      <c r="AI258" s="14"/>
      <c r="AJ258" s="2"/>
      <c r="AK258" s="2"/>
      <c r="AL258" s="2"/>
      <c r="AM258" s="19"/>
      <c r="AN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</row>
    <row r="259" spans="1:63" ht="12.5" x14ac:dyDescent="0.25">
      <c r="A259" s="2">
        <v>110</v>
      </c>
      <c r="B259" s="2">
        <v>124</v>
      </c>
      <c r="C259" s="2">
        <v>560</v>
      </c>
      <c r="E259" t="s">
        <v>260</v>
      </c>
      <c r="I259" s="2">
        <v>32.54</v>
      </c>
      <c r="J259" s="15">
        <v>1.1619999999999999</v>
      </c>
      <c r="K259" s="15">
        <v>0.63816600000000001</v>
      </c>
      <c r="P259" s="2"/>
      <c r="Q259" s="2"/>
      <c r="R259" s="2"/>
      <c r="S259" s="2"/>
      <c r="AE259" s="2">
        <v>33.15</v>
      </c>
      <c r="AF259" s="2">
        <v>33.5</v>
      </c>
      <c r="AG259" s="2">
        <v>30.7</v>
      </c>
      <c r="AH259" s="2">
        <v>32.54</v>
      </c>
      <c r="AI259" s="14" t="s">
        <v>772</v>
      </c>
      <c r="AJ259" s="14" t="s">
        <v>772</v>
      </c>
      <c r="AK259" s="14" t="s">
        <v>772</v>
      </c>
      <c r="AL259" s="14" t="s">
        <v>772</v>
      </c>
      <c r="AM259" s="19">
        <v>0.77708333333333324</v>
      </c>
      <c r="AN259" s="8">
        <f>(18+(39/60))*AH259</f>
        <v>606.87099999999998</v>
      </c>
    </row>
    <row r="260" spans="1:63" ht="12.5" x14ac:dyDescent="0.25">
      <c r="A260" s="2">
        <v>111</v>
      </c>
      <c r="B260" s="2">
        <v>101</v>
      </c>
      <c r="C260" s="2">
        <v>384</v>
      </c>
      <c r="E260" t="s">
        <v>240</v>
      </c>
      <c r="F260" t="s">
        <v>1251</v>
      </c>
      <c r="G260" t="s">
        <v>1315</v>
      </c>
      <c r="H260" s="2">
        <v>4700</v>
      </c>
      <c r="I260" s="2">
        <v>39.369999999999997</v>
      </c>
      <c r="J260" s="15">
        <v>1.4059999999999999</v>
      </c>
      <c r="K260" s="15">
        <v>0.99961</v>
      </c>
      <c r="P260" s="2"/>
      <c r="Q260" s="2"/>
      <c r="R260" s="2"/>
      <c r="S260" s="2"/>
      <c r="AE260" s="2">
        <v>37.130000000000003</v>
      </c>
      <c r="AF260" s="2">
        <v>40.99</v>
      </c>
      <c r="AG260" s="2">
        <v>41.99</v>
      </c>
      <c r="AH260" s="54">
        <v>39.369999999999997</v>
      </c>
      <c r="AI260" s="54" t="s">
        <v>772</v>
      </c>
      <c r="AJ260" s="54">
        <v>39.659999999999997</v>
      </c>
      <c r="AK260" s="54" t="s">
        <v>772</v>
      </c>
      <c r="AL260" s="54" t="s">
        <v>772</v>
      </c>
      <c r="AM260" s="19">
        <v>0.59027777777777779</v>
      </c>
      <c r="AN260" s="8">
        <f>(14+(10/60))*AJ260</f>
        <v>561.84999999999991</v>
      </c>
    </row>
    <row r="261" spans="1:63" ht="12.5" x14ac:dyDescent="0.25">
      <c r="A261" s="2">
        <v>112</v>
      </c>
      <c r="B261" s="2">
        <v>100</v>
      </c>
      <c r="C261" s="2">
        <v>170</v>
      </c>
      <c r="E261" s="138" t="s">
        <v>112</v>
      </c>
      <c r="F261" t="s">
        <v>683</v>
      </c>
      <c r="G261" t="s">
        <v>1323</v>
      </c>
      <c r="H261" s="2">
        <v>7500</v>
      </c>
      <c r="I261" s="2">
        <v>202.8</v>
      </c>
      <c r="J261" s="15">
        <v>7.2430000000000003</v>
      </c>
      <c r="K261" s="15">
        <v>4.133</v>
      </c>
      <c r="P261" s="2"/>
      <c r="Q261" s="2"/>
      <c r="R261" s="2"/>
      <c r="S261" s="2"/>
      <c r="AE261" s="2">
        <v>145.9</v>
      </c>
      <c r="AF261" s="2">
        <v>183</v>
      </c>
      <c r="AG261" s="2">
        <v>177.5</v>
      </c>
      <c r="AH261" s="2">
        <v>202.8</v>
      </c>
      <c r="AI261" s="14" t="s">
        <v>772</v>
      </c>
      <c r="AJ261" s="2">
        <v>207.7</v>
      </c>
      <c r="AK261" s="2" t="s">
        <v>772</v>
      </c>
      <c r="AL261" s="2" t="s">
        <v>772</v>
      </c>
      <c r="AM261" s="19">
        <v>0.37083333333333335</v>
      </c>
      <c r="AN261" s="8">
        <f>(8+(54/60))*AJ261</f>
        <v>1848.53</v>
      </c>
      <c r="AX261" s="8">
        <v>365.70567599999998</v>
      </c>
      <c r="AY261" s="8">
        <v>363.51007600000003</v>
      </c>
      <c r="AZ261" s="8">
        <v>368.283906</v>
      </c>
      <c r="BA261" s="8">
        <v>366.05664899999999</v>
      </c>
      <c r="BB261" s="8">
        <v>346.96698199999997</v>
      </c>
      <c r="BC261" s="8">
        <v>356.48306500000001</v>
      </c>
      <c r="BD261" s="8">
        <v>383.94909699999999</v>
      </c>
      <c r="BE261" s="8">
        <v>385.124955</v>
      </c>
      <c r="BF261" s="8">
        <v>381.51028500000001</v>
      </c>
      <c r="BG261" s="8">
        <v>418.477507</v>
      </c>
      <c r="BH261" s="8">
        <v>416.96907800000002</v>
      </c>
      <c r="BI261" s="8">
        <v>405.37161700000001</v>
      </c>
      <c r="BJ261" s="8">
        <v>416.61540200000002</v>
      </c>
    </row>
    <row r="262" spans="1:63" ht="12.5" x14ac:dyDescent="0.25">
      <c r="A262" s="2">
        <v>119</v>
      </c>
      <c r="B262" s="2">
        <v>107</v>
      </c>
      <c r="C262" s="2">
        <v>518</v>
      </c>
      <c r="D262" s="2">
        <v>395</v>
      </c>
      <c r="E262" t="s">
        <v>118</v>
      </c>
      <c r="F262" t="s">
        <v>687</v>
      </c>
      <c r="G262" t="s">
        <v>1279</v>
      </c>
      <c r="H262" s="2">
        <v>4070</v>
      </c>
      <c r="I262" s="2">
        <v>70.19</v>
      </c>
      <c r="J262" s="15">
        <v>2.5070000000000001</v>
      </c>
      <c r="K262" s="15">
        <v>2.0550000000000002</v>
      </c>
      <c r="P262" s="2"/>
      <c r="Q262" s="2"/>
      <c r="R262" s="2"/>
      <c r="S262" s="2"/>
      <c r="T262" s="97">
        <v>66.290000000000006</v>
      </c>
      <c r="U262" s="97">
        <v>69.8</v>
      </c>
      <c r="V262" s="97">
        <v>68.63</v>
      </c>
      <c r="W262" s="97">
        <v>67.489999999999995</v>
      </c>
      <c r="X262" s="97">
        <v>62.05</v>
      </c>
      <c r="Y262" s="97">
        <v>78.19</v>
      </c>
      <c r="AE262" s="2">
        <v>65.47</v>
      </c>
      <c r="AF262" s="2">
        <v>116.3</v>
      </c>
      <c r="AG262" s="2">
        <v>77.16</v>
      </c>
      <c r="AH262" s="2">
        <v>70.19</v>
      </c>
      <c r="AI262" s="14" t="s">
        <v>772</v>
      </c>
      <c r="AJ262" s="2">
        <v>85.37</v>
      </c>
      <c r="AK262" s="2" t="s">
        <v>772</v>
      </c>
      <c r="AL262" s="2" t="s">
        <v>772</v>
      </c>
      <c r="AM262" s="19">
        <v>0.20972222222222223</v>
      </c>
      <c r="AN262" s="8">
        <f>(5+(2/60))*AJ262</f>
        <v>429.69566666666668</v>
      </c>
    </row>
    <row r="263" spans="1:63" ht="12.5" x14ac:dyDescent="0.25">
      <c r="A263" s="2">
        <v>114</v>
      </c>
      <c r="B263" s="2">
        <v>119</v>
      </c>
      <c r="C263" s="2">
        <v>520</v>
      </c>
      <c r="E263" t="s">
        <v>177</v>
      </c>
      <c r="G263" t="s">
        <v>1263</v>
      </c>
      <c r="I263" s="2">
        <v>54.79</v>
      </c>
      <c r="J263" s="15">
        <v>1.9570000000000001</v>
      </c>
      <c r="K263" s="15">
        <v>1.526</v>
      </c>
      <c r="P263" s="2"/>
      <c r="Q263" s="2"/>
      <c r="R263" s="2"/>
      <c r="S263" s="2"/>
      <c r="AE263" s="2">
        <v>52.09</v>
      </c>
      <c r="AF263" s="2">
        <v>53.99</v>
      </c>
      <c r="AG263" s="2">
        <v>57.9</v>
      </c>
      <c r="AH263" s="2">
        <v>54.79</v>
      </c>
      <c r="AI263" s="14" t="s">
        <v>772</v>
      </c>
      <c r="AJ263" s="2">
        <f>56.84</f>
        <v>56.84</v>
      </c>
      <c r="AK263" s="14" t="s">
        <v>772</v>
      </c>
      <c r="AL263" s="14" t="s">
        <v>772</v>
      </c>
      <c r="AM263" s="19">
        <v>0.21666666666666667</v>
      </c>
      <c r="AN263" s="8">
        <f>(5+(12/60))*AJ263</f>
        <v>295.56800000000004</v>
      </c>
    </row>
    <row r="264" spans="1:63" ht="12.5" x14ac:dyDescent="0.25">
      <c r="A264" s="2">
        <v>115</v>
      </c>
      <c r="B264" s="2">
        <v>128</v>
      </c>
      <c r="C264" s="2">
        <v>540</v>
      </c>
      <c r="E264" t="s">
        <v>155</v>
      </c>
      <c r="F264" t="s">
        <v>559</v>
      </c>
      <c r="H264" s="2">
        <v>25590</v>
      </c>
      <c r="I264" s="2">
        <v>59.09</v>
      </c>
      <c r="J264" s="15">
        <v>2.11</v>
      </c>
      <c r="K264" s="15">
        <v>1.6930000000000001</v>
      </c>
      <c r="P264" s="2"/>
      <c r="Q264" s="2"/>
      <c r="R264" s="2"/>
      <c r="S264" s="2"/>
      <c r="AE264" s="2">
        <v>67.62</v>
      </c>
      <c r="AF264" s="2">
        <v>60.24</v>
      </c>
      <c r="AG264" s="2">
        <v>60.82</v>
      </c>
      <c r="AH264" s="2">
        <v>59.09</v>
      </c>
      <c r="AI264" s="14" t="s">
        <v>772</v>
      </c>
      <c r="AJ264" s="2">
        <v>63.04</v>
      </c>
      <c r="AK264" s="14" t="s">
        <v>772</v>
      </c>
      <c r="AL264" s="14" t="s">
        <v>772</v>
      </c>
      <c r="AM264" s="19">
        <v>0.31527777777777777</v>
      </c>
      <c r="AN264" s="8">
        <f>(7+(34/60))*AJ264</f>
        <v>477.00266666666664</v>
      </c>
    </row>
    <row r="265" spans="1:63" s="145" customFormat="1" x14ac:dyDescent="0.3">
      <c r="A265" s="144">
        <v>202</v>
      </c>
      <c r="B265" s="144">
        <v>116</v>
      </c>
      <c r="C265" s="144">
        <v>609</v>
      </c>
      <c r="D265" s="144">
        <v>461</v>
      </c>
      <c r="E265" s="139" t="s">
        <v>133</v>
      </c>
      <c r="F265" s="145" t="s">
        <v>6</v>
      </c>
      <c r="G265" s="145" t="s">
        <v>1270</v>
      </c>
      <c r="H265" s="144">
        <v>300</v>
      </c>
      <c r="I265" s="144">
        <v>108.4</v>
      </c>
      <c r="J265" s="146">
        <v>3.8719999999999999</v>
      </c>
      <c r="K265" s="146">
        <v>3.4780000000000002</v>
      </c>
      <c r="L265" s="144">
        <v>72.209999999999994</v>
      </c>
      <c r="M265" s="147"/>
      <c r="N265" s="147"/>
      <c r="O265" s="147"/>
      <c r="P265" s="144"/>
      <c r="Q265" s="144"/>
      <c r="R265" s="144"/>
      <c r="S265" s="144"/>
      <c r="T265" s="154">
        <v>96.06</v>
      </c>
      <c r="U265" s="154">
        <v>91.27</v>
      </c>
      <c r="V265" s="154">
        <v>108.1</v>
      </c>
      <c r="W265" s="154">
        <v>144.5</v>
      </c>
      <c r="X265" s="154">
        <v>137.80000000000001</v>
      </c>
      <c r="Y265" s="154">
        <v>182.1</v>
      </c>
      <c r="Z265" s="147"/>
      <c r="AA265" s="147"/>
      <c r="AB265" s="147"/>
      <c r="AC265" s="147"/>
      <c r="AD265" s="147"/>
      <c r="AE265" s="144">
        <v>169.4</v>
      </c>
      <c r="AF265" s="144">
        <v>112.9</v>
      </c>
      <c r="AG265" s="144">
        <v>108.4</v>
      </c>
      <c r="AH265" s="144">
        <v>118.1</v>
      </c>
      <c r="AI265" s="148" t="s">
        <v>772</v>
      </c>
      <c r="AJ265" s="144">
        <v>109.5</v>
      </c>
      <c r="AK265" s="148" t="s">
        <v>772</v>
      </c>
      <c r="AL265" s="148" t="s">
        <v>772</v>
      </c>
      <c r="AM265" s="156">
        <v>4.9999999999999996E-2</v>
      </c>
      <c r="AN265" s="153">
        <f>(1+(12/60))*AJ265</f>
        <v>131.4</v>
      </c>
      <c r="AX265" s="155">
        <v>148.69</v>
      </c>
      <c r="AY265" s="155">
        <v>158.51</v>
      </c>
      <c r="AZ265" s="155">
        <v>153.79</v>
      </c>
      <c r="BA265" s="155">
        <v>141.47999999999999</v>
      </c>
      <c r="BB265" s="155">
        <v>135.12</v>
      </c>
      <c r="BC265" s="155">
        <v>146.35</v>
      </c>
      <c r="BD265" s="155">
        <v>149.66</v>
      </c>
      <c r="BE265" s="155">
        <v>148.88</v>
      </c>
      <c r="BF265" s="155">
        <v>162.41</v>
      </c>
      <c r="BG265" s="155">
        <v>155.28</v>
      </c>
      <c r="BH265" s="155">
        <v>168.44</v>
      </c>
      <c r="BI265" s="155">
        <v>158.62</v>
      </c>
      <c r="BJ265" s="155">
        <v>155.25</v>
      </c>
      <c r="BK265" s="147"/>
    </row>
    <row r="266" spans="1:63" ht="12.5" x14ac:dyDescent="0.25">
      <c r="A266" s="2">
        <v>117</v>
      </c>
      <c r="B266" s="2">
        <v>110</v>
      </c>
      <c r="C266" s="2">
        <v>429</v>
      </c>
      <c r="E266" s="138" t="s">
        <v>269</v>
      </c>
      <c r="G266" t="s">
        <v>1236</v>
      </c>
      <c r="I266" s="2">
        <v>44.14</v>
      </c>
      <c r="J266" s="15">
        <v>1.5760000000000001</v>
      </c>
      <c r="K266" s="15">
        <v>1.4119999999999999</v>
      </c>
      <c r="P266" s="2"/>
      <c r="Q266" s="2"/>
      <c r="R266" s="2"/>
      <c r="S266" s="2"/>
      <c r="AE266" s="2">
        <v>135.19999999999999</v>
      </c>
      <c r="AF266" s="2">
        <v>73.650000000000006</v>
      </c>
      <c r="AG266" s="2">
        <v>47.37</v>
      </c>
      <c r="AH266" s="2">
        <v>44.14</v>
      </c>
      <c r="AI266" s="14" t="s">
        <v>772</v>
      </c>
      <c r="AJ266" s="14" t="s">
        <v>772</v>
      </c>
      <c r="AK266" s="14" t="s">
        <v>772</v>
      </c>
      <c r="AL266" s="14" t="s">
        <v>772</v>
      </c>
      <c r="AM266" s="19">
        <v>4.5138888888888888E-2</v>
      </c>
      <c r="AN266" s="8">
        <f>(1+(12/60))*AH266</f>
        <v>52.967999999999996</v>
      </c>
    </row>
    <row r="267" spans="1:63" ht="12.5" x14ac:dyDescent="0.25">
      <c r="E267" s="138" t="s">
        <v>1717</v>
      </c>
      <c r="K267" s="15"/>
      <c r="P267" s="2"/>
      <c r="Q267" s="2"/>
      <c r="R267" s="2"/>
      <c r="S267" s="2"/>
      <c r="AE267" s="2"/>
      <c r="AG267" s="2"/>
      <c r="AH267" s="2"/>
      <c r="AI267" s="14"/>
      <c r="AJ267" s="14"/>
      <c r="AK267" s="14"/>
      <c r="AL267" s="14"/>
      <c r="AM267" s="19"/>
      <c r="AN267" s="8"/>
    </row>
    <row r="268" spans="1:63" ht="12.5" x14ac:dyDescent="0.25">
      <c r="A268" s="2">
        <v>118</v>
      </c>
      <c r="B268" s="2">
        <v>112</v>
      </c>
      <c r="C268" s="2">
        <v>501</v>
      </c>
      <c r="E268" t="s">
        <v>158</v>
      </c>
      <c r="F268" t="s">
        <v>560</v>
      </c>
      <c r="G268" t="s">
        <v>1279</v>
      </c>
      <c r="H268" s="2">
        <v>2200</v>
      </c>
      <c r="I268" s="2">
        <v>60.04</v>
      </c>
      <c r="J268" s="15">
        <v>2.1440000000000001</v>
      </c>
      <c r="K268" s="15">
        <v>1.792</v>
      </c>
      <c r="P268" s="2"/>
      <c r="Q268" s="2"/>
      <c r="R268" s="2"/>
      <c r="S268" s="2"/>
      <c r="AE268" s="2">
        <v>51.77</v>
      </c>
      <c r="AF268" s="2">
        <v>74.849999999999994</v>
      </c>
      <c r="AG268" s="2">
        <v>57.59</v>
      </c>
      <c r="AH268" s="2">
        <v>60.04</v>
      </c>
      <c r="AI268" s="14" t="s">
        <v>772</v>
      </c>
      <c r="AJ268" s="2">
        <v>55.94</v>
      </c>
      <c r="AK268" s="14" t="s">
        <v>772</v>
      </c>
      <c r="AL268" s="14" t="s">
        <v>772</v>
      </c>
      <c r="AM268" s="19">
        <v>0.19305555555555554</v>
      </c>
      <c r="AN268" s="8">
        <f>(4+(38/60))*AJ268</f>
        <v>259.18866666666662</v>
      </c>
    </row>
    <row r="269" spans="1:63" ht="12.5" x14ac:dyDescent="0.25">
      <c r="A269" s="2">
        <v>119</v>
      </c>
      <c r="B269" s="2">
        <v>99</v>
      </c>
      <c r="C269" s="2">
        <v>159</v>
      </c>
      <c r="E269" s="138" t="s">
        <v>103</v>
      </c>
      <c r="F269" t="s">
        <v>540</v>
      </c>
      <c r="G269" t="s">
        <v>1283</v>
      </c>
      <c r="H269" s="2">
        <v>0</v>
      </c>
      <c r="I269" s="2">
        <v>246.9</v>
      </c>
      <c r="J269" s="15">
        <v>7.6470000000000002</v>
      </c>
      <c r="K269" s="15">
        <v>5.8239999999999998</v>
      </c>
      <c r="L269" s="2">
        <v>102.9</v>
      </c>
      <c r="N269" s="1" t="s">
        <v>11</v>
      </c>
      <c r="P269" s="2"/>
      <c r="Q269" s="2"/>
      <c r="R269" s="2"/>
      <c r="S269" s="2"/>
      <c r="AE269" s="2">
        <v>165.8</v>
      </c>
      <c r="AF269" s="2">
        <v>193.4</v>
      </c>
      <c r="AG269" s="2">
        <v>246.5</v>
      </c>
      <c r="AH269" s="2">
        <v>205.1</v>
      </c>
      <c r="AI269" s="2" t="s">
        <v>772</v>
      </c>
      <c r="AJ269" s="2">
        <v>198.8</v>
      </c>
      <c r="AK269" s="2" t="s">
        <v>772</v>
      </c>
      <c r="AL269" s="2" t="s">
        <v>772</v>
      </c>
      <c r="AM269" s="19">
        <v>0.17847222222222223</v>
      </c>
      <c r="AN269" s="8">
        <f>(4+(17/60))*AJ269</f>
        <v>851.52666666666664</v>
      </c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</row>
    <row r="270" spans="1:63" ht="12.5" x14ac:dyDescent="0.25">
      <c r="A270" s="2">
        <v>120</v>
      </c>
      <c r="B270" s="2">
        <v>90</v>
      </c>
      <c r="C270" s="2">
        <v>324</v>
      </c>
      <c r="E270" s="138" t="s">
        <v>93</v>
      </c>
      <c r="F270" t="s">
        <v>6</v>
      </c>
      <c r="G270" t="s">
        <v>1236</v>
      </c>
      <c r="I270" s="2">
        <v>146.80000000000001</v>
      </c>
      <c r="J270" s="15">
        <v>5.2430000000000003</v>
      </c>
      <c r="K270" s="15">
        <v>3.7080000000000002</v>
      </c>
      <c r="N270" s="1" t="s">
        <v>16</v>
      </c>
      <c r="P270" s="2"/>
      <c r="Q270" s="2"/>
      <c r="R270" s="2"/>
      <c r="S270" s="2"/>
      <c r="AE270" s="2">
        <v>121.7</v>
      </c>
      <c r="AF270" s="2">
        <v>124.6</v>
      </c>
      <c r="AG270" s="2">
        <v>136.9</v>
      </c>
      <c r="AH270" s="2">
        <v>146.80000000000001</v>
      </c>
      <c r="AI270" s="2" t="s">
        <v>772</v>
      </c>
      <c r="AJ270" s="2">
        <v>139.80000000000001</v>
      </c>
      <c r="AK270" s="2" t="s">
        <v>772</v>
      </c>
      <c r="AL270" s="2" t="s">
        <v>772</v>
      </c>
      <c r="AM270" s="19">
        <v>0.14027777777777778</v>
      </c>
      <c r="AN270" s="57">
        <f>(3+(22/60))*AJ270</f>
        <v>470.66</v>
      </c>
      <c r="AX270" s="54">
        <v>202</v>
      </c>
      <c r="AY270" s="54">
        <v>194</v>
      </c>
      <c r="AZ270" s="54">
        <v>203</v>
      </c>
      <c r="BA270" s="54">
        <v>201</v>
      </c>
      <c r="BB270" s="54">
        <v>193</v>
      </c>
      <c r="BC270" s="54">
        <v>202</v>
      </c>
      <c r="BD270" s="54">
        <v>211</v>
      </c>
      <c r="BE270" s="54">
        <v>224</v>
      </c>
      <c r="BF270" s="54">
        <v>228</v>
      </c>
      <c r="BG270" s="54">
        <v>228</v>
      </c>
      <c r="BH270" s="54">
        <v>250</v>
      </c>
      <c r="BI270" s="54">
        <v>218</v>
      </c>
      <c r="BJ270" s="54">
        <v>237</v>
      </c>
    </row>
    <row r="271" spans="1:63" ht="12.5" x14ac:dyDescent="0.25">
      <c r="A271" s="2">
        <v>121</v>
      </c>
      <c r="B271" s="2">
        <v>115</v>
      </c>
      <c r="C271" s="2">
        <v>215</v>
      </c>
      <c r="E271" s="138" t="s">
        <v>113</v>
      </c>
      <c r="F271" t="s">
        <v>685</v>
      </c>
      <c r="H271" s="2">
        <v>100</v>
      </c>
      <c r="I271" s="2">
        <v>204.4</v>
      </c>
      <c r="J271" s="15">
        <v>6.41</v>
      </c>
      <c r="K271" s="15">
        <v>5.6589999999999998</v>
      </c>
      <c r="L271" s="2">
        <v>117.3</v>
      </c>
      <c r="N271" s="1" t="s">
        <v>743</v>
      </c>
      <c r="P271" s="2"/>
      <c r="Q271" s="2"/>
      <c r="R271" s="2"/>
      <c r="S271" s="2"/>
      <c r="AE271" s="2">
        <v>144.6</v>
      </c>
      <c r="AF271" s="2">
        <v>160.1</v>
      </c>
      <c r="AG271" s="2">
        <v>156.5</v>
      </c>
      <c r="AH271" s="2">
        <v>185.1</v>
      </c>
      <c r="AI271" s="14" t="s">
        <v>772</v>
      </c>
      <c r="AJ271" s="2">
        <v>180.2</v>
      </c>
      <c r="AK271" s="2" t="s">
        <v>772</v>
      </c>
      <c r="AL271" s="2" t="s">
        <v>772</v>
      </c>
      <c r="AM271" s="19">
        <v>0.10694444444444444</v>
      </c>
      <c r="AN271" s="8">
        <f>(2+(34/60))*AJ271</f>
        <v>462.51333333333326</v>
      </c>
      <c r="AX271" s="8">
        <v>243.47607600000001</v>
      </c>
      <c r="AY271" s="8">
        <v>265.57869599999998</v>
      </c>
      <c r="AZ271" s="8">
        <v>237.51977400000001</v>
      </c>
      <c r="BA271" s="8">
        <v>241.681309</v>
      </c>
      <c r="BB271" s="8">
        <v>253.351463</v>
      </c>
      <c r="BC271" s="8">
        <v>276.82700199999999</v>
      </c>
      <c r="BD271" s="8">
        <v>312.37800299999998</v>
      </c>
      <c r="BE271" s="8">
        <v>295.75980099999998</v>
      </c>
      <c r="BF271" s="8">
        <v>335.20817899999997</v>
      </c>
      <c r="BG271" s="8">
        <v>336.62838699999998</v>
      </c>
      <c r="BH271" s="8">
        <v>368.16085600000002</v>
      </c>
      <c r="BI271" s="8">
        <v>353.72876300000001</v>
      </c>
      <c r="BJ271" s="8">
        <v>375.987437</v>
      </c>
    </row>
    <row r="272" spans="1:63" x14ac:dyDescent="0.3">
      <c r="A272" s="2">
        <v>125</v>
      </c>
      <c r="B272" s="2">
        <v>125</v>
      </c>
      <c r="C272" s="2">
        <v>163</v>
      </c>
      <c r="E272" s="138" t="s">
        <v>322</v>
      </c>
      <c r="F272" t="s">
        <v>1233</v>
      </c>
      <c r="H272" s="2">
        <v>0</v>
      </c>
      <c r="K272" s="15"/>
      <c r="P272" s="2"/>
      <c r="Q272" s="2"/>
      <c r="R272" s="2"/>
      <c r="S272" s="2"/>
      <c r="AE272" s="2">
        <v>100.1</v>
      </c>
      <c r="AF272" s="2" t="s">
        <v>772</v>
      </c>
      <c r="AG272" s="2" t="s">
        <v>772</v>
      </c>
      <c r="AH272" s="2" t="s">
        <v>772</v>
      </c>
      <c r="AI272" s="2" t="s">
        <v>772</v>
      </c>
      <c r="AJ272" s="2" t="s">
        <v>772</v>
      </c>
      <c r="AK272" s="2" t="s">
        <v>772</v>
      </c>
      <c r="AL272" s="2" t="s">
        <v>772</v>
      </c>
      <c r="AM272" s="19">
        <v>0.29236111111111113</v>
      </c>
      <c r="AN272" s="8">
        <f>(7+(1/60))*AE272</f>
        <v>702.36833333333334</v>
      </c>
      <c r="AX272" s="46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</row>
    <row r="273" spans="1:62" ht="12.5" x14ac:dyDescent="0.25">
      <c r="A273" s="2">
        <v>126</v>
      </c>
      <c r="B273" s="2">
        <v>135</v>
      </c>
      <c r="C273" s="2">
        <v>644</v>
      </c>
      <c r="E273" s="138" t="s">
        <v>134</v>
      </c>
      <c r="F273" t="s">
        <v>538</v>
      </c>
      <c r="H273" s="2">
        <v>167630</v>
      </c>
      <c r="I273" s="2">
        <v>62.68</v>
      </c>
      <c r="J273" s="15">
        <v>2.238</v>
      </c>
      <c r="K273" s="15">
        <v>1.3520000000000001</v>
      </c>
      <c r="P273" s="2"/>
      <c r="Q273" s="2"/>
      <c r="R273" s="2"/>
      <c r="S273" s="2"/>
      <c r="AE273" s="2">
        <v>77.08</v>
      </c>
      <c r="AF273" s="2">
        <v>71.3</v>
      </c>
      <c r="AG273" s="2">
        <v>62.68</v>
      </c>
      <c r="AH273" s="2">
        <v>62.25</v>
      </c>
      <c r="AI273" s="14" t="s">
        <v>772</v>
      </c>
      <c r="AJ273" s="2">
        <v>57.19</v>
      </c>
      <c r="AK273" s="14" t="s">
        <v>772</v>
      </c>
      <c r="AL273" s="14" t="s">
        <v>772</v>
      </c>
      <c r="AM273" s="19">
        <v>0.40208333333333335</v>
      </c>
      <c r="AN273" s="8">
        <f>(9+(39/60))*AJ273</f>
        <v>551.88350000000003</v>
      </c>
    </row>
    <row r="274" spans="1:62" ht="12.5" x14ac:dyDescent="0.25">
      <c r="A274" s="2">
        <v>127</v>
      </c>
      <c r="B274" s="2">
        <v>141</v>
      </c>
      <c r="C274" s="2">
        <v>557</v>
      </c>
      <c r="E274" s="138" t="s">
        <v>153</v>
      </c>
      <c r="F274" t="s">
        <v>694</v>
      </c>
      <c r="H274" s="2">
        <v>87890</v>
      </c>
      <c r="I274" s="2">
        <v>69.510000000000005</v>
      </c>
      <c r="J274" s="15">
        <v>2.4820000000000002</v>
      </c>
      <c r="K274" s="15">
        <v>1.629</v>
      </c>
      <c r="P274" s="2"/>
      <c r="Q274" s="2"/>
      <c r="R274" s="2"/>
      <c r="S274" s="2"/>
      <c r="AE274" s="2">
        <v>74.56</v>
      </c>
      <c r="AF274" s="2">
        <v>75.099999999999994</v>
      </c>
      <c r="AG274" s="2">
        <v>70.39</v>
      </c>
      <c r="AH274" s="2">
        <v>69.510000000000005</v>
      </c>
      <c r="AI274" s="14" t="s">
        <v>772</v>
      </c>
      <c r="AJ274" s="2">
        <v>70.099999999999994</v>
      </c>
      <c r="AK274" s="14" t="s">
        <v>772</v>
      </c>
      <c r="AL274" s="14" t="s">
        <v>772</v>
      </c>
      <c r="AM274" s="19">
        <v>0.20277777777777781</v>
      </c>
      <c r="AN274" s="8">
        <f>(4+(52/60))*AJ274</f>
        <v>341.15333333333336</v>
      </c>
    </row>
    <row r="275" spans="1:62" x14ac:dyDescent="0.3">
      <c r="A275" s="2">
        <v>136</v>
      </c>
      <c r="B275" s="2">
        <v>129</v>
      </c>
      <c r="C275" s="2">
        <v>664</v>
      </c>
      <c r="E275" t="s">
        <v>1343</v>
      </c>
      <c r="K275" s="15"/>
      <c r="P275" s="2"/>
      <c r="Q275" s="2"/>
      <c r="R275" s="2"/>
      <c r="S275" s="2"/>
      <c r="AE275" s="2">
        <v>35.119999999999997</v>
      </c>
      <c r="AF275" s="2" t="s">
        <v>772</v>
      </c>
      <c r="AG275" s="2" t="s">
        <v>772</v>
      </c>
      <c r="AH275" s="2" t="s">
        <v>772</v>
      </c>
      <c r="AI275" s="14" t="s">
        <v>772</v>
      </c>
      <c r="AJ275" s="2" t="s">
        <v>772</v>
      </c>
      <c r="AK275" s="14" t="s">
        <v>772</v>
      </c>
      <c r="AL275" s="14" t="s">
        <v>772</v>
      </c>
      <c r="AM275" s="19">
        <v>0.31111111111111112</v>
      </c>
      <c r="AN275" s="8">
        <f>(7+(28/60))*AE275</f>
        <v>262.22933333333333</v>
      </c>
      <c r="AS275" s="3"/>
      <c r="AT275" s="3"/>
      <c r="AU275" s="3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</row>
    <row r="276" spans="1:62" x14ac:dyDescent="0.3">
      <c r="A276" s="2">
        <v>130</v>
      </c>
      <c r="B276" s="2">
        <v>144</v>
      </c>
      <c r="C276" s="2">
        <v>202</v>
      </c>
      <c r="E276" s="138" t="s">
        <v>352</v>
      </c>
      <c r="F276" t="s">
        <v>562</v>
      </c>
      <c r="I276" s="2">
        <v>103.3</v>
      </c>
      <c r="J276" s="15">
        <v>3.6890000000000001</v>
      </c>
      <c r="K276" s="16">
        <v>2.1469999999999998</v>
      </c>
      <c r="P276" s="2"/>
      <c r="Q276" s="2"/>
      <c r="R276" s="2"/>
      <c r="S276" s="2"/>
      <c r="AE276" s="2">
        <v>121.2</v>
      </c>
      <c r="AF276" s="2">
        <v>108.4</v>
      </c>
      <c r="AG276" s="2">
        <v>103.3</v>
      </c>
      <c r="AH276" s="14" t="s">
        <v>772</v>
      </c>
      <c r="AI276" s="14" t="s">
        <v>772</v>
      </c>
      <c r="AJ276" s="14" t="s">
        <v>772</v>
      </c>
      <c r="AK276" s="14" t="s">
        <v>772</v>
      </c>
      <c r="AL276" s="14" t="s">
        <v>772</v>
      </c>
      <c r="AM276" s="19">
        <v>0.56041666666666667</v>
      </c>
      <c r="AN276" s="8">
        <f>(13+(27/60))*AG276</f>
        <v>1389.385</v>
      </c>
      <c r="AX276" s="8">
        <v>194.81799599999999</v>
      </c>
      <c r="AY276" s="8">
        <v>191.555768</v>
      </c>
      <c r="AZ276" s="8">
        <v>204.615476</v>
      </c>
      <c r="BA276" s="8">
        <v>181.76061200000001</v>
      </c>
      <c r="BB276" s="8">
        <v>177.089372</v>
      </c>
      <c r="BC276" s="8">
        <v>175.60918100000001</v>
      </c>
      <c r="BD276" s="8">
        <v>191.194929</v>
      </c>
      <c r="BE276" s="8">
        <v>172.28954899999999</v>
      </c>
      <c r="BF276" s="8">
        <v>168.45603800000001</v>
      </c>
      <c r="BG276" s="8">
        <v>168.288466</v>
      </c>
      <c r="BH276" s="8">
        <v>171.365047</v>
      </c>
      <c r="BI276" s="8">
        <v>158.678549</v>
      </c>
      <c r="BJ276" s="8">
        <v>158.678549</v>
      </c>
    </row>
    <row r="277" spans="1:62" x14ac:dyDescent="0.3">
      <c r="E277" s="138" t="s">
        <v>1611</v>
      </c>
      <c r="P277" s="2"/>
      <c r="Q277" s="2"/>
      <c r="R277" s="2"/>
      <c r="S277" s="2"/>
      <c r="AE277" s="2"/>
      <c r="AG277" s="2"/>
      <c r="AH277" s="14"/>
      <c r="AI277" s="14"/>
      <c r="AJ277" s="14"/>
      <c r="AK277" s="14"/>
      <c r="AL277" s="14"/>
      <c r="AM277" s="19"/>
      <c r="AN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</row>
    <row r="278" spans="1:62" x14ac:dyDescent="0.3">
      <c r="E278" s="138" t="s">
        <v>1733</v>
      </c>
      <c r="P278" s="2"/>
      <c r="Q278" s="2"/>
      <c r="R278" s="2"/>
      <c r="S278" s="2"/>
      <c r="AE278" s="2"/>
      <c r="AG278" s="2"/>
      <c r="AH278" s="14"/>
      <c r="AI278" s="14"/>
      <c r="AJ278" s="14"/>
      <c r="AK278" s="14"/>
      <c r="AL278" s="14"/>
      <c r="AM278" s="19"/>
      <c r="AN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</row>
    <row r="279" spans="1:62" x14ac:dyDescent="0.3">
      <c r="E279" s="138" t="s">
        <v>1601</v>
      </c>
      <c r="P279" s="2"/>
      <c r="Q279" s="2"/>
      <c r="R279" s="2"/>
      <c r="S279" s="2"/>
      <c r="AE279" s="2"/>
      <c r="AG279" s="2"/>
      <c r="AH279" s="14"/>
      <c r="AI279" s="14"/>
      <c r="AJ279" s="14"/>
      <c r="AK279" s="14"/>
      <c r="AL279" s="14"/>
      <c r="AM279" s="19"/>
      <c r="AN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</row>
    <row r="280" spans="1:62" ht="12.5" x14ac:dyDescent="0.25">
      <c r="A280" s="2">
        <v>131</v>
      </c>
      <c r="B280" s="2">
        <v>127</v>
      </c>
      <c r="C280" s="2">
        <v>120</v>
      </c>
      <c r="E280" s="138" t="s">
        <v>159</v>
      </c>
      <c r="F280" t="s">
        <v>6</v>
      </c>
      <c r="G280" t="s">
        <v>1288</v>
      </c>
      <c r="H280" s="2">
        <v>500</v>
      </c>
      <c r="I280" s="2">
        <v>184.6</v>
      </c>
      <c r="J280" s="15">
        <v>6.5949999999999998</v>
      </c>
      <c r="K280" s="15">
        <v>3.1960000000000002</v>
      </c>
      <c r="P280" s="2"/>
      <c r="Q280" s="2"/>
      <c r="R280" s="2"/>
      <c r="S280" s="2"/>
      <c r="AE280" s="2">
        <v>155.5</v>
      </c>
      <c r="AF280" s="2">
        <v>178</v>
      </c>
      <c r="AG280" s="2">
        <v>178.3</v>
      </c>
      <c r="AH280" s="2">
        <v>184.6</v>
      </c>
      <c r="AI280" s="14" t="s">
        <v>772</v>
      </c>
      <c r="AJ280" s="2">
        <v>186.2</v>
      </c>
      <c r="AK280" s="14" t="s">
        <v>772</v>
      </c>
      <c r="AL280" s="14" t="s">
        <v>772</v>
      </c>
      <c r="AM280" s="19">
        <v>0.60138888888888886</v>
      </c>
      <c r="AN280" s="8">
        <f>(14+(26/60))*AJ280</f>
        <v>2687.4866666666667</v>
      </c>
      <c r="AX280" s="8">
        <v>210.223525</v>
      </c>
      <c r="AY280" s="8">
        <v>205.146568</v>
      </c>
      <c r="AZ280" s="8">
        <v>211.822833</v>
      </c>
      <c r="BA280" s="8">
        <v>207.707672</v>
      </c>
      <c r="BB280" s="8">
        <v>202.04051100000001</v>
      </c>
      <c r="BC280" s="8">
        <v>191.807265</v>
      </c>
      <c r="BD280" s="8">
        <v>245.59660700000001</v>
      </c>
      <c r="BE280" s="8">
        <v>235.77775299999999</v>
      </c>
      <c r="BF280" s="8">
        <v>306.491604</v>
      </c>
      <c r="BG280" s="8">
        <v>328.36731700000001</v>
      </c>
      <c r="BH280" s="8">
        <v>358.919511</v>
      </c>
      <c r="BI280" s="8">
        <v>333.46323699999999</v>
      </c>
      <c r="BJ280" s="8">
        <v>312.85604999999998</v>
      </c>
    </row>
    <row r="281" spans="1:62" ht="12.5" x14ac:dyDescent="0.25">
      <c r="E281" s="138" t="s">
        <v>1682</v>
      </c>
      <c r="K281" s="15"/>
      <c r="P281" s="2"/>
      <c r="Q281" s="2"/>
      <c r="R281" s="2"/>
      <c r="S281" s="2"/>
      <c r="AE281" s="2"/>
      <c r="AG281" s="2"/>
      <c r="AH281" s="2"/>
      <c r="AI281" s="14"/>
      <c r="AJ281" s="2"/>
      <c r="AK281" s="14"/>
      <c r="AL281" s="14"/>
      <c r="AM281" s="19"/>
      <c r="AN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</row>
    <row r="282" spans="1:62" ht="12.5" x14ac:dyDescent="0.25">
      <c r="E282" s="138" t="s">
        <v>1678</v>
      </c>
      <c r="K282" s="15"/>
      <c r="P282" s="2"/>
      <c r="Q282" s="2"/>
      <c r="R282" s="2"/>
      <c r="S282" s="2"/>
      <c r="AE282" s="2"/>
      <c r="AG282" s="2"/>
      <c r="AH282" s="2"/>
      <c r="AI282" s="14"/>
      <c r="AJ282" s="2"/>
      <c r="AK282" s="14"/>
      <c r="AL282" s="14"/>
      <c r="AM282" s="19"/>
      <c r="AN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</row>
    <row r="283" spans="1:62" ht="12.5" x14ac:dyDescent="0.25">
      <c r="E283" s="138" t="s">
        <v>1683</v>
      </c>
      <c r="K283" s="15"/>
      <c r="P283" s="2"/>
      <c r="Q283" s="2"/>
      <c r="R283" s="2"/>
      <c r="S283" s="2"/>
      <c r="AE283" s="2"/>
      <c r="AG283" s="2"/>
      <c r="AH283" s="2"/>
      <c r="AI283" s="14"/>
      <c r="AJ283" s="2"/>
      <c r="AK283" s="14"/>
      <c r="AL283" s="14"/>
      <c r="AM283" s="19"/>
      <c r="AN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</row>
    <row r="284" spans="1:62" ht="12.5" x14ac:dyDescent="0.25">
      <c r="E284" s="138" t="s">
        <v>1799</v>
      </c>
      <c r="K284" s="15"/>
      <c r="P284" s="2"/>
      <c r="Q284" s="2"/>
      <c r="R284" s="2"/>
      <c r="S284" s="2"/>
      <c r="AE284" s="2"/>
      <c r="AG284" s="2"/>
      <c r="AH284" s="2"/>
      <c r="AI284" s="14"/>
      <c r="AJ284" s="2"/>
      <c r="AK284" s="14"/>
      <c r="AL284" s="14"/>
      <c r="AM284" s="19"/>
      <c r="AN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</row>
    <row r="285" spans="1:62" ht="12.5" x14ac:dyDescent="0.25">
      <c r="E285" s="138" t="s">
        <v>1706</v>
      </c>
      <c r="K285" s="15"/>
      <c r="P285" s="2"/>
      <c r="Q285" s="2"/>
      <c r="R285" s="2"/>
      <c r="S285" s="2"/>
      <c r="AE285" s="2"/>
      <c r="AG285" s="2"/>
      <c r="AH285" s="2"/>
      <c r="AI285" s="14"/>
      <c r="AJ285" s="2"/>
      <c r="AK285" s="14"/>
      <c r="AL285" s="14"/>
      <c r="AM285" s="19"/>
      <c r="AN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</row>
    <row r="286" spans="1:62" ht="12.5" x14ac:dyDescent="0.25">
      <c r="E286" s="138" t="s">
        <v>1707</v>
      </c>
      <c r="K286" s="15"/>
      <c r="P286" s="2"/>
      <c r="Q286" s="2"/>
      <c r="R286" s="2"/>
      <c r="S286" s="2"/>
      <c r="AE286" s="2"/>
      <c r="AG286" s="2"/>
      <c r="AH286" s="2"/>
      <c r="AI286" s="14"/>
      <c r="AJ286" s="2"/>
      <c r="AK286" s="14"/>
      <c r="AL286" s="14"/>
      <c r="AM286" s="19"/>
      <c r="AN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</row>
    <row r="287" spans="1:62" ht="12.5" x14ac:dyDescent="0.25">
      <c r="E287" s="138" t="s">
        <v>1708</v>
      </c>
      <c r="K287" s="15"/>
      <c r="P287" s="2"/>
      <c r="Q287" s="2"/>
      <c r="R287" s="2"/>
      <c r="S287" s="2"/>
      <c r="AE287" s="2"/>
      <c r="AG287" s="2"/>
      <c r="AH287" s="2"/>
      <c r="AI287" s="14"/>
      <c r="AJ287" s="2"/>
      <c r="AK287" s="14"/>
      <c r="AL287" s="14"/>
      <c r="AM287" s="19"/>
      <c r="AN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</row>
    <row r="288" spans="1:62" ht="12.5" x14ac:dyDescent="0.25">
      <c r="E288" s="138" t="s">
        <v>1684</v>
      </c>
      <c r="K288" s="15"/>
      <c r="P288" s="2"/>
      <c r="Q288" s="2"/>
      <c r="R288" s="2"/>
      <c r="S288" s="2"/>
      <c r="AE288" s="2"/>
      <c r="AG288" s="2"/>
      <c r="AH288" s="2"/>
      <c r="AI288" s="14"/>
      <c r="AJ288" s="2"/>
      <c r="AK288" s="14"/>
      <c r="AL288" s="14"/>
      <c r="AM288" s="19"/>
      <c r="AN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</row>
    <row r="289" spans="5:62" ht="12.5" x14ac:dyDescent="0.25">
      <c r="E289" s="138" t="s">
        <v>1796</v>
      </c>
      <c r="K289" s="15"/>
      <c r="P289" s="2"/>
      <c r="Q289" s="2"/>
      <c r="R289" s="2"/>
      <c r="S289" s="2"/>
      <c r="AE289" s="2"/>
      <c r="AG289" s="2"/>
      <c r="AH289" s="2"/>
      <c r="AI289" s="14"/>
      <c r="AJ289" s="2"/>
      <c r="AK289" s="14"/>
      <c r="AL289" s="14"/>
      <c r="AM289" s="19"/>
      <c r="AN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</row>
    <row r="290" spans="5:62" ht="12.5" x14ac:dyDescent="0.25">
      <c r="E290" s="138" t="s">
        <v>1797</v>
      </c>
      <c r="K290" s="15"/>
      <c r="P290" s="2"/>
      <c r="Q290" s="2"/>
      <c r="R290" s="2"/>
      <c r="S290" s="2"/>
      <c r="AE290" s="2"/>
      <c r="AG290" s="2"/>
      <c r="AH290" s="2"/>
      <c r="AI290" s="14"/>
      <c r="AJ290" s="2"/>
      <c r="AK290" s="14"/>
      <c r="AL290" s="14"/>
      <c r="AM290" s="19"/>
      <c r="AN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</row>
    <row r="291" spans="5:62" ht="12.5" x14ac:dyDescent="0.25">
      <c r="E291" s="138" t="s">
        <v>1624</v>
      </c>
      <c r="K291" s="15"/>
      <c r="P291" s="2"/>
      <c r="Q291" s="2"/>
      <c r="R291" s="2"/>
      <c r="S291" s="2"/>
      <c r="AE291" s="2"/>
      <c r="AG291" s="2"/>
      <c r="AH291" s="2"/>
      <c r="AI291" s="14"/>
      <c r="AJ291" s="2"/>
      <c r="AK291" s="14"/>
      <c r="AL291" s="14"/>
      <c r="AM291" s="19"/>
      <c r="AN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</row>
    <row r="292" spans="5:62" ht="12.5" x14ac:dyDescent="0.25">
      <c r="E292" s="138" t="s">
        <v>1685</v>
      </c>
      <c r="K292" s="15"/>
      <c r="P292" s="2"/>
      <c r="Q292" s="2"/>
      <c r="R292" s="2"/>
      <c r="S292" s="2"/>
      <c r="AE292" s="2"/>
      <c r="AG292" s="2"/>
      <c r="AH292" s="2"/>
      <c r="AI292" s="14"/>
      <c r="AJ292" s="2"/>
      <c r="AK292" s="14"/>
      <c r="AL292" s="14"/>
      <c r="AM292" s="19"/>
      <c r="AN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</row>
    <row r="293" spans="5:62" ht="12.5" x14ac:dyDescent="0.25">
      <c r="E293" s="138" t="s">
        <v>1791</v>
      </c>
      <c r="K293" s="15"/>
      <c r="P293" s="2"/>
      <c r="Q293" s="2"/>
      <c r="R293" s="2"/>
      <c r="S293" s="2"/>
      <c r="AE293" s="2"/>
      <c r="AG293" s="2"/>
      <c r="AH293" s="2"/>
      <c r="AI293" s="14"/>
      <c r="AJ293" s="2"/>
      <c r="AK293" s="14"/>
      <c r="AL293" s="14"/>
      <c r="AM293" s="19"/>
      <c r="AN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</row>
    <row r="294" spans="5:62" ht="12.5" x14ac:dyDescent="0.25">
      <c r="E294" s="138" t="s">
        <v>1686</v>
      </c>
      <c r="K294" s="15"/>
      <c r="P294" s="2"/>
      <c r="Q294" s="2"/>
      <c r="R294" s="2"/>
      <c r="S294" s="2"/>
      <c r="AE294" s="2"/>
      <c r="AG294" s="2"/>
      <c r="AH294" s="2"/>
      <c r="AI294" s="14"/>
      <c r="AJ294" s="2"/>
      <c r="AK294" s="14"/>
      <c r="AL294" s="14"/>
      <c r="AM294" s="19"/>
      <c r="AN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</row>
    <row r="295" spans="5:62" ht="12.5" x14ac:dyDescent="0.25">
      <c r="E295" s="138" t="s">
        <v>1626</v>
      </c>
      <c r="K295" s="15"/>
      <c r="P295" s="2"/>
      <c r="Q295" s="2"/>
      <c r="R295" s="2"/>
      <c r="S295" s="2"/>
      <c r="AE295" s="2"/>
      <c r="AG295" s="2"/>
      <c r="AH295" s="2"/>
      <c r="AI295" s="14"/>
      <c r="AJ295" s="2"/>
      <c r="AK295" s="14"/>
      <c r="AL295" s="14"/>
      <c r="AM295" s="19"/>
      <c r="AN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</row>
    <row r="296" spans="5:62" ht="12.5" x14ac:dyDescent="0.25">
      <c r="E296" s="138" t="s">
        <v>1792</v>
      </c>
      <c r="K296" s="15"/>
      <c r="P296" s="2"/>
      <c r="Q296" s="2"/>
      <c r="R296" s="2"/>
      <c r="S296" s="2"/>
      <c r="AE296" s="2"/>
      <c r="AG296" s="2"/>
      <c r="AH296" s="2"/>
      <c r="AI296" s="14"/>
      <c r="AJ296" s="2"/>
      <c r="AK296" s="14"/>
      <c r="AL296" s="14"/>
      <c r="AM296" s="19"/>
      <c r="AN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</row>
    <row r="297" spans="5:62" ht="12.5" x14ac:dyDescent="0.25">
      <c r="E297" s="138" t="s">
        <v>1696</v>
      </c>
      <c r="K297" s="15"/>
      <c r="P297" s="2"/>
      <c r="Q297" s="2"/>
      <c r="R297" s="2"/>
      <c r="S297" s="2"/>
      <c r="AE297" s="2"/>
      <c r="AG297" s="2"/>
      <c r="AH297" s="2"/>
      <c r="AI297" s="14"/>
      <c r="AJ297" s="2"/>
      <c r="AK297" s="14"/>
      <c r="AL297" s="14"/>
      <c r="AM297" s="19"/>
      <c r="AN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</row>
    <row r="298" spans="5:62" ht="12.5" x14ac:dyDescent="0.25">
      <c r="E298" s="138" t="s">
        <v>1697</v>
      </c>
      <c r="K298" s="15"/>
      <c r="P298" s="2"/>
      <c r="Q298" s="2"/>
      <c r="R298" s="2"/>
      <c r="S298" s="2"/>
      <c r="AE298" s="2"/>
      <c r="AG298" s="2"/>
      <c r="AH298" s="2"/>
      <c r="AI298" s="14"/>
      <c r="AJ298" s="2"/>
      <c r="AK298" s="14"/>
      <c r="AL298" s="14"/>
      <c r="AM298" s="19"/>
      <c r="AN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</row>
    <row r="299" spans="5:62" ht="12.5" x14ac:dyDescent="0.25">
      <c r="E299" s="138" t="s">
        <v>1698</v>
      </c>
      <c r="K299" s="15"/>
      <c r="P299" s="2"/>
      <c r="Q299" s="2"/>
      <c r="R299" s="2"/>
      <c r="S299" s="2"/>
      <c r="AE299" s="2"/>
      <c r="AG299" s="2"/>
      <c r="AH299" s="2"/>
      <c r="AI299" s="14"/>
      <c r="AJ299" s="2"/>
      <c r="AK299" s="14"/>
      <c r="AL299" s="14"/>
      <c r="AM299" s="19"/>
      <c r="AN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</row>
    <row r="300" spans="5:62" ht="12.5" x14ac:dyDescent="0.25">
      <c r="E300" s="138" t="s">
        <v>1699</v>
      </c>
      <c r="K300" s="15"/>
      <c r="P300" s="2"/>
      <c r="Q300" s="2"/>
      <c r="R300" s="2"/>
      <c r="S300" s="2"/>
      <c r="AE300" s="2"/>
      <c r="AG300" s="2"/>
      <c r="AH300" s="2"/>
      <c r="AI300" s="14"/>
      <c r="AJ300" s="2"/>
      <c r="AK300" s="14"/>
      <c r="AL300" s="14"/>
      <c r="AM300" s="19"/>
      <c r="AN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</row>
    <row r="301" spans="5:62" ht="12.5" x14ac:dyDescent="0.25">
      <c r="E301" s="138" t="s">
        <v>1700</v>
      </c>
      <c r="K301" s="15"/>
      <c r="P301" s="2"/>
      <c r="Q301" s="2"/>
      <c r="R301" s="2"/>
      <c r="S301" s="2"/>
      <c r="AE301" s="2"/>
      <c r="AG301" s="2"/>
      <c r="AH301" s="2"/>
      <c r="AI301" s="14"/>
      <c r="AJ301" s="2"/>
      <c r="AK301" s="14"/>
      <c r="AL301" s="14"/>
      <c r="AM301" s="19"/>
      <c r="AN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</row>
    <row r="302" spans="5:62" ht="12.5" x14ac:dyDescent="0.25">
      <c r="E302" s="138" t="s">
        <v>1701</v>
      </c>
      <c r="K302" s="15"/>
      <c r="P302" s="2"/>
      <c r="Q302" s="2"/>
      <c r="R302" s="2"/>
      <c r="S302" s="2"/>
      <c r="AE302" s="2"/>
      <c r="AG302" s="2"/>
      <c r="AH302" s="2"/>
      <c r="AI302" s="14"/>
      <c r="AJ302" s="2"/>
      <c r="AK302" s="14"/>
      <c r="AL302" s="14"/>
      <c r="AM302" s="19"/>
      <c r="AN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</row>
    <row r="303" spans="5:62" ht="12.5" x14ac:dyDescent="0.25">
      <c r="E303" s="138" t="s">
        <v>1703</v>
      </c>
      <c r="K303" s="15"/>
      <c r="P303" s="2"/>
      <c r="Q303" s="2"/>
      <c r="R303" s="2"/>
      <c r="S303" s="2"/>
      <c r="AE303" s="2"/>
      <c r="AG303" s="2"/>
      <c r="AH303" s="2"/>
      <c r="AI303" s="14"/>
      <c r="AJ303" s="2"/>
      <c r="AK303" s="14"/>
      <c r="AL303" s="14"/>
      <c r="AM303" s="19"/>
      <c r="AN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</row>
    <row r="304" spans="5:62" ht="12.5" x14ac:dyDescent="0.25">
      <c r="E304" s="138" t="s">
        <v>1769</v>
      </c>
      <c r="K304" s="15"/>
      <c r="P304" s="2"/>
      <c r="Q304" s="2"/>
      <c r="R304" s="2"/>
      <c r="S304" s="2"/>
      <c r="AE304" s="2"/>
      <c r="AG304" s="2"/>
      <c r="AH304" s="2"/>
      <c r="AI304" s="14"/>
      <c r="AJ304" s="2"/>
      <c r="AK304" s="14"/>
      <c r="AL304" s="14"/>
      <c r="AM304" s="19"/>
      <c r="AN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</row>
    <row r="305" spans="1:62" ht="12.5" x14ac:dyDescent="0.25">
      <c r="E305" s="138" t="s">
        <v>1702</v>
      </c>
      <c r="K305" s="15"/>
      <c r="P305" s="2"/>
      <c r="Q305" s="2"/>
      <c r="R305" s="2"/>
      <c r="S305" s="2"/>
      <c r="AE305" s="2"/>
      <c r="AG305" s="2"/>
      <c r="AH305" s="2"/>
      <c r="AI305" s="14"/>
      <c r="AJ305" s="2"/>
      <c r="AK305" s="14"/>
      <c r="AL305" s="14"/>
      <c r="AM305" s="19"/>
      <c r="AN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</row>
    <row r="306" spans="1:62" ht="12.5" x14ac:dyDescent="0.25">
      <c r="E306" s="138" t="s">
        <v>1627</v>
      </c>
      <c r="K306" s="15"/>
      <c r="P306" s="2"/>
      <c r="Q306" s="2"/>
      <c r="R306" s="2"/>
      <c r="S306" s="2"/>
      <c r="AE306" s="2"/>
      <c r="AG306" s="2"/>
      <c r="AH306" s="2"/>
      <c r="AI306" s="14"/>
      <c r="AJ306" s="2"/>
      <c r="AK306" s="14"/>
      <c r="AL306" s="14"/>
      <c r="AM306" s="19"/>
      <c r="AN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</row>
    <row r="307" spans="1:62" ht="12.5" x14ac:dyDescent="0.25">
      <c r="A307" s="2">
        <v>132</v>
      </c>
      <c r="B307" s="2">
        <v>140</v>
      </c>
      <c r="C307" s="2">
        <v>622</v>
      </c>
      <c r="E307" t="s">
        <v>194</v>
      </c>
      <c r="F307" t="s">
        <v>699</v>
      </c>
      <c r="G307" t="s">
        <v>1263</v>
      </c>
      <c r="H307" s="2">
        <v>9150</v>
      </c>
      <c r="I307" s="2">
        <v>58.05</v>
      </c>
      <c r="J307" s="15">
        <v>2.073</v>
      </c>
      <c r="K307" s="15">
        <v>1.4239999999999999</v>
      </c>
      <c r="P307" s="2"/>
      <c r="Q307" s="2"/>
      <c r="R307" s="2"/>
      <c r="S307" s="2"/>
      <c r="AE307" s="2">
        <v>57.19</v>
      </c>
      <c r="AF307" s="2">
        <v>56.29</v>
      </c>
      <c r="AG307" s="2">
        <v>52.29</v>
      </c>
      <c r="AH307" s="2">
        <v>58.05</v>
      </c>
      <c r="AI307" s="14" t="s">
        <v>772</v>
      </c>
      <c r="AJ307" s="2">
        <v>56.71</v>
      </c>
      <c r="AK307" s="14" t="s">
        <v>772</v>
      </c>
      <c r="AL307" s="14" t="s">
        <v>772</v>
      </c>
      <c r="AM307" s="19">
        <v>0.28611111111111115</v>
      </c>
      <c r="AN307" s="8">
        <f>(6+(52/60))*AJ307</f>
        <v>389.4086666666667</v>
      </c>
    </row>
    <row r="308" spans="1:62" ht="12.5" x14ac:dyDescent="0.25">
      <c r="A308" s="2">
        <v>133</v>
      </c>
      <c r="B308" s="2">
        <v>161</v>
      </c>
      <c r="C308" s="2">
        <v>608</v>
      </c>
      <c r="E308" s="138" t="s">
        <v>167</v>
      </c>
      <c r="I308" s="2">
        <v>83.93</v>
      </c>
      <c r="J308" s="15">
        <v>2.9969999999999999</v>
      </c>
      <c r="K308" s="15">
        <v>2.524</v>
      </c>
      <c r="P308" s="2"/>
      <c r="Q308" s="2"/>
      <c r="R308" s="2"/>
      <c r="S308" s="2"/>
      <c r="AE308" s="2">
        <v>107.5</v>
      </c>
      <c r="AF308" s="2">
        <v>123</v>
      </c>
      <c r="AG308" s="2">
        <v>88.74</v>
      </c>
      <c r="AH308" s="2">
        <v>83.93</v>
      </c>
      <c r="AI308" s="14" t="s">
        <v>772</v>
      </c>
      <c r="AJ308" s="2">
        <v>78.89</v>
      </c>
      <c r="AK308" s="14" t="s">
        <v>772</v>
      </c>
      <c r="AL308" s="14" t="s">
        <v>772</v>
      </c>
      <c r="AM308" s="19">
        <v>8.4722222222222213E-2</v>
      </c>
      <c r="AN308" s="8">
        <f>(2+(2/60))*AJ308</f>
        <v>160.40966666666665</v>
      </c>
    </row>
    <row r="309" spans="1:62" ht="12.5" x14ac:dyDescent="0.25">
      <c r="E309" s="138" t="s">
        <v>1687</v>
      </c>
      <c r="K309" s="15"/>
      <c r="P309" s="2"/>
      <c r="Q309" s="2"/>
      <c r="R309" s="2"/>
      <c r="S309" s="2"/>
      <c r="AE309" s="2"/>
      <c r="AG309" s="2"/>
      <c r="AH309" s="2"/>
      <c r="AI309" s="14"/>
      <c r="AJ309" s="2"/>
      <c r="AK309" s="14"/>
      <c r="AL309" s="14"/>
      <c r="AM309" s="19"/>
      <c r="AN309" s="8"/>
    </row>
    <row r="310" spans="1:62" ht="12.5" x14ac:dyDescent="0.25">
      <c r="E310" s="138" t="s">
        <v>1688</v>
      </c>
      <c r="K310" s="15"/>
      <c r="P310" s="2"/>
      <c r="Q310" s="2"/>
      <c r="R310" s="2"/>
      <c r="S310" s="2"/>
      <c r="AE310" s="2"/>
      <c r="AG310" s="2"/>
      <c r="AH310" s="2"/>
      <c r="AI310" s="14"/>
      <c r="AJ310" s="2"/>
      <c r="AK310" s="14"/>
      <c r="AL310" s="14"/>
      <c r="AM310" s="19"/>
      <c r="AN310" s="8"/>
    </row>
    <row r="311" spans="1:62" ht="12.5" x14ac:dyDescent="0.25">
      <c r="A311" s="2">
        <v>134</v>
      </c>
      <c r="B311" s="2">
        <v>117</v>
      </c>
      <c r="C311" s="2">
        <v>506</v>
      </c>
      <c r="E311" t="s">
        <v>199</v>
      </c>
      <c r="F311" t="s">
        <v>550</v>
      </c>
      <c r="G311" t="s">
        <v>1290</v>
      </c>
      <c r="H311" s="2">
        <v>158030</v>
      </c>
      <c r="I311" s="2">
        <v>56.67</v>
      </c>
      <c r="J311" s="15">
        <v>2.024</v>
      </c>
      <c r="K311" s="15">
        <v>1.6719999999999999</v>
      </c>
      <c r="P311" s="2"/>
      <c r="Q311" s="2"/>
      <c r="R311" s="2"/>
      <c r="S311" s="2"/>
      <c r="AE311" s="2">
        <v>46.67</v>
      </c>
      <c r="AF311" s="2">
        <v>56.98</v>
      </c>
      <c r="AG311" s="2">
        <v>60.89</v>
      </c>
      <c r="AH311" s="2">
        <v>56.67</v>
      </c>
      <c r="AI311" s="14" t="s">
        <v>772</v>
      </c>
      <c r="AJ311" s="2">
        <v>55.28</v>
      </c>
      <c r="AK311" s="14" t="s">
        <v>772</v>
      </c>
      <c r="AL311" s="14" t="s">
        <v>772</v>
      </c>
      <c r="AM311" s="19">
        <v>0.20555555555555557</v>
      </c>
      <c r="AN311" s="8">
        <f>(4+(56/60))*AJ311</f>
        <v>272.71466666666669</v>
      </c>
    </row>
    <row r="312" spans="1:62" ht="12.5" x14ac:dyDescent="0.25">
      <c r="A312" s="2">
        <v>135</v>
      </c>
      <c r="B312" s="2">
        <v>192</v>
      </c>
      <c r="C312" s="2">
        <v>779</v>
      </c>
      <c r="E312" t="s">
        <v>257</v>
      </c>
      <c r="I312" s="2">
        <v>45.6</v>
      </c>
      <c r="J312" s="15">
        <v>1.6279999999999999</v>
      </c>
      <c r="K312" s="15">
        <v>1.2929999999999999</v>
      </c>
      <c r="P312" s="2"/>
      <c r="Q312" s="2"/>
      <c r="R312" s="2"/>
      <c r="S312" s="2"/>
      <c r="AE312" s="2">
        <v>43.43</v>
      </c>
      <c r="AF312" s="2">
        <v>36.979999999999997</v>
      </c>
      <c r="AG312" s="2">
        <v>33.81</v>
      </c>
      <c r="AH312" s="2">
        <v>45.6</v>
      </c>
      <c r="AI312" s="14" t="s">
        <v>772</v>
      </c>
      <c r="AJ312" s="14" t="s">
        <v>772</v>
      </c>
      <c r="AK312" s="14" t="s">
        <v>772</v>
      </c>
      <c r="AL312" s="14" t="s">
        <v>772</v>
      </c>
      <c r="AM312" s="19">
        <v>0.25763888888888892</v>
      </c>
      <c r="AN312" s="8">
        <f>(6+(11/60))*AH312</f>
        <v>281.96000000000004</v>
      </c>
    </row>
    <row r="313" spans="1:62" ht="12.5" x14ac:dyDescent="0.25">
      <c r="A313" s="2">
        <v>136</v>
      </c>
      <c r="B313" s="2">
        <v>143</v>
      </c>
      <c r="C313" s="2">
        <v>674</v>
      </c>
      <c r="E313" t="s">
        <v>187</v>
      </c>
      <c r="F313" t="s">
        <v>720</v>
      </c>
      <c r="H313" s="2">
        <v>10590</v>
      </c>
      <c r="I313" s="2">
        <v>48.68</v>
      </c>
      <c r="J313" s="15">
        <v>1.738</v>
      </c>
      <c r="K313" s="15">
        <v>1.39</v>
      </c>
      <c r="P313" s="2"/>
      <c r="Q313" s="2"/>
      <c r="R313" s="2"/>
      <c r="S313" s="2"/>
      <c r="AE313" s="2">
        <v>36.090000000000003</v>
      </c>
      <c r="AF313" s="2">
        <v>36.619999999999997</v>
      </c>
      <c r="AG313" s="2">
        <v>36.99</v>
      </c>
      <c r="AH313" s="2">
        <v>48.68</v>
      </c>
      <c r="AI313" s="14" t="s">
        <v>772</v>
      </c>
      <c r="AJ313" s="2">
        <v>51.28</v>
      </c>
      <c r="AK313" s="14" t="s">
        <v>772</v>
      </c>
      <c r="AL313" s="14" t="s">
        <v>772</v>
      </c>
      <c r="AM313" s="19">
        <v>0.18541666666666667</v>
      </c>
      <c r="AN313" s="8">
        <f>(4+(27/60))*AJ313</f>
        <v>228.19600000000003</v>
      </c>
    </row>
    <row r="314" spans="1:62" ht="12.5" x14ac:dyDescent="0.25">
      <c r="A314" s="2">
        <v>137</v>
      </c>
      <c r="B314" s="2">
        <v>176</v>
      </c>
      <c r="C314" s="2">
        <v>858</v>
      </c>
      <c r="E314" t="s">
        <v>207</v>
      </c>
      <c r="F314" t="s">
        <v>764</v>
      </c>
      <c r="H314" s="2">
        <v>33830</v>
      </c>
      <c r="I314" s="2">
        <v>44.78</v>
      </c>
      <c r="J314" s="15">
        <v>1.599</v>
      </c>
      <c r="K314" s="15">
        <v>1.288</v>
      </c>
      <c r="P314" s="2"/>
      <c r="Q314" s="2"/>
      <c r="R314" s="2"/>
      <c r="S314" s="2"/>
      <c r="AE314" s="2">
        <v>45.61</v>
      </c>
      <c r="AF314" s="2">
        <v>36.380000000000003</v>
      </c>
      <c r="AG314" s="2">
        <v>37.72</v>
      </c>
      <c r="AH314" s="2">
        <v>44.78</v>
      </c>
      <c r="AI314" s="14" t="s">
        <v>772</v>
      </c>
      <c r="AJ314" s="2">
        <v>47.94</v>
      </c>
      <c r="AK314" s="14" t="s">
        <v>772</v>
      </c>
      <c r="AL314" s="14" t="s">
        <v>772</v>
      </c>
      <c r="AM314" s="19">
        <v>0.22013888888888888</v>
      </c>
      <c r="AN314" s="8">
        <f>(5+(17/60))*AJ314</f>
        <v>253.28299999999999</v>
      </c>
    </row>
    <row r="315" spans="1:62" ht="12.5" x14ac:dyDescent="0.25">
      <c r="A315" s="2">
        <v>138</v>
      </c>
      <c r="B315" s="2">
        <v>138</v>
      </c>
      <c r="C315" s="2">
        <v>264</v>
      </c>
      <c r="E315" s="138" t="s">
        <v>231</v>
      </c>
      <c r="I315" s="2">
        <v>95.65</v>
      </c>
      <c r="J315" s="15">
        <v>3.4159999999999999</v>
      </c>
      <c r="K315" s="15">
        <v>1.954</v>
      </c>
      <c r="P315" s="2"/>
      <c r="Q315" s="2"/>
      <c r="R315" s="2"/>
      <c r="S315" s="2"/>
      <c r="AE315" s="2">
        <v>91.83</v>
      </c>
      <c r="AF315" s="2">
        <v>100.3</v>
      </c>
      <c r="AG315" s="2">
        <v>90.31</v>
      </c>
      <c r="AH315" s="2">
        <v>95.65</v>
      </c>
      <c r="AI315" s="2" t="s">
        <v>772</v>
      </c>
      <c r="AJ315" s="2">
        <v>93.99</v>
      </c>
      <c r="AK315" s="2" t="s">
        <v>772</v>
      </c>
      <c r="AL315" s="2" t="s">
        <v>772</v>
      </c>
      <c r="AM315" s="19">
        <v>0.37083333333333335</v>
      </c>
      <c r="AN315" s="8">
        <f>(8+(54/60))*AJ315</f>
        <v>836.51099999999997</v>
      </c>
      <c r="AX315" s="8">
        <v>312.78245099999998</v>
      </c>
      <c r="AY315" s="8">
        <v>295.90630499999997</v>
      </c>
      <c r="AZ315" s="8">
        <v>309.70001000000002</v>
      </c>
      <c r="BA315" s="8">
        <v>320.94135799999998</v>
      </c>
      <c r="BB315" s="8">
        <v>316.89379000000002</v>
      </c>
      <c r="BC315" s="8">
        <v>299.791045</v>
      </c>
      <c r="BD315" s="8">
        <v>319.27305000000001</v>
      </c>
      <c r="BE315" s="8">
        <v>302.22350999999998</v>
      </c>
      <c r="BF315" s="8">
        <v>296.40147200000001</v>
      </c>
      <c r="BG315" s="8">
        <v>317.76522199999999</v>
      </c>
      <c r="BH315" s="8">
        <v>306.18397499999998</v>
      </c>
      <c r="BI315" s="8">
        <v>302.29107599999998</v>
      </c>
      <c r="BJ315" s="8">
        <v>329.16150199999998</v>
      </c>
    </row>
    <row r="316" spans="1:62" ht="12.5" x14ac:dyDescent="0.25">
      <c r="E316" s="138" t="s">
        <v>1731</v>
      </c>
      <c r="K316" s="15"/>
      <c r="P316" s="2"/>
      <c r="Q316" s="2"/>
      <c r="R316" s="2"/>
      <c r="S316" s="2"/>
      <c r="AE316" s="2"/>
      <c r="AG316" s="2"/>
      <c r="AH316" s="2"/>
      <c r="AI316" s="2"/>
      <c r="AJ316" s="2"/>
      <c r="AK316" s="2"/>
      <c r="AL316" s="2"/>
      <c r="AM316" s="19"/>
      <c r="AN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</row>
    <row r="317" spans="1:62" ht="12.5" x14ac:dyDescent="0.25">
      <c r="E317" s="138" t="s">
        <v>1732</v>
      </c>
      <c r="K317" s="15"/>
      <c r="P317" s="2"/>
      <c r="Q317" s="2"/>
      <c r="R317" s="2"/>
      <c r="S317" s="2"/>
      <c r="AE317" s="2"/>
      <c r="AG317" s="2"/>
      <c r="AH317" s="2"/>
      <c r="AI317" s="2"/>
      <c r="AJ317" s="2"/>
      <c r="AK317" s="2"/>
      <c r="AL317" s="2"/>
      <c r="AM317" s="19"/>
      <c r="AN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</row>
    <row r="318" spans="1:62" ht="12.5" x14ac:dyDescent="0.25">
      <c r="A318" s="2">
        <v>139</v>
      </c>
      <c r="B318" s="2">
        <v>145</v>
      </c>
      <c r="C318" s="2">
        <v>591</v>
      </c>
      <c r="E318" s="138" t="s">
        <v>146</v>
      </c>
      <c r="F318" t="s">
        <v>9</v>
      </c>
      <c r="H318" s="2">
        <v>168050</v>
      </c>
      <c r="I318" s="2">
        <v>68.27</v>
      </c>
      <c r="J318" s="15">
        <v>2.9159999999999999</v>
      </c>
      <c r="K318" s="15">
        <v>2.2799999999999998</v>
      </c>
      <c r="P318" s="2"/>
      <c r="Q318" s="2"/>
      <c r="R318" s="2"/>
      <c r="S318" s="2"/>
      <c r="AE318" s="2">
        <v>114.9</v>
      </c>
      <c r="AF318" s="2">
        <v>79.959999999999994</v>
      </c>
      <c r="AG318" s="2">
        <v>81.650000000000006</v>
      </c>
      <c r="AH318" s="2">
        <v>68.27</v>
      </c>
      <c r="AI318" s="14" t="s">
        <v>772</v>
      </c>
      <c r="AJ318" s="2">
        <v>71.849999999999994</v>
      </c>
      <c r="AK318" s="14" t="s">
        <v>772</v>
      </c>
      <c r="AL318" s="14" t="s">
        <v>772</v>
      </c>
      <c r="AM318" s="19">
        <v>0.16458333333333333</v>
      </c>
      <c r="AN318" s="8">
        <f>(3+(57/60))*AJ318</f>
        <v>283.8075</v>
      </c>
    </row>
    <row r="319" spans="1:62" ht="12.5" x14ac:dyDescent="0.25">
      <c r="A319" s="2">
        <v>140</v>
      </c>
      <c r="B319" s="2">
        <v>190</v>
      </c>
      <c r="C319" s="2">
        <v>970</v>
      </c>
      <c r="E319" t="s">
        <v>173</v>
      </c>
      <c r="I319" s="2">
        <v>60.27</v>
      </c>
      <c r="J319" s="15">
        <v>2.1520000000000001</v>
      </c>
      <c r="K319" s="15">
        <v>1.1539999999999999</v>
      </c>
      <c r="P319" s="2"/>
      <c r="Q319" s="2"/>
      <c r="R319" s="2"/>
      <c r="S319" s="2"/>
      <c r="AE319" s="2">
        <v>78.290000000000006</v>
      </c>
      <c r="AF319" s="2">
        <v>63.84</v>
      </c>
      <c r="AG319" s="2">
        <v>58.54</v>
      </c>
      <c r="AH319" s="2">
        <v>60.27</v>
      </c>
      <c r="AI319" s="14" t="s">
        <v>772</v>
      </c>
      <c r="AJ319" s="2">
        <v>61.65</v>
      </c>
      <c r="AK319" s="14" t="s">
        <v>772</v>
      </c>
      <c r="AL319" s="14" t="s">
        <v>772</v>
      </c>
      <c r="AM319" s="19">
        <v>0.1986111111111111</v>
      </c>
      <c r="AN319" s="8">
        <f>(4+(46/60))*AJ319</f>
        <v>293.86500000000001</v>
      </c>
    </row>
    <row r="320" spans="1:62" ht="12.5" x14ac:dyDescent="0.25">
      <c r="A320" s="2">
        <v>141</v>
      </c>
      <c r="B320" s="2">
        <v>125</v>
      </c>
      <c r="C320" s="2">
        <v>574</v>
      </c>
      <c r="E320" t="s">
        <v>201</v>
      </c>
      <c r="F320" t="s">
        <v>701</v>
      </c>
      <c r="H320" s="2">
        <v>26810</v>
      </c>
      <c r="I320" s="2">
        <v>49.29</v>
      </c>
      <c r="J320" s="15">
        <v>1.76</v>
      </c>
      <c r="K320" s="15">
        <v>1.43</v>
      </c>
      <c r="P320" s="2"/>
      <c r="Q320" s="2"/>
      <c r="R320" s="2"/>
      <c r="S320" s="2"/>
      <c r="AE320" s="2">
        <v>52.52</v>
      </c>
      <c r="AF320" s="2">
        <v>61.39</v>
      </c>
      <c r="AG320" s="2">
        <v>63.13</v>
      </c>
      <c r="AH320" s="2">
        <v>49.29</v>
      </c>
      <c r="AI320" s="14" t="s">
        <v>772</v>
      </c>
      <c r="AJ320" s="2">
        <v>48.5</v>
      </c>
      <c r="AK320" s="14" t="s">
        <v>772</v>
      </c>
      <c r="AL320" s="14" t="s">
        <v>772</v>
      </c>
      <c r="AM320" s="19">
        <v>0.16527777777777777</v>
      </c>
      <c r="AN320" s="8">
        <f>(3+(58/60))*AJ320</f>
        <v>192.38333333333333</v>
      </c>
    </row>
    <row r="321" spans="1:63" ht="12.5" x14ac:dyDescent="0.25">
      <c r="A321" s="2">
        <v>142</v>
      </c>
      <c r="B321" s="2">
        <v>133</v>
      </c>
      <c r="C321" s="2">
        <v>196</v>
      </c>
      <c r="E321" s="138" t="s">
        <v>191</v>
      </c>
      <c r="F321" t="s">
        <v>698</v>
      </c>
      <c r="G321" t="s">
        <v>1325</v>
      </c>
      <c r="H321" s="2">
        <v>7790</v>
      </c>
      <c r="I321" s="2">
        <v>131.19999999999999</v>
      </c>
      <c r="J321" s="15">
        <v>4.6870000000000003</v>
      </c>
      <c r="K321" s="15">
        <v>3.4140000000000001</v>
      </c>
      <c r="P321" s="2"/>
      <c r="Q321" s="2"/>
      <c r="R321" s="2"/>
      <c r="S321" s="2"/>
      <c r="AE321" s="2">
        <v>130.4</v>
      </c>
      <c r="AF321" s="2">
        <v>117.5</v>
      </c>
      <c r="AG321" s="2">
        <v>137.69999999999999</v>
      </c>
      <c r="AH321" s="2">
        <v>131.19999999999999</v>
      </c>
      <c r="AI321" s="14" t="s">
        <v>772</v>
      </c>
      <c r="AJ321" s="2">
        <v>132.69999999999999</v>
      </c>
      <c r="AK321" s="14" t="s">
        <v>772</v>
      </c>
      <c r="AL321" s="14" t="s">
        <v>772</v>
      </c>
      <c r="AM321" s="19">
        <v>0.21805555555555556</v>
      </c>
      <c r="AN321" s="8">
        <f>(5+(14/60))*AJ321</f>
        <v>694.46333333333325</v>
      </c>
      <c r="AX321" s="8">
        <v>233.89945</v>
      </c>
      <c r="AY321" s="8">
        <v>215.08320599999999</v>
      </c>
      <c r="AZ321" s="8">
        <v>232.23367999999999</v>
      </c>
      <c r="BA321" s="8">
        <v>242.098433</v>
      </c>
      <c r="BB321" s="8">
        <v>227.311015</v>
      </c>
      <c r="BC321" s="8">
        <v>222.01264800000001</v>
      </c>
      <c r="BD321" s="8">
        <v>233.75949199999999</v>
      </c>
      <c r="BE321" s="8">
        <v>237.317117</v>
      </c>
      <c r="BF321" s="8">
        <v>258.07688000000002</v>
      </c>
      <c r="BG321" s="8">
        <v>259.84838500000001</v>
      </c>
      <c r="BH321" s="8">
        <v>275.11379699999998</v>
      </c>
      <c r="BI321" s="8">
        <v>244.29660200000001</v>
      </c>
      <c r="BJ321" s="8">
        <v>233.499413</v>
      </c>
    </row>
    <row r="322" spans="1:63" ht="12.5" x14ac:dyDescent="0.25">
      <c r="E322" s="138" t="s">
        <v>1632</v>
      </c>
      <c r="K322" s="15"/>
      <c r="P322" s="2"/>
      <c r="Q322" s="2"/>
      <c r="R322" s="2"/>
      <c r="S322" s="2"/>
      <c r="AE322" s="2"/>
      <c r="AG322" s="2"/>
      <c r="AH322" s="2"/>
      <c r="AI322" s="14"/>
      <c r="AJ322" s="2"/>
      <c r="AK322" s="14"/>
      <c r="AL322" s="14"/>
      <c r="AM322" s="19"/>
      <c r="AN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</row>
    <row r="323" spans="1:63" ht="12.5" x14ac:dyDescent="0.25">
      <c r="E323" s="138" t="s">
        <v>1690</v>
      </c>
      <c r="K323" s="15"/>
      <c r="P323" s="2"/>
      <c r="Q323" s="2"/>
      <c r="R323" s="2"/>
      <c r="S323" s="2"/>
      <c r="AE323" s="2"/>
      <c r="AG323" s="2"/>
      <c r="AH323" s="2"/>
      <c r="AI323" s="14"/>
      <c r="AJ323" s="2"/>
      <c r="AK323" s="14"/>
      <c r="AL323" s="14"/>
      <c r="AM323" s="19"/>
      <c r="AN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</row>
    <row r="324" spans="1:63" ht="12.5" x14ac:dyDescent="0.25">
      <c r="E324" s="138" t="s">
        <v>1765</v>
      </c>
      <c r="K324" s="15"/>
      <c r="P324" s="2"/>
      <c r="Q324" s="2"/>
      <c r="R324" s="2"/>
      <c r="S324" s="2"/>
      <c r="AE324" s="2"/>
      <c r="AG324" s="2"/>
      <c r="AH324" s="2"/>
      <c r="AI324" s="14"/>
      <c r="AJ324" s="2"/>
      <c r="AK324" s="14"/>
      <c r="AL324" s="14"/>
      <c r="AM324" s="19"/>
      <c r="AN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</row>
    <row r="325" spans="1:63" ht="12.5" x14ac:dyDescent="0.25">
      <c r="E325" s="138" t="s">
        <v>1766</v>
      </c>
      <c r="K325" s="15"/>
      <c r="P325" s="2"/>
      <c r="Q325" s="2"/>
      <c r="R325" s="2"/>
      <c r="S325" s="2"/>
      <c r="AE325" s="2"/>
      <c r="AG325" s="2"/>
      <c r="AH325" s="2"/>
      <c r="AI325" s="14"/>
      <c r="AJ325" s="2"/>
      <c r="AK325" s="14"/>
      <c r="AL325" s="14"/>
      <c r="AM325" s="19"/>
      <c r="AN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</row>
    <row r="326" spans="1:63" ht="12.5" x14ac:dyDescent="0.25">
      <c r="E326" s="138" t="s">
        <v>1767</v>
      </c>
      <c r="K326" s="15"/>
      <c r="P326" s="2"/>
      <c r="Q326" s="2"/>
      <c r="R326" s="2"/>
      <c r="S326" s="2"/>
      <c r="AE326" s="2"/>
      <c r="AG326" s="2"/>
      <c r="AH326" s="2"/>
      <c r="AI326" s="14"/>
      <c r="AJ326" s="2"/>
      <c r="AK326" s="14"/>
      <c r="AL326" s="14"/>
      <c r="AM326" s="19"/>
      <c r="AN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</row>
    <row r="327" spans="1:63" ht="12.5" x14ac:dyDescent="0.25">
      <c r="E327" s="138" t="s">
        <v>1691</v>
      </c>
      <c r="K327" s="15"/>
      <c r="P327" s="2"/>
      <c r="Q327" s="2"/>
      <c r="R327" s="2"/>
      <c r="S327" s="2"/>
      <c r="AE327" s="2"/>
      <c r="AG327" s="2"/>
      <c r="AH327" s="2"/>
      <c r="AI327" s="14"/>
      <c r="AJ327" s="2"/>
      <c r="AK327" s="14"/>
      <c r="AL327" s="14"/>
      <c r="AM327" s="19"/>
      <c r="AN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</row>
    <row r="328" spans="1:63" ht="12.5" x14ac:dyDescent="0.25">
      <c r="E328" s="138" t="s">
        <v>1692</v>
      </c>
      <c r="K328" s="15"/>
      <c r="P328" s="2"/>
      <c r="Q328" s="2"/>
      <c r="R328" s="2"/>
      <c r="S328" s="2"/>
      <c r="AE328" s="2"/>
      <c r="AG328" s="2"/>
      <c r="AH328" s="2"/>
      <c r="AI328" s="14"/>
      <c r="AJ328" s="2"/>
      <c r="AK328" s="14"/>
      <c r="AL328" s="14"/>
      <c r="AM328" s="19"/>
      <c r="AN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</row>
    <row r="329" spans="1:63" ht="12.5" x14ac:dyDescent="0.25">
      <c r="A329" s="2">
        <v>143</v>
      </c>
      <c r="B329" s="2">
        <v>129</v>
      </c>
      <c r="C329" s="2">
        <v>527</v>
      </c>
      <c r="E329" s="138" t="s">
        <v>160</v>
      </c>
      <c r="I329" s="2">
        <v>89.78</v>
      </c>
      <c r="J329" s="15">
        <v>3.206</v>
      </c>
      <c r="K329" s="15">
        <v>2.6320000000000001</v>
      </c>
      <c r="P329" s="2"/>
      <c r="Q329" s="2"/>
      <c r="R329" s="2"/>
      <c r="S329" s="2"/>
      <c r="AE329" s="2">
        <v>127.7</v>
      </c>
      <c r="AF329" s="2">
        <v>81.8</v>
      </c>
      <c r="AG329" s="2">
        <v>99.9</v>
      </c>
      <c r="AH329" s="2">
        <v>89.78</v>
      </c>
      <c r="AI329" s="14" t="s">
        <v>772</v>
      </c>
      <c r="AJ329" s="2">
        <v>77.06</v>
      </c>
      <c r="AK329" s="14" t="s">
        <v>772</v>
      </c>
      <c r="AL329" s="14" t="s">
        <v>772</v>
      </c>
      <c r="AM329" s="19">
        <v>6.0416666666666667E-2</v>
      </c>
      <c r="AN329" s="8">
        <f>(1+(27/60))*AJ329</f>
        <v>111.73699999999999</v>
      </c>
    </row>
    <row r="330" spans="1:63" ht="12.5" x14ac:dyDescent="0.25">
      <c r="A330" s="2">
        <v>144</v>
      </c>
      <c r="B330" s="2">
        <v>182</v>
      </c>
      <c r="C330" s="2">
        <v>927</v>
      </c>
      <c r="E330" t="s">
        <v>250</v>
      </c>
      <c r="F330" t="s">
        <v>6</v>
      </c>
      <c r="H330" s="2">
        <v>3350</v>
      </c>
      <c r="I330" s="2">
        <v>37.200000000000003</v>
      </c>
      <c r="J330" s="15">
        <v>1.3280000000000001</v>
      </c>
      <c r="K330" s="15">
        <v>1.111</v>
      </c>
      <c r="P330" s="2"/>
      <c r="Q330" s="2"/>
      <c r="R330" s="2"/>
      <c r="S330" s="2"/>
      <c r="AE330" s="2">
        <v>45.59</v>
      </c>
      <c r="AF330" s="2">
        <v>35.04</v>
      </c>
      <c r="AG330" s="2">
        <v>37.82</v>
      </c>
      <c r="AH330" s="54">
        <v>37.200000000000003</v>
      </c>
      <c r="AI330" s="54" t="s">
        <v>772</v>
      </c>
      <c r="AJ330" s="54">
        <v>39.01</v>
      </c>
      <c r="AK330" s="54" t="s">
        <v>772</v>
      </c>
      <c r="AL330" s="54" t="s">
        <v>772</v>
      </c>
      <c r="AM330" s="19">
        <v>0.17152777777777775</v>
      </c>
      <c r="AN330" s="8">
        <f>(4+(7/60))*AJ330</f>
        <v>160.59116666666665</v>
      </c>
    </row>
    <row r="331" spans="1:63" ht="12.5" x14ac:dyDescent="0.25">
      <c r="A331" s="2">
        <v>145</v>
      </c>
      <c r="B331" s="2">
        <v>81</v>
      </c>
      <c r="C331" s="2">
        <v>97</v>
      </c>
      <c r="E331" s="138" t="s">
        <v>237</v>
      </c>
      <c r="I331" s="2">
        <v>122</v>
      </c>
      <c r="J331" s="15">
        <v>4.3579999999999997</v>
      </c>
      <c r="K331" s="15">
        <v>2.9039999999999999</v>
      </c>
      <c r="P331" s="2"/>
      <c r="Q331" s="2"/>
      <c r="R331" s="2"/>
      <c r="S331" s="2"/>
      <c r="AE331" s="2">
        <v>71.91</v>
      </c>
      <c r="AF331" s="2">
        <v>115</v>
      </c>
      <c r="AG331" s="2">
        <v>109.9</v>
      </c>
      <c r="AH331" s="2">
        <v>122</v>
      </c>
      <c r="AI331" s="2" t="s">
        <v>772</v>
      </c>
      <c r="AJ331" s="2">
        <v>123.1</v>
      </c>
      <c r="AK331" s="2" t="s">
        <v>772</v>
      </c>
      <c r="AL331" s="2" t="s">
        <v>772</v>
      </c>
      <c r="AM331" s="19">
        <v>0.47152777777777777</v>
      </c>
      <c r="AN331" s="8">
        <f>(11+(19/60))*AJ331</f>
        <v>1393.0816666666665</v>
      </c>
    </row>
    <row r="332" spans="1:63" ht="12.5" x14ac:dyDescent="0.25">
      <c r="A332" s="2">
        <v>146</v>
      </c>
      <c r="B332" s="2">
        <v>137</v>
      </c>
      <c r="C332" s="2">
        <v>616</v>
      </c>
      <c r="E332" t="s">
        <v>190</v>
      </c>
      <c r="F332" s="13" t="s">
        <v>697</v>
      </c>
      <c r="G332" s="13"/>
      <c r="H332" s="2">
        <v>31000</v>
      </c>
      <c r="I332" s="2">
        <v>48.07</v>
      </c>
      <c r="J332" s="15">
        <v>1.716</v>
      </c>
      <c r="K332" s="15">
        <v>1.3009999999999999</v>
      </c>
      <c r="P332" s="2"/>
      <c r="Q332" s="2"/>
      <c r="R332" s="2"/>
      <c r="S332" s="2"/>
      <c r="AE332" s="2">
        <v>49.69</v>
      </c>
      <c r="AF332" s="2">
        <v>55.16</v>
      </c>
      <c r="AG332" s="2">
        <v>54.08</v>
      </c>
      <c r="AH332" s="2">
        <v>48.07</v>
      </c>
      <c r="AI332" s="14" t="s">
        <v>772</v>
      </c>
      <c r="AJ332" s="2">
        <v>49.86</v>
      </c>
      <c r="AK332" s="14" t="s">
        <v>772</v>
      </c>
      <c r="AL332" s="14" t="s">
        <v>772</v>
      </c>
      <c r="AM332" s="19">
        <v>0.22916666666666666</v>
      </c>
      <c r="AN332" s="8">
        <f>5.5*AJ332</f>
        <v>274.23</v>
      </c>
    </row>
    <row r="333" spans="1:63" ht="12.5" x14ac:dyDescent="0.25">
      <c r="A333" s="2">
        <v>147</v>
      </c>
      <c r="B333" s="2">
        <v>162</v>
      </c>
      <c r="C333" s="2">
        <v>794</v>
      </c>
      <c r="E333" t="s">
        <v>232</v>
      </c>
      <c r="I333" s="2">
        <v>42.79</v>
      </c>
      <c r="J333" s="15">
        <v>1.528</v>
      </c>
      <c r="K333" s="15">
        <v>1.3180000000000001</v>
      </c>
      <c r="P333" s="2"/>
      <c r="Q333" s="2"/>
      <c r="R333" s="2"/>
      <c r="S333" s="2"/>
      <c r="AE333" s="2">
        <v>44.42</v>
      </c>
      <c r="AF333" s="2">
        <v>44.23</v>
      </c>
      <c r="AG333" s="2">
        <v>41.62</v>
      </c>
      <c r="AH333" s="2">
        <v>42.79</v>
      </c>
      <c r="AI333" s="2" t="s">
        <v>772</v>
      </c>
      <c r="AJ333" s="2">
        <v>42.33</v>
      </c>
      <c r="AK333" s="2" t="s">
        <v>772</v>
      </c>
      <c r="AL333" s="2" t="s">
        <v>772</v>
      </c>
      <c r="AM333" s="19">
        <v>0.17083333333333331</v>
      </c>
      <c r="AN333" s="8">
        <f>(4+(6/60))*AJ333</f>
        <v>173.55299999999997</v>
      </c>
    </row>
    <row r="334" spans="1:63" ht="12.5" x14ac:dyDescent="0.25">
      <c r="A334" s="2">
        <v>148</v>
      </c>
      <c r="B334" s="2">
        <v>201</v>
      </c>
      <c r="C334" s="2">
        <v>1042</v>
      </c>
      <c r="E334" t="s">
        <v>136</v>
      </c>
      <c r="F334" t="s">
        <v>540</v>
      </c>
      <c r="H334" s="2">
        <v>0</v>
      </c>
      <c r="I334" s="2">
        <v>58.78</v>
      </c>
      <c r="J334" s="15">
        <v>2.0990000000000002</v>
      </c>
      <c r="K334" s="15">
        <v>1.2969999999999999</v>
      </c>
      <c r="P334" s="2"/>
      <c r="Q334" s="2"/>
      <c r="R334" s="2"/>
      <c r="S334" s="2"/>
      <c r="AE334" s="2">
        <v>78.069999999999993</v>
      </c>
      <c r="AF334" s="2">
        <v>76.349999999999994</v>
      </c>
      <c r="AG334" s="2">
        <v>58.78</v>
      </c>
      <c r="AH334" s="2">
        <v>78.27</v>
      </c>
      <c r="AI334" s="14" t="s">
        <v>772</v>
      </c>
      <c r="AJ334" s="2">
        <v>79.61</v>
      </c>
      <c r="AK334" s="14" t="s">
        <v>772</v>
      </c>
      <c r="AL334" s="14" t="s">
        <v>772</v>
      </c>
      <c r="AM334" s="19">
        <v>0.12291666666666667</v>
      </c>
      <c r="AN334" s="8">
        <f>(2+(57/60))*AJ334</f>
        <v>234.84950000000001</v>
      </c>
    </row>
    <row r="335" spans="1:63" s="145" customFormat="1" x14ac:dyDescent="0.3">
      <c r="A335" s="144">
        <v>139</v>
      </c>
      <c r="B335" s="144">
        <v>149</v>
      </c>
      <c r="C335" s="144">
        <v>505</v>
      </c>
      <c r="D335" s="144">
        <v>460</v>
      </c>
      <c r="E335" s="139" t="s">
        <v>101</v>
      </c>
      <c r="F335" s="145" t="s">
        <v>538</v>
      </c>
      <c r="G335" s="145" t="s">
        <v>1270</v>
      </c>
      <c r="H335" s="144">
        <v>167630</v>
      </c>
      <c r="I335" s="144">
        <v>121.9</v>
      </c>
      <c r="J335" s="146">
        <v>4.3529999999999998</v>
      </c>
      <c r="K335" s="146">
        <v>3.0750000000000002</v>
      </c>
      <c r="L335" s="144"/>
      <c r="M335" s="147"/>
      <c r="N335" s="147"/>
      <c r="O335" s="147"/>
      <c r="P335" s="144"/>
      <c r="Q335" s="144"/>
      <c r="R335" s="144"/>
      <c r="S335" s="144"/>
      <c r="T335" s="147">
        <v>116.1</v>
      </c>
      <c r="U335" s="147">
        <v>126.9</v>
      </c>
      <c r="V335" s="147">
        <v>172.8</v>
      </c>
      <c r="W335" s="147">
        <v>140.5</v>
      </c>
      <c r="X335" s="147">
        <v>107.8</v>
      </c>
      <c r="Y335" s="147">
        <v>114.2</v>
      </c>
      <c r="Z335" s="147"/>
      <c r="AA335" s="147"/>
      <c r="AB335" s="147"/>
      <c r="AC335" s="147"/>
      <c r="AD335" s="147"/>
      <c r="AE335" s="144">
        <v>108.6</v>
      </c>
      <c r="AF335" s="144">
        <v>99.46</v>
      </c>
      <c r="AG335" s="144">
        <v>124.1</v>
      </c>
      <c r="AH335" s="144">
        <v>121.9</v>
      </c>
      <c r="AI335" s="144" t="s">
        <v>772</v>
      </c>
      <c r="AJ335" s="144">
        <v>117.2</v>
      </c>
      <c r="AK335" s="144" t="s">
        <v>772</v>
      </c>
      <c r="AL335" s="144" t="s">
        <v>772</v>
      </c>
      <c r="AM335" s="156">
        <v>0.10347222222222223</v>
      </c>
      <c r="AN335" s="153">
        <f>(2+(29/60))*AJ335</f>
        <v>291.04666666666668</v>
      </c>
      <c r="AX335" s="155">
        <v>166.1</v>
      </c>
      <c r="AY335" s="155">
        <v>149.79</v>
      </c>
      <c r="AZ335" s="155">
        <v>162.13999999999999</v>
      </c>
      <c r="BA335" s="155">
        <v>181.63</v>
      </c>
      <c r="BB335" s="155">
        <v>153.66</v>
      </c>
      <c r="BC335" s="155">
        <v>154.99</v>
      </c>
      <c r="BD335" s="155">
        <v>171.03</v>
      </c>
      <c r="BE335" s="155">
        <v>166.85</v>
      </c>
      <c r="BF335" s="155">
        <v>197.36</v>
      </c>
      <c r="BG335" s="155">
        <v>224.58</v>
      </c>
      <c r="BH335" s="155">
        <v>272.72000000000003</v>
      </c>
      <c r="BI335" s="155">
        <v>209.09</v>
      </c>
      <c r="BJ335" s="155">
        <v>211.6</v>
      </c>
      <c r="BK335" s="147"/>
    </row>
    <row r="336" spans="1:63" x14ac:dyDescent="0.3">
      <c r="A336" s="4">
        <v>150</v>
      </c>
      <c r="B336" s="4">
        <v>173</v>
      </c>
      <c r="C336" s="4">
        <v>504</v>
      </c>
      <c r="D336" s="4"/>
      <c r="E336" t="s">
        <v>294</v>
      </c>
      <c r="F336" t="s">
        <v>6</v>
      </c>
      <c r="H336" s="2">
        <v>500</v>
      </c>
      <c r="I336" s="2">
        <v>52.71</v>
      </c>
      <c r="J336" s="15">
        <v>1.8819999999999999</v>
      </c>
      <c r="K336" s="15">
        <v>0.740479</v>
      </c>
      <c r="P336" s="2"/>
      <c r="Q336" s="2"/>
      <c r="R336" s="2"/>
      <c r="S336" s="2"/>
      <c r="AE336" s="2">
        <v>52.26</v>
      </c>
      <c r="AF336" s="2">
        <v>51.12</v>
      </c>
      <c r="AG336" s="2">
        <v>49.53</v>
      </c>
      <c r="AH336" s="2">
        <v>52.71</v>
      </c>
      <c r="AI336" s="14" t="s">
        <v>772</v>
      </c>
      <c r="AJ336" s="14" t="s">
        <v>772</v>
      </c>
      <c r="AK336" s="14" t="s">
        <v>772</v>
      </c>
      <c r="AL336" s="14" t="s">
        <v>772</v>
      </c>
      <c r="AM336" s="19">
        <v>0.4604166666666667</v>
      </c>
      <c r="AN336" s="8">
        <f>(11+(3/60))*AH336</f>
        <v>582.44550000000004</v>
      </c>
    </row>
    <row r="337" spans="1:62" ht="12.5" x14ac:dyDescent="0.25">
      <c r="A337" s="2">
        <v>152</v>
      </c>
      <c r="B337" s="2">
        <v>160</v>
      </c>
      <c r="C337" s="2">
        <v>730</v>
      </c>
      <c r="E337" t="s">
        <v>227</v>
      </c>
      <c r="G337" t="s">
        <v>1263</v>
      </c>
      <c r="I337" s="2">
        <v>50.22</v>
      </c>
      <c r="J337" s="15">
        <v>1.7929999999999999</v>
      </c>
      <c r="K337" s="15">
        <v>1.3340000000000001</v>
      </c>
      <c r="P337" s="2"/>
      <c r="Q337" s="2"/>
      <c r="R337" s="2"/>
      <c r="S337" s="2"/>
      <c r="AE337" s="2">
        <v>48.74</v>
      </c>
      <c r="AF337" s="2">
        <v>51.54</v>
      </c>
      <c r="AG337" s="2">
        <v>45.51</v>
      </c>
      <c r="AH337" s="2">
        <v>50.22</v>
      </c>
      <c r="AI337" s="2" t="s">
        <v>772</v>
      </c>
      <c r="AJ337" s="2">
        <v>49.43</v>
      </c>
      <c r="AK337" s="2" t="s">
        <v>772</v>
      </c>
      <c r="AL337" s="2" t="s">
        <v>772</v>
      </c>
      <c r="AM337" s="19">
        <v>0.28402777777777777</v>
      </c>
      <c r="AN337" s="8">
        <f>(6+(49/60))*AJ337</f>
        <v>336.94783333333334</v>
      </c>
    </row>
    <row r="338" spans="1:62" x14ac:dyDescent="0.3">
      <c r="A338" s="2">
        <v>153</v>
      </c>
      <c r="B338" s="2">
        <v>425</v>
      </c>
      <c r="C338" s="2">
        <v>747</v>
      </c>
      <c r="E338" t="s">
        <v>425</v>
      </c>
      <c r="P338" s="2"/>
      <c r="Q338" s="2"/>
      <c r="R338" s="2"/>
      <c r="S338" s="2"/>
      <c r="AE338" s="2">
        <v>35.229999999999997</v>
      </c>
      <c r="AF338" s="2" t="s">
        <v>772</v>
      </c>
      <c r="AG338" s="1" t="s">
        <v>772</v>
      </c>
      <c r="AH338" s="14" t="s">
        <v>772</v>
      </c>
      <c r="AI338" s="14" t="s">
        <v>772</v>
      </c>
      <c r="AJ338" s="14" t="s">
        <v>772</v>
      </c>
      <c r="AK338" s="14" t="s">
        <v>772</v>
      </c>
      <c r="AL338" s="2" t="s">
        <v>772</v>
      </c>
      <c r="AM338" s="19">
        <v>0.6645833333333333</v>
      </c>
      <c r="AN338" s="8">
        <f>(15+(57/60))*AE338</f>
        <v>561.91849999999988</v>
      </c>
    </row>
    <row r="339" spans="1:62" ht="12.5" x14ac:dyDescent="0.25">
      <c r="A339" s="2">
        <v>154</v>
      </c>
      <c r="B339" s="2">
        <v>142</v>
      </c>
      <c r="C339" s="2">
        <v>226</v>
      </c>
      <c r="E339" s="138" t="s">
        <v>162</v>
      </c>
      <c r="F339" t="s">
        <v>548</v>
      </c>
      <c r="G339" t="s">
        <v>1318</v>
      </c>
      <c r="H339" s="2">
        <v>184760</v>
      </c>
      <c r="I339" s="2">
        <v>132.9</v>
      </c>
      <c r="J339" s="15">
        <v>4.7489999999999997</v>
      </c>
      <c r="K339" s="15">
        <v>3.9039999999999999</v>
      </c>
      <c r="P339" s="2"/>
      <c r="Q339" s="2"/>
      <c r="R339" s="2"/>
      <c r="S339" s="2"/>
      <c r="AE339" s="2">
        <v>117.6</v>
      </c>
      <c r="AF339" s="2">
        <v>131.69999999999999</v>
      </c>
      <c r="AG339" s="2">
        <v>134.1</v>
      </c>
      <c r="AH339" s="2">
        <v>132.9</v>
      </c>
      <c r="AI339" s="14" t="s">
        <v>772</v>
      </c>
      <c r="AJ339" s="2">
        <v>129.69999999999999</v>
      </c>
      <c r="AK339" s="14" t="s">
        <v>772</v>
      </c>
      <c r="AL339" s="14" t="s">
        <v>772</v>
      </c>
      <c r="AM339" s="19">
        <v>0.15</v>
      </c>
      <c r="AN339" s="8">
        <f>(3+(36/60))*AJ339</f>
        <v>466.91999999999996</v>
      </c>
      <c r="AX339" s="8">
        <v>186.48488800000001</v>
      </c>
      <c r="AY339" s="8">
        <v>180.728227</v>
      </c>
      <c r="AZ339" s="8">
        <v>208.50952799999999</v>
      </c>
      <c r="BA339" s="8">
        <v>159.40517600000001</v>
      </c>
      <c r="BB339" s="8">
        <v>143.08310800000001</v>
      </c>
      <c r="BC339" s="8">
        <v>142.83942999999999</v>
      </c>
      <c r="BD339" s="8">
        <v>148.67879099999999</v>
      </c>
      <c r="BE339" s="8">
        <v>140.427323</v>
      </c>
      <c r="BF339" s="8">
        <v>184.08309600000001</v>
      </c>
      <c r="BG339" s="8">
        <v>190.94229100000001</v>
      </c>
      <c r="BH339" s="8">
        <v>187.458054</v>
      </c>
      <c r="BI339" s="8">
        <v>147.286406</v>
      </c>
      <c r="BJ339" s="8">
        <v>156.83951200000001</v>
      </c>
    </row>
    <row r="340" spans="1:62" ht="12.5" x14ac:dyDescent="0.25">
      <c r="A340" s="2">
        <v>155</v>
      </c>
      <c r="B340" s="2">
        <v>155</v>
      </c>
      <c r="C340" s="2">
        <v>201</v>
      </c>
      <c r="E340" s="138" t="s">
        <v>275</v>
      </c>
      <c r="F340" t="s">
        <v>6</v>
      </c>
      <c r="I340" s="2">
        <v>117</v>
      </c>
      <c r="J340" s="15">
        <v>4.1790000000000003</v>
      </c>
      <c r="K340" s="15">
        <v>3.26</v>
      </c>
      <c r="P340" s="2"/>
      <c r="Q340" s="2"/>
      <c r="R340" s="2"/>
      <c r="S340" s="2"/>
      <c r="AE340" s="2">
        <v>129</v>
      </c>
      <c r="AF340" s="2">
        <v>125.1</v>
      </c>
      <c r="AG340" s="2">
        <v>115.1</v>
      </c>
      <c r="AH340" s="2">
        <v>117</v>
      </c>
      <c r="AI340" s="14" t="s">
        <v>772</v>
      </c>
      <c r="AJ340" s="14" t="s">
        <v>772</v>
      </c>
      <c r="AK340" s="14" t="s">
        <v>772</v>
      </c>
      <c r="AL340" s="14" t="s">
        <v>772</v>
      </c>
      <c r="AM340" s="19">
        <v>0.21041666666666667</v>
      </c>
      <c r="AN340" s="8">
        <f>(5+(3/60))*AH340</f>
        <v>590.85</v>
      </c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</row>
    <row r="341" spans="1:62" ht="12.5" x14ac:dyDescent="0.25">
      <c r="E341" s="138" t="s">
        <v>1680</v>
      </c>
      <c r="K341" s="15"/>
      <c r="P341" s="2"/>
      <c r="Q341" s="2"/>
      <c r="R341" s="2"/>
      <c r="S341" s="2"/>
      <c r="AE341" s="2"/>
      <c r="AG341" s="2"/>
      <c r="AH341" s="2"/>
      <c r="AI341" s="14"/>
      <c r="AJ341" s="14"/>
      <c r="AK341" s="14"/>
      <c r="AL341" s="14"/>
      <c r="AM341" s="19"/>
      <c r="AN341" s="8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</row>
    <row r="342" spans="1:62" ht="12.5" x14ac:dyDescent="0.25">
      <c r="E342" s="138" t="s">
        <v>1598</v>
      </c>
      <c r="K342" s="15"/>
      <c r="P342" s="2"/>
      <c r="Q342" s="2"/>
      <c r="R342" s="2"/>
      <c r="S342" s="2"/>
      <c r="AE342" s="2"/>
      <c r="AG342" s="2"/>
      <c r="AH342" s="2"/>
      <c r="AI342" s="14"/>
      <c r="AJ342" s="14"/>
      <c r="AK342" s="14"/>
      <c r="AL342" s="14"/>
      <c r="AM342" s="19"/>
      <c r="AN342" s="8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</row>
    <row r="343" spans="1:62" ht="12.5" x14ac:dyDescent="0.25">
      <c r="A343" s="2">
        <v>157</v>
      </c>
      <c r="B343" s="2">
        <v>221</v>
      </c>
      <c r="C343" s="2">
        <v>1137</v>
      </c>
      <c r="E343" t="s">
        <v>267</v>
      </c>
      <c r="I343" s="2">
        <v>41.04</v>
      </c>
      <c r="J343" s="15">
        <v>1.4650000000000001</v>
      </c>
      <c r="K343" s="15">
        <v>1.125</v>
      </c>
      <c r="P343" s="2"/>
      <c r="Q343" s="2"/>
      <c r="R343" s="2"/>
      <c r="S343" s="2"/>
      <c r="AE343" s="2">
        <v>49.58</v>
      </c>
      <c r="AF343" s="2">
        <v>39.19</v>
      </c>
      <c r="AG343" s="2">
        <v>37.94</v>
      </c>
      <c r="AH343" s="2">
        <v>41.04</v>
      </c>
      <c r="AI343" s="14" t="s">
        <v>772</v>
      </c>
      <c r="AJ343" s="14" t="s">
        <v>772</v>
      </c>
      <c r="AK343" s="14" t="s">
        <v>772</v>
      </c>
      <c r="AL343" s="14" t="s">
        <v>772</v>
      </c>
      <c r="AM343" s="19">
        <v>0.20347222222222219</v>
      </c>
      <c r="AN343" s="8">
        <f>(4+(53/60))*AH343</f>
        <v>200.41199999999998</v>
      </c>
    </row>
    <row r="344" spans="1:62" ht="12.5" x14ac:dyDescent="0.25">
      <c r="A344" s="2">
        <v>158</v>
      </c>
      <c r="B344" s="2">
        <v>159</v>
      </c>
      <c r="C344" s="2">
        <v>713</v>
      </c>
      <c r="E344" t="s">
        <v>357</v>
      </c>
      <c r="I344" s="2">
        <v>46.02</v>
      </c>
      <c r="J344" s="15">
        <v>1.643</v>
      </c>
      <c r="K344" s="15">
        <v>1.4219999999999999</v>
      </c>
      <c r="P344" s="2"/>
      <c r="Q344" s="2"/>
      <c r="R344" s="2"/>
      <c r="S344" s="2"/>
      <c r="AE344" s="2">
        <v>39.99</v>
      </c>
      <c r="AF344" s="2">
        <v>40.98</v>
      </c>
      <c r="AG344" s="2">
        <v>46.02</v>
      </c>
      <c r="AH344" s="14" t="s">
        <v>772</v>
      </c>
      <c r="AI344" s="14" t="s">
        <v>772</v>
      </c>
      <c r="AJ344" s="14" t="s">
        <v>772</v>
      </c>
      <c r="AK344" s="14" t="s">
        <v>772</v>
      </c>
      <c r="AL344" s="54" t="s">
        <v>772</v>
      </c>
      <c r="AM344" s="19">
        <v>0.1277777777777778</v>
      </c>
      <c r="AN344" s="8">
        <f>(3+(4/60))*AG344</f>
        <v>141.12800000000001</v>
      </c>
    </row>
    <row r="345" spans="1:62" x14ac:dyDescent="0.3">
      <c r="A345" s="2">
        <v>159</v>
      </c>
      <c r="B345" s="2">
        <v>166</v>
      </c>
      <c r="C345" s="2">
        <v>693</v>
      </c>
      <c r="E345" t="s">
        <v>143</v>
      </c>
      <c r="F345" t="s">
        <v>538</v>
      </c>
      <c r="H345" s="2">
        <v>167630</v>
      </c>
      <c r="I345" s="2">
        <v>88.19</v>
      </c>
      <c r="J345" s="15">
        <v>3.149</v>
      </c>
      <c r="K345" s="15">
        <v>2.5830000000000002</v>
      </c>
      <c r="P345" s="2"/>
      <c r="Q345" s="2"/>
      <c r="R345" s="2"/>
      <c r="S345" s="2"/>
      <c r="AE345" s="2">
        <v>134.80000000000001</v>
      </c>
      <c r="AF345" s="2">
        <v>71.59</v>
      </c>
      <c r="AG345" s="2">
        <v>88.19</v>
      </c>
      <c r="AH345" s="2">
        <v>99.03</v>
      </c>
      <c r="AI345" s="14" t="s">
        <v>772</v>
      </c>
      <c r="AJ345" s="2">
        <v>80.47</v>
      </c>
      <c r="AK345" s="14" t="s">
        <v>772</v>
      </c>
      <c r="AL345" s="14" t="s">
        <v>772</v>
      </c>
      <c r="AM345" s="19">
        <v>6.1805555555555558E-2</v>
      </c>
      <c r="AN345" s="57">
        <f>(1+(29/60))*AJ345</f>
        <v>119.36383333333333</v>
      </c>
      <c r="AX345" s="55">
        <v>152.28700000000001</v>
      </c>
      <c r="AY345" s="55">
        <v>138.52500000000001</v>
      </c>
      <c r="AZ345" s="55">
        <v>144.82300000000001</v>
      </c>
      <c r="BA345" s="55">
        <v>171.721</v>
      </c>
      <c r="BB345" s="55">
        <v>144.90100000000001</v>
      </c>
      <c r="BC345" s="55">
        <v>164.374</v>
      </c>
      <c r="BD345" s="55">
        <v>151.971</v>
      </c>
      <c r="BE345" s="55">
        <v>153.24700000000001</v>
      </c>
      <c r="BF345" s="55">
        <v>161.06899999999999</v>
      </c>
      <c r="BG345" s="55">
        <v>173.74700000000001</v>
      </c>
      <c r="BH345" s="55">
        <v>184.75299999999999</v>
      </c>
      <c r="BI345" s="55">
        <v>154.74600000000001</v>
      </c>
      <c r="BJ345" s="55">
        <v>175.25</v>
      </c>
    </row>
    <row r="346" spans="1:62" ht="12.5" x14ac:dyDescent="0.25">
      <c r="A346" s="2">
        <v>160</v>
      </c>
      <c r="B346" s="2">
        <v>131</v>
      </c>
      <c r="C346" s="2">
        <v>582</v>
      </c>
      <c r="E346" s="138" t="s">
        <v>119</v>
      </c>
      <c r="F346" t="s">
        <v>6</v>
      </c>
      <c r="H346" s="2">
        <v>1000</v>
      </c>
      <c r="I346" s="2">
        <v>104.1</v>
      </c>
      <c r="J346" s="15">
        <v>3.7189999999999999</v>
      </c>
      <c r="K346" s="15">
        <v>2.6459999999999999</v>
      </c>
      <c r="P346" s="2"/>
      <c r="Q346" s="2"/>
      <c r="R346" s="2"/>
      <c r="S346" s="2"/>
      <c r="AE346" s="2">
        <v>81.319999999999993</v>
      </c>
      <c r="AF346" s="2">
        <v>142.30000000000001</v>
      </c>
      <c r="AG346" s="2">
        <v>107.5</v>
      </c>
      <c r="AH346" s="2">
        <v>104.1</v>
      </c>
      <c r="AI346" s="14" t="s">
        <v>772</v>
      </c>
      <c r="AJ346" s="2">
        <v>106</v>
      </c>
      <c r="AK346" s="2" t="s">
        <v>772</v>
      </c>
      <c r="AL346" s="2" t="s">
        <v>772</v>
      </c>
      <c r="AM346" s="19">
        <v>5.0694444444444452E-2</v>
      </c>
      <c r="AN346" s="8">
        <f>(1+(13/60))*AJ346</f>
        <v>128.96666666666667</v>
      </c>
    </row>
    <row r="347" spans="1:62" x14ac:dyDescent="0.3">
      <c r="A347" s="2">
        <v>161</v>
      </c>
      <c r="B347" s="2">
        <v>224</v>
      </c>
      <c r="C347" s="2">
        <v>973</v>
      </c>
      <c r="E347" t="s">
        <v>184</v>
      </c>
      <c r="F347" t="s">
        <v>693</v>
      </c>
      <c r="H347" s="2">
        <v>9880</v>
      </c>
      <c r="I347" s="2">
        <v>63.23</v>
      </c>
      <c r="J347" s="15">
        <v>2.4420000000000002</v>
      </c>
      <c r="K347" s="15">
        <v>2.2120000000000002</v>
      </c>
      <c r="L347" s="2">
        <v>39.119999999999997</v>
      </c>
      <c r="M347" s="1" t="s">
        <v>11</v>
      </c>
      <c r="N347" s="1" t="s">
        <v>16</v>
      </c>
      <c r="P347" s="2"/>
      <c r="Q347" s="2"/>
      <c r="R347" s="2"/>
      <c r="S347" s="2"/>
      <c r="AE347" s="2">
        <v>93.63</v>
      </c>
      <c r="AF347" s="2">
        <v>72.38</v>
      </c>
      <c r="AG347" s="2">
        <v>93.26</v>
      </c>
      <c r="AH347" s="2">
        <v>71.89</v>
      </c>
      <c r="AI347" s="14" t="s">
        <v>772</v>
      </c>
      <c r="AJ347" s="2">
        <v>82.44</v>
      </c>
      <c r="AK347" s="14" t="s">
        <v>772</v>
      </c>
      <c r="AL347" s="14" t="s">
        <v>772</v>
      </c>
      <c r="AM347" s="47">
        <v>4.4444444444444446E-2</v>
      </c>
      <c r="AN347" s="8">
        <f>(1+(6/60))*AJ347</f>
        <v>90.684000000000012</v>
      </c>
    </row>
    <row r="348" spans="1:62" ht="12.5" x14ac:dyDescent="0.25">
      <c r="A348" s="2">
        <v>162</v>
      </c>
      <c r="B348" s="2">
        <v>225</v>
      </c>
      <c r="C348" s="2">
        <v>305</v>
      </c>
      <c r="E348" s="138" t="s">
        <v>168</v>
      </c>
      <c r="F348" t="s">
        <v>6</v>
      </c>
      <c r="I348" s="2">
        <v>157.5</v>
      </c>
      <c r="J348" s="15">
        <v>5.6280000000000001</v>
      </c>
      <c r="K348" s="15">
        <v>3.06</v>
      </c>
      <c r="P348" s="2"/>
      <c r="Q348" s="2"/>
      <c r="R348" s="2"/>
      <c r="S348" s="2"/>
      <c r="AE348" s="2">
        <v>204.5</v>
      </c>
      <c r="AF348" s="2">
        <v>160.5</v>
      </c>
      <c r="AG348" s="2">
        <v>151.1</v>
      </c>
      <c r="AH348" s="2">
        <v>157.5</v>
      </c>
      <c r="AI348" s="14" t="s">
        <v>772</v>
      </c>
      <c r="AJ348" s="2">
        <v>160.80000000000001</v>
      </c>
      <c r="AK348" s="14" t="s">
        <v>772</v>
      </c>
      <c r="AL348" s="14" t="s">
        <v>772</v>
      </c>
      <c r="AM348" s="19">
        <v>0.17291666666666669</v>
      </c>
      <c r="AN348" s="8">
        <f>(4+(9/60))*AJ348</f>
        <v>667.32</v>
      </c>
      <c r="AX348" s="8">
        <v>107.47077299999999</v>
      </c>
      <c r="AY348" s="8">
        <v>118.507992</v>
      </c>
      <c r="AZ348" s="8">
        <v>117.013944</v>
      </c>
      <c r="BA348" s="8">
        <v>101.746482</v>
      </c>
      <c r="BB348" s="8">
        <v>97.305367000000004</v>
      </c>
      <c r="BC348" s="8">
        <v>58.463092000000003</v>
      </c>
      <c r="BD348" s="8">
        <v>50.915855999999998</v>
      </c>
      <c r="BE348" s="8">
        <v>44.538381999999999</v>
      </c>
      <c r="BF348" s="8">
        <v>47.568055999999999</v>
      </c>
      <c r="BG348" s="8">
        <v>51.952156000000002</v>
      </c>
      <c r="BH348" s="8">
        <v>50.813544</v>
      </c>
      <c r="BI348" s="8">
        <v>48.934950999999998</v>
      </c>
      <c r="BJ348" s="8">
        <v>58.809871999999999</v>
      </c>
    </row>
    <row r="349" spans="1:62" ht="12.5" x14ac:dyDescent="0.25">
      <c r="E349" s="138" t="s">
        <v>1705</v>
      </c>
      <c r="K349" s="15"/>
      <c r="P349" s="2"/>
      <c r="Q349" s="2"/>
      <c r="R349" s="2"/>
      <c r="S349" s="2"/>
      <c r="AE349" s="2"/>
      <c r="AG349" s="2"/>
      <c r="AH349" s="2"/>
      <c r="AI349" s="14"/>
      <c r="AJ349" s="2"/>
      <c r="AK349" s="14"/>
      <c r="AL349" s="14"/>
      <c r="AM349" s="19"/>
      <c r="AN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</row>
    <row r="350" spans="1:62" ht="12.5" x14ac:dyDescent="0.25">
      <c r="E350" s="138" t="s">
        <v>1704</v>
      </c>
      <c r="K350" s="15"/>
      <c r="P350" s="2"/>
      <c r="Q350" s="2"/>
      <c r="R350" s="2"/>
      <c r="S350" s="2"/>
      <c r="AE350" s="2"/>
      <c r="AG350" s="2"/>
      <c r="AH350" s="2"/>
      <c r="AI350" s="14"/>
      <c r="AJ350" s="2"/>
      <c r="AK350" s="14"/>
      <c r="AL350" s="14"/>
      <c r="AM350" s="19"/>
      <c r="AN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</row>
    <row r="351" spans="1:62" ht="12.5" x14ac:dyDescent="0.25">
      <c r="E351" s="138" t="s">
        <v>1757</v>
      </c>
      <c r="K351" s="15"/>
      <c r="P351" s="2"/>
      <c r="Q351" s="2"/>
      <c r="R351" s="2"/>
      <c r="S351" s="2"/>
      <c r="AE351" s="2"/>
      <c r="AG351" s="2"/>
      <c r="AH351" s="2"/>
      <c r="AI351" s="14"/>
      <c r="AJ351" s="2"/>
      <c r="AK351" s="14"/>
      <c r="AL351" s="14"/>
      <c r="AM351" s="19"/>
      <c r="AN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</row>
    <row r="352" spans="1:62" ht="12.5" x14ac:dyDescent="0.25">
      <c r="E352" s="138" t="s">
        <v>1754</v>
      </c>
      <c r="K352" s="15"/>
      <c r="P352" s="2"/>
      <c r="Q352" s="2"/>
      <c r="R352" s="2"/>
      <c r="S352" s="2"/>
      <c r="AE352" s="2"/>
      <c r="AG352" s="2"/>
      <c r="AH352" s="2"/>
      <c r="AI352" s="14"/>
      <c r="AJ352" s="2"/>
      <c r="AK352" s="14"/>
      <c r="AL352" s="14"/>
      <c r="AM352" s="19"/>
      <c r="AN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</row>
    <row r="353" spans="1:63" ht="12.5" x14ac:dyDescent="0.25">
      <c r="E353" s="138" t="s">
        <v>1576</v>
      </c>
      <c r="K353" s="15"/>
      <c r="P353" s="2"/>
      <c r="Q353" s="2"/>
      <c r="R353" s="2"/>
      <c r="S353" s="2"/>
      <c r="AE353" s="2"/>
      <c r="AG353" s="2"/>
      <c r="AH353" s="2"/>
      <c r="AI353" s="14"/>
      <c r="AJ353" s="2"/>
      <c r="AK353" s="14"/>
      <c r="AL353" s="14"/>
      <c r="AM353" s="19"/>
      <c r="AN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</row>
    <row r="354" spans="1:63" ht="12.5" x14ac:dyDescent="0.25">
      <c r="A354" s="2">
        <v>163</v>
      </c>
      <c r="B354" s="2">
        <v>177</v>
      </c>
      <c r="C354" s="2">
        <v>901</v>
      </c>
      <c r="E354" t="s">
        <v>210</v>
      </c>
      <c r="F354" t="s">
        <v>762</v>
      </c>
      <c r="G354" t="s">
        <v>1274</v>
      </c>
      <c r="H354" s="2">
        <v>50480</v>
      </c>
      <c r="I354" s="2">
        <v>41.96</v>
      </c>
      <c r="J354" s="15">
        <v>1.498</v>
      </c>
      <c r="K354" s="15">
        <v>1.0389999999999999</v>
      </c>
      <c r="P354" s="2"/>
      <c r="Q354" s="2"/>
      <c r="R354" s="2"/>
      <c r="S354" s="2"/>
      <c r="AE354" s="2">
        <v>48.72</v>
      </c>
      <c r="AF354" s="2">
        <v>43.74</v>
      </c>
      <c r="AG354" s="2">
        <v>45.14</v>
      </c>
      <c r="AH354" s="2">
        <v>41.96</v>
      </c>
      <c r="AI354" s="2" t="s">
        <v>772</v>
      </c>
      <c r="AJ354" s="2">
        <v>43.24</v>
      </c>
      <c r="AK354" s="2" t="s">
        <v>772</v>
      </c>
      <c r="AL354" s="2" t="s">
        <v>772</v>
      </c>
      <c r="AM354" s="19">
        <v>0.20694444444444446</v>
      </c>
      <c r="AN354" s="8">
        <f>(4+(58/60))*AJ354</f>
        <v>214.75866666666667</v>
      </c>
    </row>
    <row r="355" spans="1:63" ht="12.5" x14ac:dyDescent="0.25">
      <c r="A355" s="2">
        <v>164</v>
      </c>
      <c r="B355" s="2">
        <v>187</v>
      </c>
      <c r="C355" s="2">
        <v>341</v>
      </c>
      <c r="E355" s="138" t="s">
        <v>205</v>
      </c>
      <c r="F355" t="s">
        <v>696</v>
      </c>
      <c r="G355" t="s">
        <v>1284</v>
      </c>
      <c r="H355" s="2">
        <v>1000</v>
      </c>
      <c r="I355" s="2">
        <v>114.5</v>
      </c>
      <c r="J355" s="15">
        <v>3.8490000000000002</v>
      </c>
      <c r="K355" s="15">
        <v>3.1360000000000001</v>
      </c>
      <c r="L355" s="2">
        <v>54.83</v>
      </c>
      <c r="P355" s="2"/>
      <c r="Q355" s="2"/>
      <c r="R355" s="2"/>
      <c r="S355" s="2"/>
      <c r="AE355" s="2">
        <v>147.19999999999999</v>
      </c>
      <c r="AF355" s="2">
        <v>106.5</v>
      </c>
      <c r="AG355" s="2">
        <v>110.5</v>
      </c>
      <c r="AH355" s="2">
        <v>111.6</v>
      </c>
      <c r="AI355" s="14" t="s">
        <v>772</v>
      </c>
      <c r="AJ355" s="2">
        <v>109.6</v>
      </c>
      <c r="AK355" s="14" t="s">
        <v>772</v>
      </c>
      <c r="AL355" s="14" t="s">
        <v>772</v>
      </c>
      <c r="AM355" s="19">
        <v>0.1173611111111111</v>
      </c>
      <c r="AN355" s="8">
        <f>(2+(49/60))*AJ355</f>
        <v>308.70666666666665</v>
      </c>
    </row>
    <row r="356" spans="1:63" ht="12.5" x14ac:dyDescent="0.25">
      <c r="E356" s="138" t="s">
        <v>1665</v>
      </c>
      <c r="K356" s="15"/>
      <c r="P356" s="2"/>
      <c r="Q356" s="2"/>
      <c r="R356" s="2"/>
      <c r="S356" s="2"/>
      <c r="AE356" s="2"/>
      <c r="AG356" s="2"/>
      <c r="AH356" s="2"/>
      <c r="AI356" s="14"/>
      <c r="AJ356" s="2"/>
      <c r="AK356" s="14"/>
      <c r="AL356" s="14"/>
      <c r="AM356" s="19"/>
      <c r="AN356" s="8"/>
    </row>
    <row r="357" spans="1:63" ht="12.5" x14ac:dyDescent="0.25">
      <c r="A357" s="2">
        <v>165</v>
      </c>
      <c r="B357" s="2">
        <v>175</v>
      </c>
      <c r="C357" s="2">
        <v>874</v>
      </c>
      <c r="E357" t="s">
        <v>246</v>
      </c>
      <c r="F357" t="s">
        <v>1254</v>
      </c>
      <c r="G357" t="s">
        <v>1329</v>
      </c>
      <c r="H357" s="2">
        <v>9290</v>
      </c>
      <c r="I357" s="2">
        <v>45.96</v>
      </c>
      <c r="J357" s="15">
        <v>1.641</v>
      </c>
      <c r="K357" s="15">
        <v>1.2929999999999999</v>
      </c>
      <c r="P357" s="2"/>
      <c r="Q357" s="2"/>
      <c r="R357" s="2"/>
      <c r="S357" s="2"/>
      <c r="AE357" s="2">
        <v>44.08</v>
      </c>
      <c r="AF357" s="2">
        <v>50.12</v>
      </c>
      <c r="AG357" s="2">
        <v>45.39</v>
      </c>
      <c r="AH357" s="54">
        <v>45.96</v>
      </c>
      <c r="AI357" s="54" t="s">
        <v>772</v>
      </c>
      <c r="AJ357" s="54">
        <v>46.52</v>
      </c>
      <c r="AK357" s="54" t="s">
        <v>772</v>
      </c>
      <c r="AL357" s="54" t="s">
        <v>772</v>
      </c>
      <c r="AM357" s="19">
        <v>0.15972222222222224</v>
      </c>
      <c r="AN357" s="8">
        <f>(3+(50/60))*AJ357</f>
        <v>178.32666666666668</v>
      </c>
    </row>
    <row r="358" spans="1:63" x14ac:dyDescent="0.3">
      <c r="A358" s="2">
        <v>166</v>
      </c>
      <c r="B358" s="2">
        <v>149</v>
      </c>
      <c r="C358" s="2">
        <v>707</v>
      </c>
      <c r="E358" t="s">
        <v>242</v>
      </c>
      <c r="G358" t="s">
        <v>1259</v>
      </c>
      <c r="I358" s="2">
        <v>41.48</v>
      </c>
      <c r="J358" s="15">
        <v>1.4810000000000001</v>
      </c>
      <c r="K358" s="15">
        <v>0.76800199999999996</v>
      </c>
      <c r="P358" s="2"/>
      <c r="Q358" s="2"/>
      <c r="R358" s="2"/>
      <c r="S358" s="2"/>
      <c r="AE358" s="2">
        <v>58.63</v>
      </c>
      <c r="AF358" s="2">
        <v>40.65</v>
      </c>
      <c r="AG358" s="2">
        <v>44.36</v>
      </c>
      <c r="AH358" s="54">
        <v>41.48</v>
      </c>
      <c r="AI358" s="54" t="s">
        <v>772</v>
      </c>
      <c r="AJ358" s="54">
        <v>41.92</v>
      </c>
      <c r="AK358" s="54" t="s">
        <v>772</v>
      </c>
      <c r="AL358" s="54" t="s">
        <v>772</v>
      </c>
      <c r="AM358" s="19">
        <v>0.62083333333333335</v>
      </c>
      <c r="AN358" s="8">
        <f>(14+(54/60))*AJ358</f>
        <v>624.60800000000006</v>
      </c>
      <c r="AX358" s="55">
        <v>172.38200000000001</v>
      </c>
      <c r="AY358" s="55">
        <v>161.22</v>
      </c>
      <c r="AZ358" s="55">
        <v>166.565</v>
      </c>
      <c r="BA358" s="55">
        <v>195.07400000000001</v>
      </c>
      <c r="BB358" s="55">
        <v>158.74100000000001</v>
      </c>
      <c r="BC358" s="55">
        <v>149.74799999999999</v>
      </c>
      <c r="BD358" s="55">
        <v>181.46299999999999</v>
      </c>
      <c r="BE358" s="55">
        <v>167.88200000000001</v>
      </c>
      <c r="BF358" s="55">
        <v>207.68799999999999</v>
      </c>
      <c r="BG358" s="55">
        <v>197.346</v>
      </c>
      <c r="BH358" s="55">
        <v>164.56299999999999</v>
      </c>
      <c r="BI358" s="55">
        <v>172.142</v>
      </c>
      <c r="BJ358" s="55">
        <v>207.00700000000001</v>
      </c>
    </row>
    <row r="359" spans="1:63" x14ac:dyDescent="0.3">
      <c r="A359" s="2">
        <v>167</v>
      </c>
      <c r="B359" s="2" t="s">
        <v>772</v>
      </c>
      <c r="C359" s="2">
        <v>291</v>
      </c>
      <c r="E359" t="s">
        <v>1344</v>
      </c>
      <c r="K359" s="15"/>
      <c r="P359" s="2"/>
      <c r="Q359" s="2"/>
      <c r="R359" s="2"/>
      <c r="S359" s="2"/>
      <c r="AE359" s="2">
        <v>156.5</v>
      </c>
      <c r="AF359" s="2" t="s">
        <v>772</v>
      </c>
      <c r="AG359" s="2" t="s">
        <v>772</v>
      </c>
      <c r="AH359" s="54" t="s">
        <v>772</v>
      </c>
      <c r="AI359" s="54" t="s">
        <v>772</v>
      </c>
      <c r="AJ359" s="54" t="s">
        <v>772</v>
      </c>
      <c r="AK359" s="54" t="s">
        <v>772</v>
      </c>
      <c r="AL359" s="54" t="s">
        <v>772</v>
      </c>
      <c r="AM359" s="19">
        <v>0.51111111111111107</v>
      </c>
      <c r="AN359" s="8">
        <f>(12+(16/60))*AE359</f>
        <v>1919.7333333333336</v>
      </c>
      <c r="AX359" s="55"/>
      <c r="AY359" s="55"/>
      <c r="AZ359" s="55"/>
      <c r="BA359" s="55"/>
      <c r="BB359" s="55"/>
      <c r="BC359" s="55"/>
      <c r="BD359" s="55"/>
      <c r="BE359" s="55"/>
      <c r="BF359" s="55"/>
      <c r="BG359" s="55"/>
      <c r="BH359" s="55"/>
      <c r="BI359" s="55"/>
      <c r="BJ359" s="55"/>
    </row>
    <row r="360" spans="1:63" ht="12.5" x14ac:dyDescent="0.25">
      <c r="A360" s="2">
        <v>169</v>
      </c>
      <c r="B360" s="2">
        <v>153</v>
      </c>
      <c r="C360" s="2">
        <v>424</v>
      </c>
      <c r="E360" t="s">
        <v>245</v>
      </c>
      <c r="I360" s="2">
        <v>76.14</v>
      </c>
      <c r="J360" s="15">
        <v>2.7189999999999999</v>
      </c>
      <c r="K360" s="15">
        <v>2.0720000000000001</v>
      </c>
      <c r="P360" s="2"/>
      <c r="Q360" s="2"/>
      <c r="R360" s="2"/>
      <c r="S360" s="2"/>
      <c r="AE360" s="2">
        <v>84.62</v>
      </c>
      <c r="AF360" s="2">
        <v>69.819999999999993</v>
      </c>
      <c r="AG360" s="2">
        <v>87.14</v>
      </c>
      <c r="AH360" s="54">
        <v>76.14</v>
      </c>
      <c r="AI360" s="54" t="s">
        <v>772</v>
      </c>
      <c r="AJ360" s="54">
        <v>74.27</v>
      </c>
      <c r="AK360" s="54" t="s">
        <v>772</v>
      </c>
      <c r="AL360" s="54" t="s">
        <v>772</v>
      </c>
      <c r="AM360" s="19">
        <v>0.22777777777777777</v>
      </c>
      <c r="AN360" s="8">
        <f>(5+(28/60))*AJ360</f>
        <v>406.0093333333333</v>
      </c>
    </row>
    <row r="361" spans="1:63" ht="12.5" x14ac:dyDescent="0.25">
      <c r="A361" s="2">
        <v>170</v>
      </c>
      <c r="B361" s="2">
        <v>210</v>
      </c>
      <c r="C361" s="2">
        <v>759</v>
      </c>
      <c r="E361" t="s">
        <v>244</v>
      </c>
      <c r="I361" s="2">
        <v>56.3</v>
      </c>
      <c r="J361" s="15">
        <v>2.0099999999999998</v>
      </c>
      <c r="K361" s="15">
        <v>1.59</v>
      </c>
      <c r="P361" s="2"/>
      <c r="Q361" s="2"/>
      <c r="R361" s="2"/>
      <c r="S361" s="2"/>
      <c r="AE361" s="2">
        <v>54.76</v>
      </c>
      <c r="AF361" s="2">
        <v>49.92</v>
      </c>
      <c r="AG361" s="2">
        <v>49.82</v>
      </c>
      <c r="AH361" s="54">
        <v>56.3</v>
      </c>
      <c r="AI361" s="54" t="s">
        <v>772</v>
      </c>
      <c r="AJ361" s="54">
        <v>52.39</v>
      </c>
      <c r="AK361" s="54" t="s">
        <v>772</v>
      </c>
      <c r="AL361" s="54" t="s">
        <v>772</v>
      </c>
      <c r="AM361" s="19">
        <v>0.21111111111111111</v>
      </c>
      <c r="AN361" s="8">
        <f>(5+(4/60))*AJ361</f>
        <v>265.44266666666664</v>
      </c>
    </row>
    <row r="362" spans="1:63" ht="12.5" x14ac:dyDescent="0.25">
      <c r="A362" s="2">
        <v>171</v>
      </c>
      <c r="B362" s="2">
        <v>179</v>
      </c>
      <c r="C362" s="2">
        <v>885</v>
      </c>
      <c r="E362" t="s">
        <v>156</v>
      </c>
      <c r="F362" t="s">
        <v>534</v>
      </c>
      <c r="H362" s="2">
        <v>119970</v>
      </c>
      <c r="I362" s="2">
        <v>44.87</v>
      </c>
      <c r="J362" s="15">
        <v>1.6020000000000001</v>
      </c>
      <c r="K362" s="15">
        <v>1.3979999999999999</v>
      </c>
      <c r="P362" s="2"/>
      <c r="Q362" s="2"/>
      <c r="R362" s="2"/>
      <c r="S362" s="2"/>
      <c r="AE362" s="2">
        <v>39.58</v>
      </c>
      <c r="AF362" s="2">
        <v>41.71</v>
      </c>
      <c r="AG362" s="2">
        <v>40.74</v>
      </c>
      <c r="AH362" s="2">
        <v>44.87</v>
      </c>
      <c r="AI362" s="14" t="s">
        <v>772</v>
      </c>
      <c r="AJ362" s="2">
        <v>44.6</v>
      </c>
      <c r="AK362" s="14" t="s">
        <v>772</v>
      </c>
      <c r="AL362" s="14" t="s">
        <v>772</v>
      </c>
      <c r="AM362" s="19">
        <v>0.11944444444444445</v>
      </c>
      <c r="AN362" s="8">
        <f>(2+(52/60))*AJ362</f>
        <v>127.85333333333334</v>
      </c>
    </row>
    <row r="363" spans="1:63" ht="12.5" x14ac:dyDescent="0.25">
      <c r="A363" s="2">
        <v>172</v>
      </c>
      <c r="B363" s="2">
        <v>202</v>
      </c>
      <c r="C363" s="2">
        <v>187</v>
      </c>
      <c r="E363" s="138" t="s">
        <v>217</v>
      </c>
      <c r="F363" t="s">
        <v>6</v>
      </c>
      <c r="G363" t="s">
        <v>1324</v>
      </c>
      <c r="H363" s="2">
        <v>1000</v>
      </c>
      <c r="I363" s="2">
        <v>187.2</v>
      </c>
      <c r="J363" s="15">
        <v>8.1509999999999998</v>
      </c>
      <c r="K363" s="14">
        <v>2.8319999999999999</v>
      </c>
      <c r="L363" s="2">
        <v>13.27</v>
      </c>
      <c r="M363" s="1" t="s">
        <v>11</v>
      </c>
      <c r="N363" s="1" t="s">
        <v>11</v>
      </c>
      <c r="O363" s="96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>
        <v>194.9</v>
      </c>
      <c r="AF363" s="2">
        <v>165</v>
      </c>
      <c r="AG363" s="2">
        <v>147.9</v>
      </c>
      <c r="AH363" s="2">
        <v>187.9</v>
      </c>
      <c r="AI363" s="2">
        <v>180.9</v>
      </c>
      <c r="AJ363" s="2">
        <v>174.8</v>
      </c>
      <c r="AK363" s="2">
        <v>223.9</v>
      </c>
      <c r="AL363" s="2">
        <v>228.2</v>
      </c>
      <c r="AM363" s="21" t="s">
        <v>766</v>
      </c>
      <c r="AN363" s="8">
        <f>(29+(20/60))*AH363</f>
        <v>5511.7333333333336</v>
      </c>
      <c r="AX363" s="2">
        <v>494</v>
      </c>
      <c r="AY363" s="1">
        <v>471</v>
      </c>
      <c r="AZ363" s="2">
        <v>479</v>
      </c>
      <c r="BA363" s="2">
        <v>527</v>
      </c>
      <c r="BB363" s="2">
        <v>503</v>
      </c>
      <c r="BC363" s="2">
        <v>464</v>
      </c>
      <c r="BD363" s="2">
        <v>563</v>
      </c>
      <c r="BE363" s="2">
        <v>530</v>
      </c>
      <c r="BF363" s="2">
        <v>882</v>
      </c>
      <c r="BG363" s="2">
        <v>642</v>
      </c>
      <c r="BH363" s="2">
        <v>240</v>
      </c>
      <c r="BI363" s="2">
        <v>237</v>
      </c>
      <c r="BJ363" s="2">
        <v>154</v>
      </c>
      <c r="BK363" s="2"/>
    </row>
    <row r="364" spans="1:63" ht="12.5" x14ac:dyDescent="0.25">
      <c r="E364" s="138" t="s">
        <v>1599</v>
      </c>
      <c r="K364" s="14"/>
      <c r="O364" s="96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G364" s="2"/>
      <c r="AH364" s="2"/>
      <c r="AI364" s="2"/>
      <c r="AJ364" s="2"/>
      <c r="AK364" s="2"/>
      <c r="AL364" s="2"/>
      <c r="AM364" s="21"/>
      <c r="AN364" s="8"/>
      <c r="AX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</row>
    <row r="365" spans="1:63" ht="12.5" x14ac:dyDescent="0.25">
      <c r="E365" s="138" t="s">
        <v>1770</v>
      </c>
      <c r="K365" s="14"/>
      <c r="O365" s="96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G365" s="2"/>
      <c r="AH365" s="2"/>
      <c r="AI365" s="2"/>
      <c r="AJ365" s="2"/>
      <c r="AK365" s="2"/>
      <c r="AL365" s="2"/>
      <c r="AM365" s="21"/>
      <c r="AN365" s="8"/>
      <c r="AX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</row>
    <row r="366" spans="1:63" ht="12.5" x14ac:dyDescent="0.25">
      <c r="E366" s="138" t="s">
        <v>1771</v>
      </c>
      <c r="K366" s="14"/>
      <c r="O366" s="96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G366" s="2"/>
      <c r="AH366" s="2"/>
      <c r="AI366" s="2"/>
      <c r="AJ366" s="2"/>
      <c r="AK366" s="2"/>
      <c r="AL366" s="2"/>
      <c r="AM366" s="21"/>
      <c r="AN366" s="8"/>
      <c r="AX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</row>
    <row r="367" spans="1:63" ht="12.5" x14ac:dyDescent="0.25">
      <c r="E367" s="138" t="s">
        <v>1600</v>
      </c>
      <c r="K367" s="14"/>
      <c r="O367" s="96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G367" s="2"/>
      <c r="AH367" s="2"/>
      <c r="AI367" s="2"/>
      <c r="AJ367" s="2"/>
      <c r="AK367" s="2"/>
      <c r="AL367" s="2"/>
      <c r="AM367" s="21"/>
      <c r="AN367" s="8"/>
      <c r="AX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</row>
    <row r="368" spans="1:63" ht="12.5" x14ac:dyDescent="0.25">
      <c r="A368" s="2">
        <v>173</v>
      </c>
      <c r="B368" s="2">
        <v>195</v>
      </c>
      <c r="C368" s="2">
        <v>1036</v>
      </c>
      <c r="E368" t="s">
        <v>256</v>
      </c>
      <c r="F368" t="s">
        <v>1255</v>
      </c>
      <c r="G368" t="s">
        <v>1276</v>
      </c>
      <c r="H368" s="2">
        <v>9160</v>
      </c>
      <c r="I368" s="2">
        <v>45.16</v>
      </c>
      <c r="J368" s="15">
        <v>1.613</v>
      </c>
      <c r="K368" s="15">
        <v>1.3480000000000001</v>
      </c>
      <c r="P368" s="2"/>
      <c r="Q368" s="2"/>
      <c r="R368" s="2"/>
      <c r="S368" s="2"/>
      <c r="AE368" s="2">
        <v>41.03</v>
      </c>
      <c r="AF368" s="2">
        <v>47.83</v>
      </c>
      <c r="AG368" s="2">
        <v>32.93</v>
      </c>
      <c r="AH368" s="54">
        <v>45.16</v>
      </c>
      <c r="AI368" s="54" t="s">
        <v>772</v>
      </c>
      <c r="AJ368" s="54" t="s">
        <v>772</v>
      </c>
      <c r="AK368" s="54" t="s">
        <v>772</v>
      </c>
      <c r="AL368" s="54" t="s">
        <v>772</v>
      </c>
      <c r="AM368" s="19">
        <v>0.12777777777777777</v>
      </c>
      <c r="AN368" s="8">
        <f>(3+(18/60))*AH368</f>
        <v>149.02799999999999</v>
      </c>
    </row>
    <row r="369" spans="1:63" s="3" customFormat="1" x14ac:dyDescent="0.3">
      <c r="A369" s="4">
        <v>251</v>
      </c>
      <c r="B369" s="4">
        <v>174</v>
      </c>
      <c r="C369" s="4">
        <v>838</v>
      </c>
      <c r="D369" s="4">
        <v>805</v>
      </c>
      <c r="E369" s="3" t="s">
        <v>171</v>
      </c>
      <c r="G369" s="3" t="s">
        <v>1236</v>
      </c>
      <c r="H369" s="4"/>
      <c r="I369" s="4">
        <v>75.84</v>
      </c>
      <c r="J369" s="16">
        <v>2.7080000000000002</v>
      </c>
      <c r="K369" s="16">
        <v>2.3889999999999998</v>
      </c>
      <c r="L369" s="4"/>
      <c r="M369" s="9"/>
      <c r="N369" s="9"/>
      <c r="O369" s="9"/>
      <c r="P369" s="4"/>
      <c r="Q369" s="4"/>
      <c r="R369" s="4"/>
      <c r="S369" s="4"/>
      <c r="T369" s="95">
        <v>67.94</v>
      </c>
      <c r="U369" s="95">
        <v>78.260000000000005</v>
      </c>
      <c r="V369" s="95">
        <v>87.85</v>
      </c>
      <c r="W369" s="95">
        <v>83.65</v>
      </c>
      <c r="X369" s="95">
        <v>68.05</v>
      </c>
      <c r="Y369" s="95">
        <v>81.73</v>
      </c>
      <c r="Z369" s="9"/>
      <c r="AA369" s="9"/>
      <c r="AB369" s="9"/>
      <c r="AC369" s="9"/>
      <c r="AD369" s="9"/>
      <c r="AE369" s="4">
        <v>94.97</v>
      </c>
      <c r="AF369" s="4">
        <v>81.790000000000006</v>
      </c>
      <c r="AG369" s="4">
        <v>70.459999999999994</v>
      </c>
      <c r="AH369" s="4">
        <v>75.84</v>
      </c>
      <c r="AI369" s="45" t="s">
        <v>772</v>
      </c>
      <c r="AJ369" s="4">
        <v>70.790000000000006</v>
      </c>
      <c r="AK369" s="45" t="s">
        <v>772</v>
      </c>
      <c r="AL369" s="45" t="s">
        <v>772</v>
      </c>
      <c r="AM369" s="22">
        <v>5.2083333333333336E-2</v>
      </c>
      <c r="AN369" s="46">
        <f>(1+(15/60))*AJ369</f>
        <v>88.487500000000011</v>
      </c>
      <c r="AX369" s="55">
        <v>100.63800000000001</v>
      </c>
      <c r="AY369" s="55">
        <v>118.482</v>
      </c>
      <c r="AZ369" s="55">
        <v>105.55</v>
      </c>
      <c r="BA369" s="55">
        <v>92.981999999999999</v>
      </c>
      <c r="BB369" s="55">
        <v>92.355000000000004</v>
      </c>
      <c r="BC369" s="55">
        <v>90.665000000000006</v>
      </c>
      <c r="BD369" s="55">
        <v>100.512</v>
      </c>
      <c r="BE369" s="55">
        <v>96.25</v>
      </c>
      <c r="BF369" s="55">
        <v>122.75</v>
      </c>
      <c r="BG369" s="55">
        <v>121.893</v>
      </c>
      <c r="BH369" s="55">
        <v>137.47499999999999</v>
      </c>
      <c r="BI369" s="55">
        <v>127.738</v>
      </c>
      <c r="BJ369" s="55">
        <v>135.14599999999999</v>
      </c>
      <c r="BK369" s="9"/>
    </row>
    <row r="370" spans="1:63" x14ac:dyDescent="0.3">
      <c r="A370" s="2">
        <v>175</v>
      </c>
      <c r="B370" s="2">
        <v>236</v>
      </c>
      <c r="C370" s="2">
        <v>1223</v>
      </c>
      <c r="E370" t="s">
        <v>330</v>
      </c>
      <c r="F370" t="s">
        <v>6</v>
      </c>
      <c r="I370" s="2">
        <v>28.25</v>
      </c>
      <c r="J370" s="15">
        <v>1.008</v>
      </c>
      <c r="K370" s="16">
        <v>0.81794999999999995</v>
      </c>
      <c r="P370" s="2"/>
      <c r="Q370" s="2"/>
      <c r="R370" s="2"/>
      <c r="S370" s="2"/>
      <c r="AE370" s="2">
        <v>37.409999999999997</v>
      </c>
      <c r="AF370" s="2">
        <v>36.89</v>
      </c>
      <c r="AG370" s="2">
        <v>28.25</v>
      </c>
      <c r="AH370" s="14" t="s">
        <v>772</v>
      </c>
      <c r="AI370" s="14" t="s">
        <v>772</v>
      </c>
      <c r="AJ370" s="14" t="s">
        <v>772</v>
      </c>
      <c r="AK370" s="14" t="s">
        <v>772</v>
      </c>
      <c r="AL370" s="14" t="s">
        <v>772</v>
      </c>
      <c r="AM370" s="19">
        <v>0.27847222222222223</v>
      </c>
      <c r="AN370" s="8">
        <f>(6+(41/60))*AG370</f>
        <v>188.80416666666667</v>
      </c>
    </row>
    <row r="371" spans="1:63" ht="12.5" x14ac:dyDescent="0.25">
      <c r="A371" s="2">
        <v>176</v>
      </c>
      <c r="B371" s="2">
        <v>178</v>
      </c>
      <c r="C371" s="2">
        <v>793</v>
      </c>
      <c r="E371" t="s">
        <v>243</v>
      </c>
      <c r="G371" t="s">
        <v>1263</v>
      </c>
      <c r="I371" s="2">
        <v>50.29</v>
      </c>
      <c r="J371" s="15">
        <v>1.796</v>
      </c>
      <c r="K371" s="15">
        <v>1.2989999999999999</v>
      </c>
      <c r="P371" s="2"/>
      <c r="Q371" s="2"/>
      <c r="R371" s="2"/>
      <c r="S371" s="2"/>
      <c r="AE371" s="2">
        <v>45.37</v>
      </c>
      <c r="AF371" s="2">
        <v>49.22</v>
      </c>
      <c r="AG371" s="2">
        <v>43.69</v>
      </c>
      <c r="AH371" s="54">
        <v>50.29</v>
      </c>
      <c r="AI371" s="54" t="s">
        <v>772</v>
      </c>
      <c r="AJ371" s="54">
        <v>51.73</v>
      </c>
      <c r="AK371" s="54" t="s">
        <v>772</v>
      </c>
      <c r="AL371" s="54" t="s">
        <v>772</v>
      </c>
      <c r="AM371" s="19">
        <v>0.26527777777777778</v>
      </c>
      <c r="AN371" s="8">
        <f>(6+(22/60))*AJ371</f>
        <v>329.34766666666661</v>
      </c>
    </row>
    <row r="372" spans="1:63" ht="12.5" x14ac:dyDescent="0.25">
      <c r="A372" s="2">
        <v>177</v>
      </c>
      <c r="B372" s="2">
        <v>203</v>
      </c>
      <c r="C372" s="2">
        <v>1055</v>
      </c>
      <c r="E372" t="s">
        <v>272</v>
      </c>
      <c r="F372" t="s">
        <v>518</v>
      </c>
      <c r="H372" s="2">
        <v>433560</v>
      </c>
      <c r="I372" s="2">
        <v>38.22</v>
      </c>
      <c r="J372" s="15">
        <v>1.365</v>
      </c>
      <c r="K372" s="15">
        <v>1.141</v>
      </c>
      <c r="P372" s="2"/>
      <c r="Q372" s="2"/>
      <c r="R372" s="2"/>
      <c r="S372" s="2"/>
      <c r="AE372" s="2">
        <v>41.71</v>
      </c>
      <c r="AF372" s="2">
        <v>38.71</v>
      </c>
      <c r="AG372" s="2">
        <v>37</v>
      </c>
      <c r="AH372" s="2">
        <v>38.22</v>
      </c>
      <c r="AI372" s="14" t="s">
        <v>772</v>
      </c>
      <c r="AJ372" s="14" t="s">
        <v>772</v>
      </c>
      <c r="AK372" s="14" t="s">
        <v>772</v>
      </c>
      <c r="AL372" s="14" t="s">
        <v>772</v>
      </c>
      <c r="AM372" s="19">
        <v>0.18472222222222223</v>
      </c>
      <c r="AN372" s="8">
        <f>(4+(26/60))*AH372</f>
        <v>169.44200000000001</v>
      </c>
    </row>
    <row r="373" spans="1:63" ht="12.5" x14ac:dyDescent="0.25">
      <c r="A373" s="2">
        <v>180</v>
      </c>
      <c r="B373" s="2">
        <v>178</v>
      </c>
      <c r="C373" s="2">
        <v>202</v>
      </c>
      <c r="E373" t="s">
        <v>497</v>
      </c>
      <c r="K373" s="15"/>
      <c r="P373" s="2"/>
      <c r="Q373" s="2"/>
      <c r="R373" s="2"/>
      <c r="S373" s="2"/>
      <c r="AE373" s="2">
        <v>64.319999999999993</v>
      </c>
      <c r="AF373" s="2" t="s">
        <v>772</v>
      </c>
      <c r="AG373" s="2" t="s">
        <v>772</v>
      </c>
      <c r="AH373" s="2" t="s">
        <v>772</v>
      </c>
      <c r="AI373" s="14" t="s">
        <v>772</v>
      </c>
      <c r="AJ373" s="14" t="s">
        <v>772</v>
      </c>
      <c r="AK373" s="14" t="s">
        <v>772</v>
      </c>
      <c r="AL373" s="14" t="s">
        <v>772</v>
      </c>
      <c r="AM373" s="19">
        <v>0.44374999999999998</v>
      </c>
      <c r="AN373" s="8">
        <f>(10+(39/60))*AE373</f>
        <v>685.00799999999992</v>
      </c>
    </row>
    <row r="374" spans="1:63" ht="12.5" x14ac:dyDescent="0.25">
      <c r="A374" s="2">
        <v>179</v>
      </c>
      <c r="B374" s="2">
        <v>231</v>
      </c>
      <c r="C374" s="2">
        <v>744</v>
      </c>
      <c r="E374" s="138" t="s">
        <v>253</v>
      </c>
      <c r="I374" s="2">
        <v>62.25</v>
      </c>
      <c r="J374" s="15">
        <v>2.2229999999999999</v>
      </c>
      <c r="K374" s="15">
        <v>1.978</v>
      </c>
      <c r="P374" s="2"/>
      <c r="Q374" s="2"/>
      <c r="R374" s="2"/>
      <c r="S374" s="2"/>
      <c r="AE374" s="2">
        <v>71.930000000000007</v>
      </c>
      <c r="AF374" s="2">
        <v>88.27</v>
      </c>
      <c r="AG374" s="2">
        <v>68.06</v>
      </c>
      <c r="AH374" s="54">
        <v>62.25</v>
      </c>
      <c r="AI374" s="54" t="s">
        <v>772</v>
      </c>
      <c r="AJ374" s="54">
        <v>60.97</v>
      </c>
      <c r="AK374" s="54" t="s">
        <v>772</v>
      </c>
      <c r="AL374" s="54" t="s">
        <v>772</v>
      </c>
      <c r="AM374" s="19">
        <v>9.8611111111111108E-2</v>
      </c>
      <c r="AN374" s="8">
        <f>(2+(22/60))*AJ374</f>
        <v>144.29566666666668</v>
      </c>
    </row>
    <row r="375" spans="1:63" ht="12.5" x14ac:dyDescent="0.25">
      <c r="A375" s="2">
        <v>180</v>
      </c>
      <c r="B375" s="2">
        <v>164</v>
      </c>
      <c r="C375" s="2">
        <v>768</v>
      </c>
      <c r="E375" t="s">
        <v>320</v>
      </c>
      <c r="I375" s="2">
        <v>30.28</v>
      </c>
      <c r="J375" s="15">
        <v>1.081</v>
      </c>
      <c r="K375" s="15">
        <v>0.65577300000000005</v>
      </c>
      <c r="P375" s="2"/>
      <c r="Q375" s="2"/>
      <c r="R375" s="2"/>
      <c r="S375" s="2"/>
      <c r="AE375" s="2">
        <v>24.65</v>
      </c>
      <c r="AF375" s="2">
        <v>28.82</v>
      </c>
      <c r="AG375" s="2">
        <v>27.41</v>
      </c>
      <c r="AH375" s="2">
        <v>30.28</v>
      </c>
      <c r="AI375" s="14" t="s">
        <v>772</v>
      </c>
      <c r="AJ375" s="14" t="s">
        <v>772</v>
      </c>
      <c r="AK375" s="14" t="s">
        <v>772</v>
      </c>
      <c r="AL375" s="14" t="s">
        <v>772</v>
      </c>
      <c r="AM375" s="19">
        <v>0.52986111111111112</v>
      </c>
      <c r="AN375" s="8">
        <f>(12+(43/60))*AH375</f>
        <v>385.06066666666669</v>
      </c>
    </row>
    <row r="376" spans="1:63" ht="12.5" x14ac:dyDescent="0.25">
      <c r="A376" s="2">
        <v>181</v>
      </c>
      <c r="B376" s="2">
        <v>183</v>
      </c>
      <c r="C376" s="2">
        <v>883</v>
      </c>
      <c r="E376" t="s">
        <v>222</v>
      </c>
      <c r="I376" s="2">
        <v>47.06</v>
      </c>
      <c r="J376" s="15">
        <v>1.6120000000000001</v>
      </c>
      <c r="K376" s="15">
        <v>1.23</v>
      </c>
      <c r="L376" s="2">
        <v>17.84</v>
      </c>
      <c r="P376" s="2"/>
      <c r="Q376" s="2"/>
      <c r="R376" s="2"/>
      <c r="S376" s="2"/>
      <c r="AE376" s="2">
        <v>42.94</v>
      </c>
      <c r="AF376" s="2">
        <v>41.25</v>
      </c>
      <c r="AG376" s="2">
        <v>44.97</v>
      </c>
      <c r="AH376" s="2">
        <v>45.78</v>
      </c>
      <c r="AI376" s="2" t="s">
        <v>772</v>
      </c>
      <c r="AJ376" s="2">
        <v>43.96</v>
      </c>
      <c r="AK376" s="2" t="s">
        <v>772</v>
      </c>
      <c r="AL376" s="2" t="s">
        <v>772</v>
      </c>
      <c r="AM376" s="19">
        <v>0.21944444444444444</v>
      </c>
      <c r="AN376" s="8">
        <f>(5+(16/60))*AJ376</f>
        <v>231.52266666666668</v>
      </c>
    </row>
    <row r="377" spans="1:63" ht="12.5" x14ac:dyDescent="0.25">
      <c r="A377" s="2">
        <v>182</v>
      </c>
      <c r="B377" s="2">
        <v>159</v>
      </c>
      <c r="C377" s="2">
        <v>132</v>
      </c>
      <c r="E377" s="138" t="s">
        <v>130</v>
      </c>
      <c r="F377" t="s">
        <v>691</v>
      </c>
      <c r="G377" t="s">
        <v>1236</v>
      </c>
      <c r="H377" s="2">
        <v>1000</v>
      </c>
      <c r="I377" s="2">
        <v>334.5</v>
      </c>
      <c r="J377" s="15">
        <v>11.56</v>
      </c>
      <c r="K377" s="15">
        <v>7.0970000000000004</v>
      </c>
      <c r="P377" s="2"/>
      <c r="Q377" s="2"/>
      <c r="R377" s="2"/>
      <c r="S377" s="2"/>
      <c r="AE377" s="2">
        <v>328.1</v>
      </c>
      <c r="AF377" s="2">
        <v>316.5</v>
      </c>
      <c r="AG377" s="2">
        <v>334.5</v>
      </c>
      <c r="AH377" s="2">
        <v>323.8</v>
      </c>
      <c r="AI377" s="14" t="s">
        <v>772</v>
      </c>
      <c r="AJ377" s="2">
        <v>323.10000000000002</v>
      </c>
      <c r="AK377" s="2" t="s">
        <v>772</v>
      </c>
      <c r="AL377" s="2" t="s">
        <v>772</v>
      </c>
      <c r="AM377" s="19">
        <v>0.19166666666666665</v>
      </c>
      <c r="AN377" s="57">
        <f>(4+(36/60))*AJ377</f>
        <v>1486.26</v>
      </c>
      <c r="AX377" s="1">
        <v>557</v>
      </c>
      <c r="AY377" s="1">
        <v>565</v>
      </c>
      <c r="AZ377" s="1">
        <v>550</v>
      </c>
      <c r="BA377" s="1">
        <v>592</v>
      </c>
      <c r="BB377" s="1">
        <v>532</v>
      </c>
      <c r="BC377" s="1">
        <v>498</v>
      </c>
      <c r="BD377" s="1">
        <v>589</v>
      </c>
      <c r="BE377" s="1">
        <v>570</v>
      </c>
      <c r="BF377" s="1">
        <v>635</v>
      </c>
      <c r="BG377" s="1">
        <v>626</v>
      </c>
      <c r="BH377" s="1">
        <v>679</v>
      </c>
      <c r="BI377" s="1">
        <v>624</v>
      </c>
      <c r="BJ377" s="1">
        <v>696</v>
      </c>
    </row>
    <row r="378" spans="1:63" x14ac:dyDescent="0.3">
      <c r="A378" s="2">
        <v>183</v>
      </c>
      <c r="B378" s="2">
        <v>197</v>
      </c>
      <c r="C378" s="2">
        <v>1034</v>
      </c>
      <c r="E378" t="s">
        <v>371</v>
      </c>
      <c r="P378" s="2"/>
      <c r="Q378" s="2"/>
      <c r="R378" s="2"/>
      <c r="S378" s="2"/>
      <c r="AE378" s="2">
        <v>29.4</v>
      </c>
      <c r="AF378" s="2" t="s">
        <v>772</v>
      </c>
      <c r="AG378" s="2" t="s">
        <v>772</v>
      </c>
      <c r="AH378" s="14" t="s">
        <v>772</v>
      </c>
      <c r="AI378" s="14" t="s">
        <v>772</v>
      </c>
      <c r="AJ378" s="14" t="s">
        <v>772</v>
      </c>
      <c r="AK378" s="14" t="s">
        <v>772</v>
      </c>
      <c r="AL378" s="54" t="s">
        <v>772</v>
      </c>
      <c r="AM378" s="19">
        <v>0.19722222222222222</v>
      </c>
      <c r="AN378" s="8">
        <f>(4+(44/60))*AE378</f>
        <v>139.16</v>
      </c>
    </row>
    <row r="379" spans="1:63" ht="12.5" x14ac:dyDescent="0.25">
      <c r="A379" s="2">
        <v>184</v>
      </c>
      <c r="B379" s="2">
        <v>150</v>
      </c>
      <c r="C379" s="2">
        <v>736</v>
      </c>
      <c r="E379" t="s">
        <v>326</v>
      </c>
      <c r="G379" t="s">
        <v>1300</v>
      </c>
      <c r="I379" s="2">
        <v>36.590000000000003</v>
      </c>
      <c r="J379" s="15">
        <v>1.306</v>
      </c>
      <c r="K379" s="15">
        <v>1.0720000000000001</v>
      </c>
      <c r="P379" s="2"/>
      <c r="Q379" s="2"/>
      <c r="R379" s="2"/>
      <c r="S379" s="2"/>
      <c r="AE379" s="2">
        <v>36.97</v>
      </c>
      <c r="AF379" s="2">
        <v>36.46</v>
      </c>
      <c r="AG379" s="2">
        <v>36.590000000000003</v>
      </c>
      <c r="AH379" s="14" t="s">
        <v>772</v>
      </c>
      <c r="AI379" s="14" t="s">
        <v>772</v>
      </c>
      <c r="AJ379" s="14" t="s">
        <v>772</v>
      </c>
      <c r="AK379" s="14" t="s">
        <v>772</v>
      </c>
      <c r="AL379" s="14" t="s">
        <v>772</v>
      </c>
      <c r="AM379" s="21" t="s">
        <v>1299</v>
      </c>
      <c r="AN379" s="8">
        <f>(6+(8/60))*AG379</f>
        <v>224.4186666666667</v>
      </c>
    </row>
    <row r="380" spans="1:63" ht="12.5" x14ac:dyDescent="0.25">
      <c r="A380" s="2">
        <v>185</v>
      </c>
      <c r="B380" s="2">
        <v>301</v>
      </c>
      <c r="C380" s="2">
        <v>442</v>
      </c>
      <c r="E380" s="138" t="s">
        <v>259</v>
      </c>
      <c r="I380" s="2">
        <v>106.8</v>
      </c>
      <c r="J380" s="15">
        <v>3.8140000000000001</v>
      </c>
      <c r="K380" s="15">
        <v>2.1539999999999999</v>
      </c>
      <c r="P380" s="2"/>
      <c r="Q380" s="2"/>
      <c r="R380" s="2"/>
      <c r="S380" s="2"/>
      <c r="AE380" s="2">
        <v>134</v>
      </c>
      <c r="AF380" s="2">
        <v>110</v>
      </c>
      <c r="AG380" s="2">
        <v>94.14</v>
      </c>
      <c r="AH380" s="2">
        <v>106.8</v>
      </c>
      <c r="AI380" s="14" t="s">
        <v>772</v>
      </c>
      <c r="AJ380" s="14" t="s">
        <v>772</v>
      </c>
      <c r="AK380" s="14" t="s">
        <v>772</v>
      </c>
      <c r="AL380" s="14" t="s">
        <v>772</v>
      </c>
      <c r="AM380" s="19">
        <v>0.4513888888888889</v>
      </c>
      <c r="AN380" s="8">
        <f>(10+(50/60))*AH380</f>
        <v>1157</v>
      </c>
    </row>
    <row r="381" spans="1:63" ht="12.5" x14ac:dyDescent="0.25">
      <c r="E381" s="138" t="s">
        <v>1603</v>
      </c>
      <c r="K381" s="15"/>
      <c r="P381" s="2"/>
      <c r="Q381" s="2"/>
      <c r="R381" s="2"/>
      <c r="S381" s="2"/>
      <c r="AE381" s="2"/>
      <c r="AG381" s="2"/>
      <c r="AH381" s="2"/>
      <c r="AI381" s="14"/>
      <c r="AJ381" s="14"/>
      <c r="AK381" s="14"/>
      <c r="AL381" s="14"/>
      <c r="AM381" s="19"/>
      <c r="AN381" s="8"/>
    </row>
    <row r="382" spans="1:63" ht="12.5" x14ac:dyDescent="0.25">
      <c r="A382" s="2">
        <v>186</v>
      </c>
      <c r="B382" s="2">
        <v>198</v>
      </c>
      <c r="C382" s="2">
        <v>346</v>
      </c>
      <c r="E382" s="138" t="s">
        <v>169</v>
      </c>
      <c r="F382" t="s">
        <v>696</v>
      </c>
      <c r="H382" s="2">
        <v>1000</v>
      </c>
      <c r="I382" s="2">
        <v>114.4</v>
      </c>
      <c r="J382" s="15">
        <v>4.0880000000000001</v>
      </c>
      <c r="K382" s="15">
        <v>3.202</v>
      </c>
      <c r="P382" s="2"/>
      <c r="Q382" s="2"/>
      <c r="R382" s="2"/>
      <c r="S382" s="2"/>
      <c r="AE382" s="2">
        <v>97.96</v>
      </c>
      <c r="AF382" s="2">
        <v>120.5</v>
      </c>
      <c r="AG382" s="2">
        <v>100.5</v>
      </c>
      <c r="AH382" s="2">
        <v>114.4</v>
      </c>
      <c r="AI382" s="14" t="s">
        <v>772</v>
      </c>
      <c r="AJ382" s="2">
        <v>124</v>
      </c>
      <c r="AK382" s="14" t="s">
        <v>772</v>
      </c>
      <c r="AL382" s="14" t="s">
        <v>772</v>
      </c>
      <c r="AM382" s="19">
        <v>0.13958333333333334</v>
      </c>
      <c r="AN382" s="8">
        <f>(3+(21/60))*AJ382</f>
        <v>415.40000000000003</v>
      </c>
    </row>
    <row r="383" spans="1:63" ht="12.5" x14ac:dyDescent="0.25">
      <c r="A383" s="2">
        <v>187</v>
      </c>
      <c r="B383" s="2">
        <v>195</v>
      </c>
      <c r="C383" s="2">
        <v>926</v>
      </c>
      <c r="E383" t="s">
        <v>208</v>
      </c>
      <c r="F383" t="s">
        <v>763</v>
      </c>
      <c r="G383" t="s">
        <v>1278</v>
      </c>
      <c r="H383" s="2">
        <v>3130</v>
      </c>
      <c r="I383" s="2">
        <v>55.32</v>
      </c>
      <c r="J383" s="15">
        <v>1.9750000000000001</v>
      </c>
      <c r="K383" s="15">
        <v>1.6339999999999999</v>
      </c>
      <c r="P383" s="2"/>
      <c r="Q383" s="2"/>
      <c r="R383" s="2"/>
      <c r="S383" s="2"/>
      <c r="AE383" s="2">
        <v>48.81</v>
      </c>
      <c r="AF383" s="2">
        <v>60.85</v>
      </c>
      <c r="AG383" s="2">
        <v>44.38</v>
      </c>
      <c r="AH383" s="2">
        <v>55.32</v>
      </c>
      <c r="AI383" s="14" t="s">
        <v>772</v>
      </c>
      <c r="AJ383" s="2">
        <v>49.3</v>
      </c>
      <c r="AK383" s="14" t="s">
        <v>772</v>
      </c>
      <c r="AL383" s="14" t="s">
        <v>772</v>
      </c>
      <c r="AM383" s="19">
        <v>0.15972222222222224</v>
      </c>
      <c r="AN383" s="8">
        <f>(3+(50/60))*AJ383</f>
        <v>188.98333333333332</v>
      </c>
    </row>
    <row r="384" spans="1:63" ht="12.5" x14ac:dyDescent="0.25">
      <c r="A384" s="2">
        <v>188</v>
      </c>
      <c r="B384" s="2">
        <v>260</v>
      </c>
      <c r="C384" s="2">
        <v>144</v>
      </c>
      <c r="E384" s="138" t="s">
        <v>354</v>
      </c>
      <c r="G384" t="s">
        <v>1321</v>
      </c>
      <c r="I384" s="2">
        <v>175.4</v>
      </c>
      <c r="J384" s="15">
        <v>6.266</v>
      </c>
      <c r="K384" s="15">
        <v>4.8339999999999996</v>
      </c>
      <c r="P384" s="2"/>
      <c r="Q384" s="2"/>
      <c r="R384" s="2"/>
      <c r="S384" s="2"/>
      <c r="AE384" s="2">
        <v>196.5</v>
      </c>
      <c r="AF384" s="2">
        <v>191</v>
      </c>
      <c r="AG384" s="2">
        <v>175.4</v>
      </c>
      <c r="AH384" s="14" t="s">
        <v>772</v>
      </c>
      <c r="AI384" s="14" t="s">
        <v>772</v>
      </c>
      <c r="AJ384" s="14" t="s">
        <v>772</v>
      </c>
      <c r="AK384" s="14" t="s">
        <v>772</v>
      </c>
      <c r="AL384" s="14" t="s">
        <v>772</v>
      </c>
      <c r="AM384" s="19">
        <v>0.23958333333333334</v>
      </c>
      <c r="AN384" s="8">
        <f>(5+(45/60))*AG384</f>
        <v>1008.5500000000001</v>
      </c>
      <c r="AX384" s="8">
        <v>280.62660699999998</v>
      </c>
      <c r="AY384" s="8">
        <v>274.49006600000001</v>
      </c>
      <c r="AZ384" s="8">
        <v>288.77091899999999</v>
      </c>
      <c r="BA384" s="8">
        <v>277.75673499999999</v>
      </c>
      <c r="BB384" s="8">
        <v>250.98085499999999</v>
      </c>
      <c r="BC384" s="8">
        <v>262.24222800000001</v>
      </c>
      <c r="BD384" s="8">
        <v>261.917464</v>
      </c>
      <c r="BE384" s="8">
        <v>230.457605</v>
      </c>
      <c r="BF384" s="8">
        <v>256.11132300000003</v>
      </c>
      <c r="BG384" s="8">
        <v>279.44894900000003</v>
      </c>
      <c r="BH384" s="8">
        <v>300.89097800000002</v>
      </c>
      <c r="BI384" s="8">
        <v>282.78737799999999</v>
      </c>
      <c r="BJ384" s="8">
        <v>314.79237599999999</v>
      </c>
    </row>
    <row r="385" spans="1:62" ht="12.5" x14ac:dyDescent="0.25">
      <c r="E385" s="138" t="s">
        <v>1578</v>
      </c>
      <c r="K385" s="15"/>
      <c r="P385" s="2"/>
      <c r="Q385" s="2"/>
      <c r="R385" s="2"/>
      <c r="S385" s="2"/>
      <c r="AE385" s="2"/>
      <c r="AG385" s="2"/>
      <c r="AH385" s="14"/>
      <c r="AI385" s="14"/>
      <c r="AJ385" s="14"/>
      <c r="AK385" s="14"/>
      <c r="AL385" s="14"/>
      <c r="AM385" s="19"/>
      <c r="AN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</row>
    <row r="386" spans="1:62" ht="12.5" x14ac:dyDescent="0.25">
      <c r="E386" s="138" t="s">
        <v>1693</v>
      </c>
      <c r="K386" s="15"/>
      <c r="P386" s="2"/>
      <c r="Q386" s="2"/>
      <c r="R386" s="2"/>
      <c r="S386" s="2"/>
      <c r="AE386" s="2"/>
      <c r="AG386" s="2"/>
      <c r="AH386" s="14"/>
      <c r="AI386" s="14"/>
      <c r="AJ386" s="14"/>
      <c r="AK386" s="14"/>
      <c r="AL386" s="14"/>
      <c r="AM386" s="19"/>
      <c r="AN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</row>
    <row r="387" spans="1:62" ht="12.5" x14ac:dyDescent="0.25">
      <c r="E387" s="138" t="s">
        <v>1579</v>
      </c>
      <c r="K387" s="15"/>
      <c r="P387" s="2"/>
      <c r="Q387" s="2"/>
      <c r="R387" s="2"/>
      <c r="S387" s="2"/>
      <c r="AE387" s="2"/>
      <c r="AG387" s="2"/>
      <c r="AH387" s="14"/>
      <c r="AI387" s="14"/>
      <c r="AJ387" s="14"/>
      <c r="AK387" s="14"/>
      <c r="AL387" s="14"/>
      <c r="AM387" s="19"/>
      <c r="AN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</row>
    <row r="388" spans="1:62" ht="12.5" x14ac:dyDescent="0.25">
      <c r="E388" s="138" t="s">
        <v>1588</v>
      </c>
      <c r="K388" s="15"/>
      <c r="P388" s="2"/>
      <c r="Q388" s="2"/>
      <c r="R388" s="2"/>
      <c r="S388" s="2"/>
      <c r="AE388" s="2"/>
      <c r="AG388" s="2"/>
      <c r="AH388" s="14"/>
      <c r="AI388" s="14"/>
      <c r="AJ388" s="14"/>
      <c r="AK388" s="14"/>
      <c r="AL388" s="14"/>
      <c r="AM388" s="19"/>
      <c r="AN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</row>
    <row r="389" spans="1:62" ht="12.5" x14ac:dyDescent="0.25">
      <c r="E389" s="138" t="s">
        <v>1620</v>
      </c>
      <c r="K389" s="15"/>
      <c r="P389" s="2"/>
      <c r="Q389" s="2"/>
      <c r="R389" s="2"/>
      <c r="S389" s="2"/>
      <c r="AE389" s="2"/>
      <c r="AG389" s="2"/>
      <c r="AH389" s="14"/>
      <c r="AI389" s="14"/>
      <c r="AJ389" s="14"/>
      <c r="AK389" s="14"/>
      <c r="AL389" s="14"/>
      <c r="AM389" s="19"/>
      <c r="AN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</row>
    <row r="390" spans="1:62" ht="12.5" x14ac:dyDescent="0.25">
      <c r="E390" s="138" t="s">
        <v>1759</v>
      </c>
      <c r="K390" s="15"/>
      <c r="P390" s="2"/>
      <c r="Q390" s="2"/>
      <c r="R390" s="2"/>
      <c r="S390" s="2"/>
      <c r="AE390" s="2"/>
      <c r="AG390" s="2"/>
      <c r="AH390" s="14"/>
      <c r="AI390" s="14"/>
      <c r="AJ390" s="14"/>
      <c r="AK390" s="14"/>
      <c r="AL390" s="14"/>
      <c r="AM390" s="19"/>
      <c r="AN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</row>
    <row r="391" spans="1:62" ht="12.5" x14ac:dyDescent="0.25">
      <c r="E391" s="138" t="s">
        <v>1760</v>
      </c>
      <c r="K391" s="15"/>
      <c r="P391" s="2"/>
      <c r="Q391" s="2"/>
      <c r="R391" s="2"/>
      <c r="S391" s="2"/>
      <c r="AE391" s="2"/>
      <c r="AG391" s="2"/>
      <c r="AH391" s="14"/>
      <c r="AI391" s="14"/>
      <c r="AJ391" s="14"/>
      <c r="AK391" s="14"/>
      <c r="AL391" s="14"/>
      <c r="AM391" s="19"/>
      <c r="AN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</row>
    <row r="392" spans="1:62" ht="12.5" x14ac:dyDescent="0.25">
      <c r="E392" s="138" t="s">
        <v>1621</v>
      </c>
      <c r="K392" s="15"/>
      <c r="P392" s="2"/>
      <c r="Q392" s="2"/>
      <c r="R392" s="2"/>
      <c r="S392" s="2"/>
      <c r="AE392" s="2"/>
      <c r="AG392" s="2"/>
      <c r="AH392" s="14"/>
      <c r="AI392" s="14"/>
      <c r="AJ392" s="14"/>
      <c r="AK392" s="14"/>
      <c r="AL392" s="14"/>
      <c r="AM392" s="19"/>
      <c r="AN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</row>
    <row r="393" spans="1:62" ht="12.5" x14ac:dyDescent="0.25">
      <c r="E393" s="138" t="s">
        <v>1761</v>
      </c>
      <c r="K393" s="15"/>
      <c r="P393" s="2"/>
      <c r="Q393" s="2"/>
      <c r="R393" s="2"/>
      <c r="S393" s="2"/>
      <c r="AE393" s="2"/>
      <c r="AG393" s="2"/>
      <c r="AH393" s="14"/>
      <c r="AI393" s="14"/>
      <c r="AJ393" s="14"/>
      <c r="AK393" s="14"/>
      <c r="AL393" s="14"/>
      <c r="AM393" s="19"/>
      <c r="AN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</row>
    <row r="394" spans="1:62" ht="12.5" x14ac:dyDescent="0.25">
      <c r="E394" s="138" t="s">
        <v>1622</v>
      </c>
      <c r="K394" s="15"/>
      <c r="P394" s="2"/>
      <c r="Q394" s="2"/>
      <c r="R394" s="2"/>
      <c r="S394" s="2"/>
      <c r="AE394" s="2"/>
      <c r="AG394" s="2"/>
      <c r="AH394" s="14"/>
      <c r="AI394" s="14"/>
      <c r="AJ394" s="14"/>
      <c r="AK394" s="14"/>
      <c r="AL394" s="14"/>
      <c r="AM394" s="19"/>
      <c r="AN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</row>
    <row r="395" spans="1:62" ht="12.5" x14ac:dyDescent="0.25">
      <c r="E395" s="138" t="s">
        <v>1762</v>
      </c>
      <c r="K395" s="15"/>
      <c r="P395" s="2"/>
      <c r="Q395" s="2"/>
      <c r="R395" s="2"/>
      <c r="S395" s="2"/>
      <c r="AE395" s="2"/>
      <c r="AG395" s="2"/>
      <c r="AH395" s="14"/>
      <c r="AI395" s="14"/>
      <c r="AJ395" s="14"/>
      <c r="AK395" s="14"/>
      <c r="AL395" s="14"/>
      <c r="AM395" s="19"/>
      <c r="AN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</row>
    <row r="396" spans="1:62" ht="12.5" x14ac:dyDescent="0.25">
      <c r="E396" s="138" t="s">
        <v>1789</v>
      </c>
      <c r="K396" s="15"/>
      <c r="P396" s="2"/>
      <c r="Q396" s="2"/>
      <c r="R396" s="2"/>
      <c r="S396" s="2"/>
      <c r="AE396" s="2"/>
      <c r="AG396" s="2"/>
      <c r="AH396" s="14"/>
      <c r="AI396" s="14"/>
      <c r="AJ396" s="14"/>
      <c r="AK396" s="14"/>
      <c r="AL396" s="14"/>
      <c r="AM396" s="19"/>
      <c r="AN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</row>
    <row r="397" spans="1:62" ht="12.5" x14ac:dyDescent="0.25">
      <c r="E397" s="138" t="s">
        <v>1763</v>
      </c>
      <c r="K397" s="15"/>
      <c r="P397" s="2"/>
      <c r="Q397" s="2"/>
      <c r="R397" s="2"/>
      <c r="S397" s="2"/>
      <c r="AE397" s="2"/>
      <c r="AG397" s="2"/>
      <c r="AH397" s="14"/>
      <c r="AI397" s="14"/>
      <c r="AJ397" s="14"/>
      <c r="AK397" s="14"/>
      <c r="AL397" s="14"/>
      <c r="AM397" s="19"/>
      <c r="AN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</row>
    <row r="398" spans="1:62" ht="12.5" x14ac:dyDescent="0.25">
      <c r="E398" s="138" t="s">
        <v>1649</v>
      </c>
      <c r="K398" s="15"/>
      <c r="P398" s="2"/>
      <c r="Q398" s="2"/>
      <c r="R398" s="2"/>
      <c r="S398" s="2"/>
      <c r="AE398" s="2"/>
      <c r="AG398" s="2"/>
      <c r="AH398" s="14"/>
      <c r="AI398" s="14"/>
      <c r="AJ398" s="14"/>
      <c r="AK398" s="14"/>
      <c r="AL398" s="14"/>
      <c r="AM398" s="19"/>
      <c r="AN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</row>
    <row r="399" spans="1:62" ht="12.5" x14ac:dyDescent="0.25">
      <c r="A399" s="2">
        <v>189</v>
      </c>
      <c r="B399" s="2">
        <v>193</v>
      </c>
      <c r="C399" s="2">
        <v>673</v>
      </c>
      <c r="E399" t="s">
        <v>310</v>
      </c>
      <c r="I399" s="2">
        <v>44.68</v>
      </c>
      <c r="J399" s="15">
        <v>1.595</v>
      </c>
      <c r="K399" s="15">
        <v>1.0349999999999999</v>
      </c>
      <c r="P399" s="2"/>
      <c r="Q399" s="2"/>
      <c r="R399" s="2"/>
      <c r="S399" s="2"/>
      <c r="AE399" s="2">
        <v>49.38</v>
      </c>
      <c r="AF399" s="2">
        <v>41.92</v>
      </c>
      <c r="AG399" s="2">
        <v>44.76</v>
      </c>
      <c r="AH399" s="2">
        <v>44.68</v>
      </c>
      <c r="AI399" s="14" t="s">
        <v>772</v>
      </c>
      <c r="AJ399" s="14" t="s">
        <v>772</v>
      </c>
      <c r="AK399" s="14" t="s">
        <v>772</v>
      </c>
      <c r="AL399" s="14" t="s">
        <v>772</v>
      </c>
      <c r="AM399" s="19">
        <v>0.3347222222222222</v>
      </c>
      <c r="AN399" s="8">
        <f>(8+(2/60))*AH399</f>
        <v>358.92933333333332</v>
      </c>
    </row>
    <row r="400" spans="1:62" ht="12.5" x14ac:dyDescent="0.25">
      <c r="A400" s="2">
        <v>190</v>
      </c>
      <c r="B400" s="2">
        <v>187</v>
      </c>
      <c r="C400" s="2">
        <v>879</v>
      </c>
      <c r="E400" t="s">
        <v>185</v>
      </c>
      <c r="I400" s="2">
        <v>60.43</v>
      </c>
      <c r="J400" s="15">
        <v>2.1579999999999999</v>
      </c>
      <c r="K400" s="15">
        <v>1.2989999999999999</v>
      </c>
      <c r="P400" s="2"/>
      <c r="Q400" s="2"/>
      <c r="R400" s="2"/>
      <c r="S400" s="2"/>
      <c r="AE400" s="2">
        <v>70.459999999999994</v>
      </c>
      <c r="AF400" s="2">
        <v>55.22</v>
      </c>
      <c r="AG400" s="2">
        <v>48.2</v>
      </c>
      <c r="AH400" s="2">
        <v>60.43</v>
      </c>
      <c r="AI400" s="14" t="s">
        <v>772</v>
      </c>
      <c r="AJ400" s="2">
        <v>63.08</v>
      </c>
      <c r="AK400" s="14" t="s">
        <v>772</v>
      </c>
      <c r="AL400" s="14" t="s">
        <v>772</v>
      </c>
      <c r="AM400" s="19">
        <v>0.13263888888888889</v>
      </c>
      <c r="AN400" s="8">
        <f>(3+(11/60))*AJ400</f>
        <v>200.80466666666663</v>
      </c>
    </row>
    <row r="401" spans="1:63" s="3" customFormat="1" x14ac:dyDescent="0.3">
      <c r="A401" s="4">
        <v>169</v>
      </c>
      <c r="B401" s="4">
        <v>191</v>
      </c>
      <c r="C401" s="4">
        <v>648</v>
      </c>
      <c r="D401" s="4">
        <v>607</v>
      </c>
      <c r="E401" s="139" t="s">
        <v>145</v>
      </c>
      <c r="F401" s="3" t="s">
        <v>674</v>
      </c>
      <c r="H401" s="4">
        <v>10490</v>
      </c>
      <c r="I401" s="4">
        <v>88.58</v>
      </c>
      <c r="J401" s="16">
        <v>3.1930000000000001</v>
      </c>
      <c r="K401" s="16">
        <v>2.23</v>
      </c>
      <c r="L401" s="4">
        <v>32.67</v>
      </c>
      <c r="M401" s="9"/>
      <c r="N401" s="9"/>
      <c r="O401" s="9"/>
      <c r="P401" s="4"/>
      <c r="Q401" s="4"/>
      <c r="R401" s="4"/>
      <c r="S401" s="4"/>
      <c r="T401" s="95">
        <v>85.54</v>
      </c>
      <c r="U401" s="95">
        <v>81.14</v>
      </c>
      <c r="V401" s="95">
        <v>97.19</v>
      </c>
      <c r="W401" s="95">
        <v>91.33</v>
      </c>
      <c r="X401" s="95">
        <v>86.22</v>
      </c>
      <c r="Y401" s="95">
        <v>88.83</v>
      </c>
      <c r="Z401" s="95"/>
      <c r="AA401" s="95"/>
      <c r="AB401" s="95"/>
      <c r="AC401" s="95"/>
      <c r="AD401" s="95"/>
      <c r="AE401" s="95">
        <v>81.150000000000006</v>
      </c>
      <c r="AF401" s="4">
        <v>81.42</v>
      </c>
      <c r="AG401" s="4">
        <v>89.42</v>
      </c>
      <c r="AH401" s="4">
        <v>78.86</v>
      </c>
      <c r="AI401" s="45" t="s">
        <v>772</v>
      </c>
      <c r="AJ401" s="4">
        <v>80.77</v>
      </c>
      <c r="AK401" s="45" t="s">
        <v>772</v>
      </c>
      <c r="AL401" s="45" t="s">
        <v>772</v>
      </c>
      <c r="AM401" s="22">
        <v>0.11527777777777777</v>
      </c>
      <c r="AN401" s="60">
        <f>(2+(45/60))*AJ401</f>
        <v>222.11749999999998</v>
      </c>
      <c r="AX401" s="55">
        <v>112.649511</v>
      </c>
      <c r="AY401" s="55">
        <v>109.596</v>
      </c>
      <c r="AZ401" s="55">
        <v>111.925</v>
      </c>
      <c r="BA401" s="55">
        <v>122.821</v>
      </c>
      <c r="BB401" s="55">
        <v>99.046999999999997</v>
      </c>
      <c r="BC401" s="55">
        <v>93.566000000000003</v>
      </c>
      <c r="BD401" s="55">
        <v>108.94</v>
      </c>
      <c r="BE401" s="55">
        <v>113.532</v>
      </c>
      <c r="BF401" s="55">
        <v>130.61699999999999</v>
      </c>
      <c r="BG401" s="55">
        <v>132.834</v>
      </c>
      <c r="BH401" s="55">
        <v>148.345</v>
      </c>
      <c r="BI401" s="55">
        <v>128.23099999999999</v>
      </c>
      <c r="BJ401" s="55">
        <v>137.738</v>
      </c>
      <c r="BK401" s="9"/>
    </row>
    <row r="402" spans="1:63" ht="12.5" x14ac:dyDescent="0.25">
      <c r="A402" s="2">
        <v>192</v>
      </c>
      <c r="B402" s="2">
        <v>212</v>
      </c>
      <c r="C402" s="2">
        <v>1154</v>
      </c>
      <c r="E402" t="s">
        <v>268</v>
      </c>
      <c r="G402" t="s">
        <v>1267</v>
      </c>
      <c r="I402" s="2">
        <v>36.840000000000003</v>
      </c>
      <c r="J402" s="15">
        <v>1.3149999999999999</v>
      </c>
      <c r="K402" s="15">
        <v>1.085</v>
      </c>
      <c r="P402" s="2"/>
      <c r="Q402" s="2"/>
      <c r="R402" s="2"/>
      <c r="S402" s="2"/>
      <c r="AE402" s="2">
        <v>41.95</v>
      </c>
      <c r="AF402" s="2">
        <v>41.06</v>
      </c>
      <c r="AG402" s="2">
        <v>35.119999999999997</v>
      </c>
      <c r="AH402" s="2">
        <v>36.840000000000003</v>
      </c>
      <c r="AI402" s="14" t="s">
        <v>772</v>
      </c>
      <c r="AJ402" s="14" t="s">
        <v>772</v>
      </c>
      <c r="AK402" s="14" t="s">
        <v>772</v>
      </c>
      <c r="AL402" s="14" t="s">
        <v>772</v>
      </c>
      <c r="AM402" s="19">
        <v>0.13750000000000001</v>
      </c>
      <c r="AN402" s="8">
        <f>(3+(18/60))*AH402</f>
        <v>121.572</v>
      </c>
    </row>
    <row r="403" spans="1:63" ht="12.5" x14ac:dyDescent="0.25">
      <c r="A403" s="2">
        <v>193</v>
      </c>
      <c r="B403" s="2">
        <v>583</v>
      </c>
      <c r="C403" s="2">
        <v>1139</v>
      </c>
      <c r="E403" t="s">
        <v>335</v>
      </c>
      <c r="F403" t="s">
        <v>6</v>
      </c>
      <c r="H403" s="2">
        <v>17000</v>
      </c>
      <c r="I403" s="2">
        <v>31.67</v>
      </c>
      <c r="J403" s="15">
        <v>1.131</v>
      </c>
      <c r="K403" s="15">
        <v>0.81256399999999995</v>
      </c>
      <c r="P403" s="2"/>
      <c r="Q403" s="2"/>
      <c r="R403" s="2"/>
      <c r="S403" s="2"/>
      <c r="AE403" s="2">
        <v>32.43</v>
      </c>
      <c r="AF403" s="2">
        <v>29.81</v>
      </c>
      <c r="AG403" s="2">
        <v>31.67</v>
      </c>
      <c r="AH403" s="14" t="s">
        <v>772</v>
      </c>
      <c r="AI403" s="14" t="s">
        <v>772</v>
      </c>
      <c r="AJ403" s="14" t="s">
        <v>772</v>
      </c>
      <c r="AK403" s="14" t="s">
        <v>772</v>
      </c>
      <c r="AL403" s="14" t="s">
        <v>772</v>
      </c>
      <c r="AM403" s="19">
        <v>0.23611111111111113</v>
      </c>
      <c r="AN403" s="8">
        <f>(5+(40/60))*AG403</f>
        <v>179.46333333333334</v>
      </c>
    </row>
    <row r="404" spans="1:63" ht="12.5" x14ac:dyDescent="0.25">
      <c r="A404" s="2">
        <v>194</v>
      </c>
      <c r="B404" s="2">
        <v>80</v>
      </c>
      <c r="C404" s="2">
        <v>229</v>
      </c>
      <c r="E404" t="s">
        <v>109</v>
      </c>
      <c r="F404" t="s">
        <v>6</v>
      </c>
      <c r="H404" s="2">
        <v>1000</v>
      </c>
      <c r="I404" s="2">
        <v>59.52</v>
      </c>
      <c r="J404" s="15">
        <v>2.125</v>
      </c>
      <c r="K404" s="15">
        <v>1.4730000000000001</v>
      </c>
      <c r="P404" s="2"/>
      <c r="Q404" s="2"/>
      <c r="R404" s="2"/>
      <c r="S404" s="2"/>
      <c r="AE404" s="2">
        <v>54.21</v>
      </c>
      <c r="AF404" s="2">
        <v>67.78</v>
      </c>
      <c r="AG404" s="2">
        <v>152</v>
      </c>
      <c r="AH404" s="2">
        <v>59.52</v>
      </c>
      <c r="AI404" s="14" t="s">
        <v>772</v>
      </c>
      <c r="AJ404" s="2">
        <v>66.430000000000007</v>
      </c>
      <c r="AK404" s="2" t="s">
        <v>772</v>
      </c>
      <c r="AL404" s="2" t="s">
        <v>772</v>
      </c>
      <c r="AM404" s="19">
        <v>0.31944444444444448</v>
      </c>
      <c r="AN404" s="8">
        <f>(7+(40/60))*AJ404</f>
        <v>509.29666666666674</v>
      </c>
      <c r="AX404" s="8">
        <v>194.63430299999999</v>
      </c>
      <c r="AY404" s="8">
        <v>156.99919600000001</v>
      </c>
      <c r="AZ404" s="8">
        <v>190.84485799999999</v>
      </c>
      <c r="BA404" s="8">
        <v>224.53801300000001</v>
      </c>
      <c r="BB404" s="8">
        <v>202.888891</v>
      </c>
      <c r="BC404" s="8">
        <v>93.772175000000004</v>
      </c>
      <c r="BD404" s="8">
        <v>95.385189999999994</v>
      </c>
      <c r="BE404" s="8">
        <v>128.06653600000001</v>
      </c>
      <c r="BF404" s="8">
        <v>205.10315499999999</v>
      </c>
      <c r="BG404" s="8">
        <v>239.91977399999999</v>
      </c>
      <c r="BH404" s="8">
        <v>268.90763399999997</v>
      </c>
      <c r="BI404" s="8">
        <v>268.52858300000003</v>
      </c>
      <c r="BJ404" s="8">
        <v>183.174117</v>
      </c>
    </row>
    <row r="405" spans="1:63" ht="12.5" x14ac:dyDescent="0.25">
      <c r="A405" s="2">
        <v>195</v>
      </c>
      <c r="B405" s="2">
        <v>355</v>
      </c>
      <c r="C405" s="2">
        <v>528</v>
      </c>
      <c r="E405" s="138" t="s">
        <v>305</v>
      </c>
      <c r="F405" t="s">
        <v>535</v>
      </c>
      <c r="G405" t="s">
        <v>1291</v>
      </c>
      <c r="H405" s="2">
        <v>3000000</v>
      </c>
      <c r="I405" s="2">
        <v>87.47</v>
      </c>
      <c r="J405" s="15">
        <v>3.1240000000000001</v>
      </c>
      <c r="K405" s="15">
        <v>2.1869999999999998</v>
      </c>
      <c r="P405" s="2"/>
      <c r="Q405" s="2"/>
      <c r="R405" s="2"/>
      <c r="S405" s="2"/>
      <c r="AE405" s="2">
        <v>96.09</v>
      </c>
      <c r="AF405" s="2">
        <v>87.04</v>
      </c>
      <c r="AG405" s="2">
        <v>87.26</v>
      </c>
      <c r="AH405" s="2">
        <v>87.47</v>
      </c>
      <c r="AI405" s="14" t="s">
        <v>772</v>
      </c>
      <c r="AJ405" s="14" t="s">
        <v>772</v>
      </c>
      <c r="AK405" s="14" t="s">
        <v>772</v>
      </c>
      <c r="AL405" s="14" t="s">
        <v>772</v>
      </c>
      <c r="AM405" s="19">
        <v>0.17013888888888887</v>
      </c>
      <c r="AN405" s="8">
        <f>(4+(5/60))*AH405</f>
        <v>357.16916666666663</v>
      </c>
    </row>
    <row r="406" spans="1:63" ht="12.5" x14ac:dyDescent="0.25">
      <c r="A406" s="2">
        <v>196</v>
      </c>
      <c r="B406" s="2">
        <v>200</v>
      </c>
      <c r="C406" s="2">
        <v>1012</v>
      </c>
      <c r="E406" t="s">
        <v>108</v>
      </c>
      <c r="F406" t="s">
        <v>540</v>
      </c>
      <c r="H406" s="2">
        <v>0</v>
      </c>
      <c r="I406" s="2">
        <v>35.979999999999997</v>
      </c>
      <c r="J406" s="15">
        <v>1.2849999999999999</v>
      </c>
      <c r="K406" s="15">
        <v>1.077</v>
      </c>
      <c r="N406" s="1" t="s">
        <v>11</v>
      </c>
      <c r="P406" s="2"/>
      <c r="Q406" s="2"/>
      <c r="R406" s="2"/>
      <c r="S406" s="2"/>
      <c r="AE406" s="2">
        <v>31.23</v>
      </c>
      <c r="AF406" s="2">
        <v>43.42</v>
      </c>
      <c r="AG406" s="2">
        <v>39.200000000000003</v>
      </c>
      <c r="AH406" s="2">
        <v>35.979999999999997</v>
      </c>
      <c r="AI406" s="14" t="s">
        <v>772</v>
      </c>
      <c r="AJ406" s="2">
        <v>37.85</v>
      </c>
      <c r="AK406" s="2" t="s">
        <v>772</v>
      </c>
      <c r="AL406" s="2" t="s">
        <v>772</v>
      </c>
      <c r="AM406" s="19">
        <v>0.19791666666666666</v>
      </c>
      <c r="AN406" s="8">
        <f>(4+(45/60))*AJ406</f>
        <v>179.78749999999999</v>
      </c>
    </row>
    <row r="407" spans="1:63" ht="12.5" x14ac:dyDescent="0.25">
      <c r="A407" s="2">
        <v>197</v>
      </c>
      <c r="B407" s="2">
        <v>218</v>
      </c>
      <c r="C407" s="2">
        <v>1077</v>
      </c>
      <c r="E407" t="s">
        <v>281</v>
      </c>
      <c r="I407" s="2">
        <v>38.11</v>
      </c>
      <c r="J407" s="15">
        <v>1.361</v>
      </c>
      <c r="K407" s="15">
        <v>0.98093799999999998</v>
      </c>
      <c r="P407" s="2"/>
      <c r="Q407" s="2"/>
      <c r="R407" s="2"/>
      <c r="S407" s="2"/>
      <c r="AE407" s="2">
        <v>35.15</v>
      </c>
      <c r="AF407" s="2">
        <v>42.43</v>
      </c>
      <c r="AG407" s="2">
        <v>39.71</v>
      </c>
      <c r="AH407" s="2">
        <v>38.11</v>
      </c>
      <c r="AI407" s="14" t="s">
        <v>772</v>
      </c>
      <c r="AJ407" s="14" t="s">
        <v>772</v>
      </c>
      <c r="AK407" s="14" t="s">
        <v>772</v>
      </c>
      <c r="AL407" s="14" t="s">
        <v>772</v>
      </c>
      <c r="AM407" s="19">
        <v>0.31388888888888888</v>
      </c>
      <c r="AN407" s="8">
        <f>(7+(32/60))*AH407</f>
        <v>287.09533333333331</v>
      </c>
    </row>
    <row r="408" spans="1:63" ht="12.5" x14ac:dyDescent="0.25">
      <c r="A408" s="2">
        <v>198</v>
      </c>
      <c r="B408" s="2">
        <v>214</v>
      </c>
      <c r="C408" s="2">
        <v>406</v>
      </c>
      <c r="E408" s="138" t="s">
        <v>209</v>
      </c>
      <c r="F408" t="s">
        <v>2</v>
      </c>
      <c r="H408" s="2">
        <v>1000000</v>
      </c>
      <c r="I408" s="2">
        <v>95.83</v>
      </c>
      <c r="J408" s="15">
        <v>3.4220000000000002</v>
      </c>
      <c r="K408" s="15">
        <v>2.5750000000000002</v>
      </c>
      <c r="P408" s="2"/>
      <c r="Q408" s="2"/>
      <c r="R408" s="2"/>
      <c r="S408" s="2"/>
      <c r="AE408" s="2">
        <v>79.900000000000006</v>
      </c>
      <c r="AF408" s="2">
        <v>112.4</v>
      </c>
      <c r="AG408" s="2">
        <v>87.02</v>
      </c>
      <c r="AH408" s="2">
        <v>95.83</v>
      </c>
      <c r="AI408" s="2" t="s">
        <v>772</v>
      </c>
      <c r="AJ408" s="2">
        <v>100.3</v>
      </c>
      <c r="AK408" s="2" t="s">
        <v>772</v>
      </c>
      <c r="AL408" s="2" t="s">
        <v>772</v>
      </c>
      <c r="AM408" s="19">
        <v>0.18472222222222223</v>
      </c>
      <c r="AN408" s="8">
        <f>(4+(26/60))*AJ408</f>
        <v>444.66333333333336</v>
      </c>
    </row>
    <row r="409" spans="1:63" ht="12.5" x14ac:dyDescent="0.25">
      <c r="A409" s="2">
        <v>199</v>
      </c>
      <c r="B409" s="2">
        <v>248</v>
      </c>
      <c r="C409" s="2">
        <v>465</v>
      </c>
      <c r="E409" s="138" t="s">
        <v>288</v>
      </c>
      <c r="F409" t="s">
        <v>563</v>
      </c>
      <c r="G409" t="s">
        <v>1275</v>
      </c>
      <c r="H409" s="2">
        <v>200000</v>
      </c>
      <c r="I409" s="2">
        <v>80.180000000000007</v>
      </c>
      <c r="J409" s="15">
        <v>2.863</v>
      </c>
      <c r="K409" s="15">
        <v>1.5289999999999999</v>
      </c>
      <c r="P409" s="2"/>
      <c r="Q409" s="2"/>
      <c r="R409" s="2"/>
      <c r="S409" s="2"/>
      <c r="AE409" s="2">
        <v>101.1</v>
      </c>
      <c r="AF409" s="2">
        <v>66.75</v>
      </c>
      <c r="AG409" s="2">
        <v>80.61</v>
      </c>
      <c r="AH409" s="2">
        <v>80.180000000000007</v>
      </c>
      <c r="AI409" s="14" t="s">
        <v>772</v>
      </c>
      <c r="AJ409" s="14" t="s">
        <v>772</v>
      </c>
      <c r="AK409" s="14" t="s">
        <v>772</v>
      </c>
      <c r="AL409" s="14" t="s">
        <v>772</v>
      </c>
      <c r="AM409" s="19">
        <v>0.2902777777777778</v>
      </c>
      <c r="AN409" s="8">
        <f>(6+(58/60))*AH409</f>
        <v>558.58733333333339</v>
      </c>
    </row>
    <row r="410" spans="1:63" ht="12.5" x14ac:dyDescent="0.25">
      <c r="A410" s="2">
        <v>205</v>
      </c>
      <c r="B410" s="2">
        <v>200</v>
      </c>
      <c r="C410" s="2">
        <v>159</v>
      </c>
      <c r="E410" s="138" t="s">
        <v>140</v>
      </c>
      <c r="F410" t="s">
        <v>1233</v>
      </c>
      <c r="K410" s="15"/>
      <c r="P410" s="2"/>
      <c r="Q410" s="2"/>
      <c r="R410" s="2"/>
      <c r="S410" s="2"/>
      <c r="AE410" s="2">
        <v>271.8</v>
      </c>
      <c r="AF410" s="2" t="s">
        <v>772</v>
      </c>
      <c r="AG410" s="2" t="s">
        <v>772</v>
      </c>
      <c r="AH410" s="2" t="s">
        <v>772</v>
      </c>
      <c r="AI410" s="14" t="s">
        <v>772</v>
      </c>
      <c r="AJ410" s="14" t="s">
        <v>772</v>
      </c>
      <c r="AK410" s="14" t="s">
        <v>772</v>
      </c>
      <c r="AL410" s="14" t="s">
        <v>772</v>
      </c>
      <c r="AM410" s="19">
        <v>7.8472222222222221E-2</v>
      </c>
      <c r="AN410" s="8">
        <f>(1+(53/60))*AE410</f>
        <v>511.89</v>
      </c>
    </row>
    <row r="411" spans="1:63" ht="12.5" x14ac:dyDescent="0.25">
      <c r="E411" s="138" t="s">
        <v>1564</v>
      </c>
      <c r="K411" s="15"/>
      <c r="P411" s="2"/>
      <c r="Q411" s="2"/>
      <c r="R411" s="2"/>
      <c r="S411" s="2"/>
      <c r="AE411" s="2"/>
      <c r="AG411" s="2"/>
      <c r="AH411" s="2"/>
      <c r="AI411" s="14"/>
      <c r="AJ411" s="14"/>
      <c r="AK411" s="14"/>
      <c r="AL411" s="14"/>
      <c r="AM411" s="19"/>
      <c r="AN411" s="8"/>
    </row>
    <row r="412" spans="1:63" ht="12.5" x14ac:dyDescent="0.25">
      <c r="E412" s="138" t="s">
        <v>1589</v>
      </c>
      <c r="K412" s="15"/>
      <c r="P412" s="2"/>
      <c r="Q412" s="2"/>
      <c r="R412" s="2"/>
      <c r="S412" s="2"/>
      <c r="AE412" s="2"/>
      <c r="AG412" s="2"/>
      <c r="AH412" s="2"/>
      <c r="AI412" s="14"/>
      <c r="AJ412" s="14"/>
      <c r="AK412" s="14"/>
      <c r="AL412" s="14"/>
      <c r="AM412" s="19"/>
      <c r="AN412" s="8"/>
    </row>
    <row r="413" spans="1:63" ht="12.5" x14ac:dyDescent="0.25">
      <c r="E413" s="138" t="s">
        <v>1586</v>
      </c>
      <c r="K413" s="15"/>
      <c r="P413" s="2"/>
      <c r="Q413" s="2"/>
      <c r="R413" s="2"/>
      <c r="S413" s="2"/>
      <c r="AE413" s="2"/>
      <c r="AG413" s="2"/>
      <c r="AH413" s="2"/>
      <c r="AI413" s="14"/>
      <c r="AJ413" s="14"/>
      <c r="AK413" s="14"/>
      <c r="AL413" s="14"/>
      <c r="AM413" s="19"/>
      <c r="AN413" s="8"/>
    </row>
    <row r="414" spans="1:63" ht="12.5" x14ac:dyDescent="0.25">
      <c r="E414" s="138" t="s">
        <v>266</v>
      </c>
      <c r="K414" s="15"/>
      <c r="P414" s="2"/>
      <c r="Q414" s="2"/>
      <c r="R414" s="2"/>
      <c r="S414" s="2"/>
      <c r="AE414" s="2"/>
      <c r="AG414" s="2"/>
      <c r="AH414" s="2"/>
      <c r="AI414" s="14"/>
      <c r="AJ414" s="14"/>
      <c r="AK414" s="14"/>
      <c r="AL414" s="14"/>
      <c r="AM414" s="19"/>
      <c r="AN414" s="8"/>
    </row>
    <row r="415" spans="1:63" ht="12.5" x14ac:dyDescent="0.25">
      <c r="E415" s="138" t="s">
        <v>1748</v>
      </c>
      <c r="K415" s="15"/>
      <c r="P415" s="2"/>
      <c r="Q415" s="2"/>
      <c r="R415" s="2"/>
      <c r="S415" s="2"/>
      <c r="AE415" s="2"/>
      <c r="AG415" s="2"/>
      <c r="AH415" s="2"/>
      <c r="AI415" s="14"/>
      <c r="AJ415" s="14"/>
      <c r="AK415" s="14"/>
      <c r="AL415" s="14"/>
      <c r="AM415" s="19"/>
      <c r="AN415" s="8"/>
    </row>
    <row r="416" spans="1:63" ht="12.5" x14ac:dyDescent="0.25">
      <c r="E416" s="138" t="s">
        <v>1749</v>
      </c>
      <c r="K416" s="15"/>
      <c r="P416" s="2"/>
      <c r="Q416" s="2"/>
      <c r="R416" s="2"/>
      <c r="S416" s="2"/>
      <c r="AE416" s="2"/>
      <c r="AG416" s="2"/>
      <c r="AH416" s="2"/>
      <c r="AI416" s="14"/>
      <c r="AJ416" s="14"/>
      <c r="AK416" s="14"/>
      <c r="AL416" s="14"/>
      <c r="AM416" s="19"/>
      <c r="AN416" s="8"/>
    </row>
    <row r="417" spans="1:62" ht="12.5" x14ac:dyDescent="0.25">
      <c r="E417" s="138" t="s">
        <v>1737</v>
      </c>
      <c r="K417" s="15"/>
      <c r="P417" s="2"/>
      <c r="Q417" s="2"/>
      <c r="R417" s="2"/>
      <c r="S417" s="2"/>
      <c r="AE417" s="2"/>
      <c r="AG417" s="2"/>
      <c r="AH417" s="2"/>
      <c r="AI417" s="14"/>
      <c r="AJ417" s="14"/>
      <c r="AK417" s="14"/>
      <c r="AL417" s="14"/>
      <c r="AM417" s="19"/>
      <c r="AN417" s="8"/>
    </row>
    <row r="418" spans="1:62" ht="12.5" x14ac:dyDescent="0.25">
      <c r="E418" s="138" t="s">
        <v>1774</v>
      </c>
      <c r="K418" s="15"/>
      <c r="P418" s="2"/>
      <c r="Q418" s="2"/>
      <c r="R418" s="2"/>
      <c r="S418" s="2"/>
      <c r="AE418" s="2"/>
      <c r="AG418" s="2"/>
      <c r="AH418" s="2"/>
      <c r="AI418" s="14"/>
      <c r="AJ418" s="14"/>
      <c r="AK418" s="14"/>
      <c r="AL418" s="14"/>
      <c r="AM418" s="19"/>
      <c r="AN418" s="8"/>
    </row>
    <row r="419" spans="1:62" ht="12.5" x14ac:dyDescent="0.25">
      <c r="E419" s="138" t="s">
        <v>1585</v>
      </c>
      <c r="K419" s="15"/>
      <c r="P419" s="2"/>
      <c r="Q419" s="2"/>
      <c r="R419" s="2"/>
      <c r="S419" s="2"/>
      <c r="AE419" s="2"/>
      <c r="AG419" s="2"/>
      <c r="AH419" s="2"/>
      <c r="AI419" s="14"/>
      <c r="AJ419" s="14"/>
      <c r="AK419" s="14"/>
      <c r="AL419" s="14"/>
      <c r="AM419" s="19"/>
      <c r="AN419" s="8"/>
    </row>
    <row r="420" spans="1:62" ht="12.5" x14ac:dyDescent="0.25">
      <c r="E420" s="138" t="s">
        <v>1574</v>
      </c>
      <c r="K420" s="15"/>
      <c r="P420" s="2"/>
      <c r="Q420" s="2"/>
      <c r="R420" s="2"/>
      <c r="S420" s="2"/>
      <c r="AE420" s="2"/>
      <c r="AG420" s="2"/>
      <c r="AH420" s="2"/>
      <c r="AI420" s="14"/>
      <c r="AJ420" s="14"/>
      <c r="AK420" s="14"/>
      <c r="AL420" s="14"/>
      <c r="AM420" s="19"/>
      <c r="AN420" s="8"/>
    </row>
    <row r="421" spans="1:62" ht="12.5" x14ac:dyDescent="0.25">
      <c r="E421" s="138" t="s">
        <v>1575</v>
      </c>
      <c r="K421" s="15"/>
      <c r="P421" s="2"/>
      <c r="Q421" s="2"/>
      <c r="R421" s="2"/>
      <c r="S421" s="2"/>
      <c r="AE421" s="2"/>
      <c r="AG421" s="2"/>
      <c r="AH421" s="2"/>
      <c r="AI421" s="14"/>
      <c r="AJ421" s="14"/>
      <c r="AK421" s="14"/>
      <c r="AL421" s="14"/>
      <c r="AM421" s="19"/>
      <c r="AN421" s="8"/>
    </row>
    <row r="422" spans="1:62" ht="12.5" x14ac:dyDescent="0.25">
      <c r="E422" s="138" t="s">
        <v>1673</v>
      </c>
      <c r="K422" s="15"/>
      <c r="P422" s="2"/>
      <c r="Q422" s="2"/>
      <c r="R422" s="2"/>
      <c r="S422" s="2"/>
      <c r="AE422" s="2"/>
      <c r="AG422" s="2"/>
      <c r="AH422" s="2"/>
      <c r="AI422" s="14"/>
      <c r="AJ422" s="14"/>
      <c r="AK422" s="14"/>
      <c r="AL422" s="14"/>
      <c r="AM422" s="19"/>
      <c r="AN422" s="8"/>
    </row>
    <row r="423" spans="1:62" ht="12.5" x14ac:dyDescent="0.25">
      <c r="E423" s="138" t="s">
        <v>1674</v>
      </c>
      <c r="K423" s="15"/>
      <c r="P423" s="2"/>
      <c r="Q423" s="2"/>
      <c r="R423" s="2"/>
      <c r="S423" s="2"/>
      <c r="AE423" s="2"/>
      <c r="AG423" s="2"/>
      <c r="AH423" s="2"/>
      <c r="AI423" s="14"/>
      <c r="AJ423" s="14"/>
      <c r="AK423" s="14"/>
      <c r="AL423" s="14"/>
      <c r="AM423" s="19"/>
      <c r="AN423" s="8"/>
    </row>
    <row r="424" spans="1:62" ht="12.5" x14ac:dyDescent="0.25">
      <c r="A424" s="2">
        <v>201</v>
      </c>
      <c r="B424" s="2">
        <v>205</v>
      </c>
      <c r="C424" s="2">
        <v>1016</v>
      </c>
      <c r="E424" t="s">
        <v>324</v>
      </c>
      <c r="F424" t="s">
        <v>545</v>
      </c>
      <c r="I424" s="2">
        <v>38.71</v>
      </c>
      <c r="J424" s="15">
        <v>1.3819999999999999</v>
      </c>
      <c r="K424" s="15">
        <v>1.046</v>
      </c>
      <c r="P424" s="2"/>
      <c r="Q424" s="2"/>
      <c r="R424" s="2"/>
      <c r="S424" s="2"/>
      <c r="AE424" s="2">
        <v>42.17</v>
      </c>
      <c r="AF424" s="2">
        <v>31.85</v>
      </c>
      <c r="AG424" s="2">
        <v>32.020000000000003</v>
      </c>
      <c r="AH424" s="2">
        <v>38.71</v>
      </c>
      <c r="AI424" s="14" t="s">
        <v>772</v>
      </c>
      <c r="AJ424" s="14" t="s">
        <v>772</v>
      </c>
      <c r="AK424" s="14" t="s">
        <v>772</v>
      </c>
      <c r="AL424" s="14" t="s">
        <v>772</v>
      </c>
      <c r="AM424" s="19">
        <v>0.20555555555555555</v>
      </c>
      <c r="AN424" s="8">
        <f>(5+(25/60))*AH424</f>
        <v>209.67916666666667</v>
      </c>
    </row>
    <row r="425" spans="1:62" x14ac:dyDescent="0.3">
      <c r="A425" s="2">
        <v>202</v>
      </c>
      <c r="B425" s="2">
        <v>202</v>
      </c>
      <c r="C425" s="2">
        <v>1099</v>
      </c>
      <c r="E425" t="s">
        <v>339</v>
      </c>
      <c r="I425" s="2">
        <v>32.26</v>
      </c>
      <c r="J425" s="15">
        <v>1.1519999999999999</v>
      </c>
      <c r="K425" s="16">
        <v>0.90941300000000003</v>
      </c>
      <c r="P425" s="2"/>
      <c r="Q425" s="2"/>
      <c r="R425" s="2"/>
      <c r="S425" s="2"/>
      <c r="AE425" s="2">
        <v>38.619999999999997</v>
      </c>
      <c r="AF425" s="2">
        <v>34.799999999999997</v>
      </c>
      <c r="AG425" s="2">
        <v>32.26</v>
      </c>
      <c r="AH425" s="14" t="s">
        <v>772</v>
      </c>
      <c r="AI425" s="14" t="s">
        <v>772</v>
      </c>
      <c r="AJ425" s="14" t="s">
        <v>772</v>
      </c>
      <c r="AK425" s="14" t="s">
        <v>772</v>
      </c>
      <c r="AL425" s="14" t="s">
        <v>772</v>
      </c>
      <c r="AM425" s="19">
        <v>0.17222222222222222</v>
      </c>
      <c r="AN425" s="8">
        <f>(4+(38/60))*AG425</f>
        <v>149.47133333333332</v>
      </c>
    </row>
    <row r="426" spans="1:62" x14ac:dyDescent="0.3">
      <c r="A426" s="2">
        <v>175</v>
      </c>
      <c r="B426" s="2">
        <v>203</v>
      </c>
      <c r="C426" s="2">
        <v>198</v>
      </c>
      <c r="E426" t="s">
        <v>1345</v>
      </c>
      <c r="F426" t="s">
        <v>695</v>
      </c>
      <c r="P426" s="2"/>
      <c r="Q426" s="2"/>
      <c r="R426" s="2"/>
      <c r="S426" s="2"/>
      <c r="AE426" s="2">
        <v>179.5</v>
      </c>
      <c r="AF426" s="2" t="s">
        <v>772</v>
      </c>
      <c r="AG426" s="2" t="s">
        <v>772</v>
      </c>
      <c r="AH426" s="14" t="s">
        <v>772</v>
      </c>
      <c r="AI426" s="14" t="s">
        <v>772</v>
      </c>
      <c r="AJ426" s="14" t="s">
        <v>772</v>
      </c>
      <c r="AK426" s="14" t="s">
        <v>772</v>
      </c>
      <c r="AL426" s="14" t="s">
        <v>772</v>
      </c>
      <c r="AM426" s="19">
        <v>0.64930555555555558</v>
      </c>
      <c r="AN426" s="8">
        <f>(15+(35/60))*AE426</f>
        <v>2797.2083333333335</v>
      </c>
    </row>
    <row r="427" spans="1:62" ht="12.5" x14ac:dyDescent="0.25">
      <c r="A427" s="2">
        <v>204</v>
      </c>
      <c r="B427" s="2">
        <v>207</v>
      </c>
      <c r="C427" s="2">
        <v>1075</v>
      </c>
      <c r="E427" t="s">
        <v>274</v>
      </c>
      <c r="I427" s="2">
        <v>38.06</v>
      </c>
      <c r="J427" s="15">
        <v>1.359</v>
      </c>
      <c r="K427" s="15">
        <v>1.143</v>
      </c>
      <c r="P427" s="2"/>
      <c r="Q427" s="2"/>
      <c r="R427" s="2"/>
      <c r="S427" s="2"/>
      <c r="AE427" s="2">
        <v>35.25</v>
      </c>
      <c r="AF427" s="2">
        <v>35.729999999999997</v>
      </c>
      <c r="AG427" s="2">
        <v>36.17</v>
      </c>
      <c r="AH427" s="2">
        <v>38.06</v>
      </c>
      <c r="AI427" s="14" t="s">
        <v>772</v>
      </c>
      <c r="AJ427" s="14" t="s">
        <v>772</v>
      </c>
      <c r="AK427" s="14" t="s">
        <v>772</v>
      </c>
      <c r="AL427" s="14" t="s">
        <v>772</v>
      </c>
      <c r="AM427" s="19">
        <v>0.13055555555555556</v>
      </c>
      <c r="AN427" s="8">
        <f>(3+(8/60))*AH427</f>
        <v>119.25466666666668</v>
      </c>
    </row>
    <row r="428" spans="1:62" ht="12.5" x14ac:dyDescent="0.25">
      <c r="A428" s="2">
        <v>205</v>
      </c>
      <c r="B428" s="2">
        <v>290</v>
      </c>
      <c r="C428" s="2">
        <v>1167</v>
      </c>
      <c r="E428" t="s">
        <v>337</v>
      </c>
      <c r="I428" s="2">
        <v>34.409999999999997</v>
      </c>
      <c r="J428" s="15">
        <v>1.2290000000000001</v>
      </c>
      <c r="K428" s="15">
        <v>1.0049999999999999</v>
      </c>
      <c r="P428" s="2"/>
      <c r="Q428" s="2"/>
      <c r="R428" s="2"/>
      <c r="S428" s="2"/>
      <c r="AE428" s="2">
        <v>47.02</v>
      </c>
      <c r="AF428" s="2">
        <v>44.17</v>
      </c>
      <c r="AG428" s="2">
        <v>34.409999999999997</v>
      </c>
      <c r="AH428" s="14" t="s">
        <v>772</v>
      </c>
      <c r="AI428" s="14" t="s">
        <v>772</v>
      </c>
      <c r="AJ428" s="14" t="s">
        <v>772</v>
      </c>
      <c r="AK428" s="14" t="s">
        <v>772</v>
      </c>
      <c r="AL428" s="14" t="s">
        <v>772</v>
      </c>
      <c r="AM428" s="19">
        <v>0.19652777777777777</v>
      </c>
      <c r="AN428" s="8">
        <f>(4+(43/60))*AG428</f>
        <v>162.3005</v>
      </c>
    </row>
    <row r="429" spans="1:62" ht="12.5" x14ac:dyDescent="0.25">
      <c r="A429" s="2">
        <v>206</v>
      </c>
      <c r="B429" s="2">
        <v>285</v>
      </c>
      <c r="C429" s="2">
        <v>524</v>
      </c>
      <c r="E429" s="138" t="s">
        <v>219</v>
      </c>
      <c r="F429" t="s">
        <v>1252</v>
      </c>
      <c r="G429" t="s">
        <v>1257</v>
      </c>
      <c r="H429" s="2">
        <v>3040</v>
      </c>
      <c r="I429" s="2">
        <v>111.5</v>
      </c>
      <c r="J429" s="15">
        <v>3.9830000000000001</v>
      </c>
      <c r="K429" s="15">
        <v>2.97</v>
      </c>
      <c r="P429" s="2"/>
      <c r="Q429" s="2"/>
      <c r="R429" s="2"/>
      <c r="S429" s="2"/>
      <c r="AE429" s="2">
        <v>122.5</v>
      </c>
      <c r="AF429" s="2">
        <v>123</v>
      </c>
      <c r="AG429" s="2">
        <v>109.6</v>
      </c>
      <c r="AH429" s="2">
        <v>111.5</v>
      </c>
      <c r="AI429" s="2" t="s">
        <v>772</v>
      </c>
      <c r="AJ429" s="2">
        <v>111.1</v>
      </c>
      <c r="AK429" s="2" t="s">
        <v>772</v>
      </c>
      <c r="AL429" s="2" t="s">
        <v>772</v>
      </c>
      <c r="AM429" s="19">
        <v>9.930555555555555E-2</v>
      </c>
      <c r="AN429" s="8">
        <f>(2+(23/60))*AJ429</f>
        <v>264.7883333333333</v>
      </c>
    </row>
    <row r="430" spans="1:62" ht="12.5" x14ac:dyDescent="0.25">
      <c r="E430" s="138" t="s">
        <v>1716</v>
      </c>
      <c r="K430" s="15"/>
      <c r="P430" s="2"/>
      <c r="Q430" s="2"/>
      <c r="R430" s="2"/>
      <c r="S430" s="2"/>
      <c r="AE430" s="2"/>
      <c r="AG430" s="2"/>
      <c r="AH430" s="2"/>
      <c r="AI430" s="2"/>
      <c r="AJ430" s="2"/>
      <c r="AK430" s="2"/>
      <c r="AL430" s="2"/>
      <c r="AM430" s="19"/>
      <c r="AN430" s="8"/>
    </row>
    <row r="431" spans="1:62" x14ac:dyDescent="0.3">
      <c r="A431" s="2">
        <v>216</v>
      </c>
      <c r="B431" s="2">
        <v>207</v>
      </c>
      <c r="C431" s="2">
        <v>1147</v>
      </c>
      <c r="E431" t="s">
        <v>394</v>
      </c>
      <c r="P431" s="2"/>
      <c r="Q431" s="2"/>
      <c r="R431" s="2"/>
      <c r="S431" s="2"/>
      <c r="AE431" s="2">
        <v>30.41</v>
      </c>
      <c r="AF431" s="2" t="s">
        <v>772</v>
      </c>
      <c r="AG431" s="1" t="s">
        <v>772</v>
      </c>
      <c r="AH431" s="14" t="s">
        <v>772</v>
      </c>
      <c r="AI431" s="14" t="s">
        <v>772</v>
      </c>
      <c r="AJ431" s="14" t="s">
        <v>772</v>
      </c>
      <c r="AK431" s="14" t="s">
        <v>772</v>
      </c>
      <c r="AL431" s="2" t="s">
        <v>772</v>
      </c>
      <c r="AM431" s="19">
        <v>0.22152777777777777</v>
      </c>
      <c r="AN431" s="8">
        <f>(5+(19/60))*AE431</f>
        <v>161.67983333333333</v>
      </c>
    </row>
    <row r="432" spans="1:62" ht="12.5" x14ac:dyDescent="0.25">
      <c r="A432" s="2">
        <v>208</v>
      </c>
      <c r="B432" s="2">
        <v>147</v>
      </c>
      <c r="C432" s="2">
        <v>645</v>
      </c>
      <c r="E432" t="s">
        <v>114</v>
      </c>
      <c r="F432" t="s">
        <v>5</v>
      </c>
      <c r="H432" s="2">
        <v>0</v>
      </c>
      <c r="I432" s="2">
        <v>97.06</v>
      </c>
      <c r="J432" s="15">
        <v>3.4660000000000002</v>
      </c>
      <c r="K432" s="15">
        <v>2.6070000000000002</v>
      </c>
      <c r="P432" s="2"/>
      <c r="Q432" s="2"/>
      <c r="R432" s="2"/>
      <c r="S432" s="2"/>
      <c r="AE432" s="2">
        <v>79.64</v>
      </c>
      <c r="AF432" s="2">
        <v>80.77</v>
      </c>
      <c r="AG432" s="2">
        <v>93.24</v>
      </c>
      <c r="AH432" s="2">
        <v>97.06</v>
      </c>
      <c r="AI432" s="14" t="s">
        <v>772</v>
      </c>
      <c r="AJ432" s="2">
        <v>90.26</v>
      </c>
      <c r="AK432" s="2" t="s">
        <v>772</v>
      </c>
      <c r="AL432" s="2" t="s">
        <v>772</v>
      </c>
      <c r="AM432" s="19">
        <v>8.5416666666666655E-2</v>
      </c>
      <c r="AN432" s="57">
        <f>(2+(3/60))*AJ432</f>
        <v>185.03299999999999</v>
      </c>
      <c r="AS432" s="50" t="s">
        <v>686</v>
      </c>
      <c r="AX432" s="8">
        <v>155.394812</v>
      </c>
      <c r="AY432" s="8">
        <v>148.810687</v>
      </c>
      <c r="AZ432" s="8">
        <v>155.030731</v>
      </c>
      <c r="BA432" s="8">
        <v>154.231956</v>
      </c>
      <c r="BB432" s="8">
        <v>160.28258199999999</v>
      </c>
      <c r="BC432" s="8">
        <v>147.89075</v>
      </c>
      <c r="BD432" s="8">
        <v>162.34909200000001</v>
      </c>
      <c r="BE432" s="8">
        <v>162.23882499999999</v>
      </c>
      <c r="BF432" s="8">
        <v>194.17859799999999</v>
      </c>
      <c r="BG432" s="8">
        <v>205.50739200000001</v>
      </c>
      <c r="BH432" s="8">
        <v>201.854917</v>
      </c>
      <c r="BI432" s="8">
        <v>171.82154600000001</v>
      </c>
      <c r="BJ432" s="8">
        <v>172.94190399999999</v>
      </c>
    </row>
    <row r="433" spans="1:63" ht="12.5" x14ac:dyDescent="0.25">
      <c r="A433" s="2">
        <v>209</v>
      </c>
      <c r="B433" s="2">
        <v>455</v>
      </c>
      <c r="C433" s="2">
        <v>1240</v>
      </c>
      <c r="E433" s="138" t="s">
        <v>348</v>
      </c>
      <c r="F433" t="s">
        <v>6</v>
      </c>
      <c r="I433" s="2">
        <v>42.91</v>
      </c>
      <c r="J433" s="15">
        <v>1.532</v>
      </c>
      <c r="K433" s="15">
        <v>1.175</v>
      </c>
      <c r="P433" s="2"/>
      <c r="Q433" s="2"/>
      <c r="R433" s="2"/>
      <c r="S433" s="2"/>
      <c r="AE433" s="2">
        <v>76.44</v>
      </c>
      <c r="AF433" s="2">
        <v>52.03</v>
      </c>
      <c r="AG433" s="2">
        <v>42.91</v>
      </c>
      <c r="AH433" s="14" t="s">
        <v>772</v>
      </c>
      <c r="AI433" s="14" t="s">
        <v>772</v>
      </c>
      <c r="AJ433" s="14" t="s">
        <v>772</v>
      </c>
      <c r="AK433" s="14" t="s">
        <v>772</v>
      </c>
      <c r="AL433" s="14" t="s">
        <v>772</v>
      </c>
      <c r="AM433" s="19">
        <v>0.1111111111111111</v>
      </c>
      <c r="AN433" s="8">
        <f>(2+(40/60))*AG433</f>
        <v>114.42666666666665</v>
      </c>
    </row>
    <row r="434" spans="1:63" ht="12.5" x14ac:dyDescent="0.25">
      <c r="A434" s="2">
        <v>210</v>
      </c>
      <c r="B434" s="2">
        <v>308</v>
      </c>
      <c r="C434" s="2">
        <v>496</v>
      </c>
      <c r="E434" s="138" t="s">
        <v>278</v>
      </c>
      <c r="I434" s="2">
        <v>97.58</v>
      </c>
      <c r="J434" s="15">
        <v>3.4849999999999999</v>
      </c>
      <c r="K434" s="15">
        <v>2.532</v>
      </c>
      <c r="P434" s="2"/>
      <c r="Q434" s="2"/>
      <c r="R434" s="2"/>
      <c r="S434" s="2"/>
      <c r="AE434" s="2">
        <v>97.37</v>
      </c>
      <c r="AF434" s="2">
        <v>96.47</v>
      </c>
      <c r="AG434" s="2">
        <v>90.59</v>
      </c>
      <c r="AH434" s="2">
        <v>97.58</v>
      </c>
      <c r="AI434" s="14" t="s">
        <v>772</v>
      </c>
      <c r="AJ434" s="14" t="s">
        <v>772</v>
      </c>
      <c r="AK434" s="14" t="s">
        <v>772</v>
      </c>
      <c r="AL434" s="14" t="s">
        <v>772</v>
      </c>
      <c r="AM434" s="19">
        <v>0.14930555555555555</v>
      </c>
      <c r="AN434" s="8">
        <f>(3+(35/60))*AH434</f>
        <v>349.66166666666669</v>
      </c>
    </row>
    <row r="435" spans="1:63" ht="12.5" x14ac:dyDescent="0.25">
      <c r="A435" s="2">
        <v>211</v>
      </c>
      <c r="B435" s="2">
        <v>228</v>
      </c>
      <c r="C435" s="2">
        <v>659</v>
      </c>
      <c r="E435" t="s">
        <v>164</v>
      </c>
      <c r="F435" t="s">
        <v>6</v>
      </c>
      <c r="H435" s="2">
        <v>3000</v>
      </c>
      <c r="I435" s="2">
        <v>101.6</v>
      </c>
      <c r="J435" s="15">
        <v>3.1469999999999998</v>
      </c>
      <c r="K435" s="15">
        <v>2.859</v>
      </c>
      <c r="L435" s="2">
        <v>66.12</v>
      </c>
      <c r="P435" s="2"/>
      <c r="Q435" s="2"/>
      <c r="R435" s="2"/>
      <c r="S435" s="2"/>
      <c r="AE435" s="2">
        <v>94.38</v>
      </c>
      <c r="AF435" s="2">
        <v>87.79</v>
      </c>
      <c r="AG435" s="2">
        <v>91.05</v>
      </c>
      <c r="AH435" s="2">
        <v>86.9</v>
      </c>
      <c r="AI435" s="14" t="s">
        <v>772</v>
      </c>
      <c r="AJ435" s="2">
        <v>86.18</v>
      </c>
      <c r="AK435" s="14" t="s">
        <v>772</v>
      </c>
      <c r="AL435" s="14" t="s">
        <v>772</v>
      </c>
      <c r="AM435" s="20" t="s">
        <v>746</v>
      </c>
      <c r="AN435" s="8">
        <f>(1+(27/60))*AJ435</f>
        <v>124.96100000000001</v>
      </c>
      <c r="AX435" s="54">
        <v>121.4641</v>
      </c>
      <c r="AY435" s="54">
        <v>129.02500000000001</v>
      </c>
      <c r="AZ435" s="54">
        <v>117.991</v>
      </c>
      <c r="BA435" s="54">
        <v>126.262</v>
      </c>
      <c r="BB435" s="54">
        <v>132.57300000000001</v>
      </c>
      <c r="BC435" s="54">
        <v>113.565</v>
      </c>
      <c r="BD435" s="54">
        <v>124.88</v>
      </c>
      <c r="BE435" s="54">
        <v>121.36199999999999</v>
      </c>
      <c r="BF435" s="54">
        <v>143.792</v>
      </c>
      <c r="BG435" s="54">
        <v>155.15700000000001</v>
      </c>
      <c r="BH435" s="54">
        <v>172.96899999999999</v>
      </c>
      <c r="BI435" s="54">
        <v>149.38399999999999</v>
      </c>
      <c r="BJ435" s="54">
        <v>162.55199999999999</v>
      </c>
    </row>
    <row r="436" spans="1:63" ht="12.5" x14ac:dyDescent="0.25">
      <c r="A436" s="2">
        <v>213</v>
      </c>
      <c r="B436" s="2">
        <v>201</v>
      </c>
      <c r="C436" s="2">
        <v>930</v>
      </c>
      <c r="E436" t="s">
        <v>220</v>
      </c>
      <c r="F436" t="s">
        <v>1253</v>
      </c>
      <c r="G436" t="s">
        <v>1236</v>
      </c>
      <c r="H436" s="2">
        <v>40</v>
      </c>
      <c r="I436" s="2">
        <v>46.84</v>
      </c>
      <c r="J436" s="15">
        <v>1.6719999999999999</v>
      </c>
      <c r="K436" s="15">
        <v>1.04</v>
      </c>
      <c r="P436" s="2"/>
      <c r="Q436" s="2"/>
      <c r="R436" s="2"/>
      <c r="S436" s="2"/>
      <c r="AE436" s="2">
        <v>67.52</v>
      </c>
      <c r="AF436" s="2">
        <v>46.95</v>
      </c>
      <c r="AG436" s="2">
        <v>49.32</v>
      </c>
      <c r="AH436" s="2">
        <v>46.84</v>
      </c>
      <c r="AI436" s="2" t="s">
        <v>772</v>
      </c>
      <c r="AJ436" s="2">
        <v>46.4</v>
      </c>
      <c r="AK436" s="2" t="s">
        <v>772</v>
      </c>
      <c r="AL436" s="2" t="s">
        <v>772</v>
      </c>
      <c r="AM436" s="19">
        <v>0.12361111111111112</v>
      </c>
      <c r="AN436" s="8">
        <f>(3+(11/60))*AJ436</f>
        <v>147.70666666666665</v>
      </c>
      <c r="AX436" s="1">
        <v>185.33199999999999</v>
      </c>
      <c r="AY436" s="1">
        <v>155.34200000000001</v>
      </c>
      <c r="AZ436" s="1">
        <v>191.495</v>
      </c>
      <c r="BA436" s="1">
        <v>185.88499999999999</v>
      </c>
      <c r="BB436" s="1">
        <v>155.24700000000001</v>
      </c>
      <c r="BC436" s="1">
        <v>172.38200000000001</v>
      </c>
      <c r="BD436" s="1">
        <v>161.80799999999999</v>
      </c>
      <c r="BE436" s="1">
        <v>158.024</v>
      </c>
      <c r="BF436" s="1">
        <v>206.68299999999999</v>
      </c>
      <c r="BG436" s="1">
        <v>203.40600000000001</v>
      </c>
      <c r="BH436" s="1">
        <v>217.90700000000001</v>
      </c>
      <c r="BI436" s="1">
        <v>181.34899999999999</v>
      </c>
      <c r="BJ436" s="1">
        <v>213.672</v>
      </c>
    </row>
    <row r="437" spans="1:63" ht="12.5" x14ac:dyDescent="0.25">
      <c r="A437" s="2">
        <v>214</v>
      </c>
      <c r="B437" s="2">
        <v>242</v>
      </c>
      <c r="C437" s="2">
        <v>1285</v>
      </c>
      <c r="E437" t="s">
        <v>297</v>
      </c>
      <c r="F437" t="s">
        <v>1240</v>
      </c>
      <c r="G437" t="s">
        <v>1281</v>
      </c>
      <c r="H437" s="2">
        <v>13870</v>
      </c>
      <c r="I437" s="2">
        <v>35.15</v>
      </c>
      <c r="J437" s="15">
        <v>1.2549999999999999</v>
      </c>
      <c r="K437" s="15">
        <v>1.111</v>
      </c>
      <c r="P437" s="2"/>
      <c r="Q437" s="2"/>
      <c r="R437" s="2"/>
      <c r="S437" s="2"/>
      <c r="AE437" s="2">
        <v>38.86</v>
      </c>
      <c r="AF437" s="2">
        <v>39.520000000000003</v>
      </c>
      <c r="AG437" s="2">
        <v>34.79</v>
      </c>
      <c r="AH437" s="2">
        <v>35.15</v>
      </c>
      <c r="AI437" s="14" t="s">
        <v>772</v>
      </c>
      <c r="AJ437" s="14" t="s">
        <v>772</v>
      </c>
      <c r="AK437" s="14" t="s">
        <v>772</v>
      </c>
      <c r="AL437" s="14" t="s">
        <v>772</v>
      </c>
      <c r="AM437" s="19">
        <v>0.15069444444444444</v>
      </c>
      <c r="AN437" s="8">
        <f>(3+(37/60))*AH437</f>
        <v>127.12583333333333</v>
      </c>
    </row>
    <row r="438" spans="1:63" ht="12.5" x14ac:dyDescent="0.25">
      <c r="A438" s="2">
        <v>215</v>
      </c>
      <c r="B438" s="2">
        <v>186</v>
      </c>
      <c r="C438" s="2">
        <v>945</v>
      </c>
      <c r="E438" t="s">
        <v>321</v>
      </c>
      <c r="G438" t="s">
        <v>1298</v>
      </c>
      <c r="I438" s="2">
        <v>29.19</v>
      </c>
      <c r="J438" s="15">
        <v>1.042</v>
      </c>
      <c r="K438" s="15">
        <v>0.866672</v>
      </c>
      <c r="P438" s="2"/>
      <c r="Q438" s="2"/>
      <c r="R438" s="2"/>
      <c r="S438" s="2"/>
      <c r="AE438" s="2">
        <v>27.88</v>
      </c>
      <c r="AF438" s="2">
        <v>32.9</v>
      </c>
      <c r="AG438" s="2">
        <v>34.020000000000003</v>
      </c>
      <c r="AH438" s="2">
        <v>29.19</v>
      </c>
      <c r="AI438" s="14" t="s">
        <v>772</v>
      </c>
      <c r="AJ438" s="14" t="s">
        <v>772</v>
      </c>
      <c r="AK438" s="14" t="s">
        <v>772</v>
      </c>
      <c r="AL438" s="14" t="s">
        <v>772</v>
      </c>
      <c r="AM438" s="19">
        <v>0.31111111111111112</v>
      </c>
      <c r="AN438" s="8">
        <f>(7+(28/60))*AH438</f>
        <v>217.95200000000003</v>
      </c>
    </row>
    <row r="439" spans="1:63" ht="12.5" x14ac:dyDescent="0.25">
      <c r="A439" s="2">
        <v>152</v>
      </c>
      <c r="B439" s="2">
        <v>216</v>
      </c>
      <c r="C439" s="2">
        <v>735</v>
      </c>
      <c r="E439" t="s">
        <v>1346</v>
      </c>
      <c r="K439" s="15"/>
      <c r="P439" s="2"/>
      <c r="Q439" s="2"/>
      <c r="R439" s="2"/>
      <c r="S439" s="2"/>
      <c r="AE439" s="2">
        <v>45.34</v>
      </c>
      <c r="AF439" s="2" t="s">
        <v>772</v>
      </c>
      <c r="AG439" s="2" t="s">
        <v>772</v>
      </c>
      <c r="AH439" s="2" t="s">
        <v>772</v>
      </c>
      <c r="AI439" s="14" t="s">
        <v>772</v>
      </c>
      <c r="AJ439" s="14" t="s">
        <v>772</v>
      </c>
      <c r="AK439" s="14" t="s">
        <v>772</v>
      </c>
      <c r="AL439" s="14" t="s">
        <v>772</v>
      </c>
      <c r="AM439" s="19">
        <v>0.54374999999999996</v>
      </c>
      <c r="AN439" s="8">
        <f>(13+(3/60))*AE439</f>
        <v>591.68700000000013</v>
      </c>
    </row>
    <row r="440" spans="1:63" ht="12.5" x14ac:dyDescent="0.25">
      <c r="A440" s="2">
        <v>217</v>
      </c>
      <c r="B440" s="2">
        <v>174</v>
      </c>
      <c r="C440" s="2">
        <v>482</v>
      </c>
      <c r="E440" t="s">
        <v>186</v>
      </c>
      <c r="I440" s="2">
        <v>87.64</v>
      </c>
      <c r="J440" s="15">
        <v>3.13</v>
      </c>
      <c r="K440" s="15">
        <v>2.7440000000000002</v>
      </c>
      <c r="P440" s="2"/>
      <c r="Q440" s="2"/>
      <c r="R440" s="2"/>
      <c r="S440" s="2"/>
      <c r="AE440" s="2">
        <v>91.61</v>
      </c>
      <c r="AF440" s="2">
        <v>118.2</v>
      </c>
      <c r="AG440" s="2">
        <v>93.88</v>
      </c>
      <c r="AH440" s="2">
        <v>87.64</v>
      </c>
      <c r="AI440" s="14" t="s">
        <v>772</v>
      </c>
      <c r="AJ440" s="2">
        <v>85.18</v>
      </c>
      <c r="AK440" s="14" t="s">
        <v>772</v>
      </c>
      <c r="AL440" s="14" t="s">
        <v>772</v>
      </c>
      <c r="AM440" s="19">
        <v>7.5694444444444439E-2</v>
      </c>
      <c r="AN440" s="8">
        <f>(1+(49/60))*AJ440</f>
        <v>154.74366666666668</v>
      </c>
    </row>
    <row r="441" spans="1:63" x14ac:dyDescent="0.3">
      <c r="A441" s="2">
        <v>243</v>
      </c>
      <c r="B441" s="2">
        <v>218</v>
      </c>
      <c r="C441" s="2">
        <v>1401</v>
      </c>
      <c r="E441" t="s">
        <v>427</v>
      </c>
      <c r="P441" s="2"/>
      <c r="Q441" s="2"/>
      <c r="R441" s="2"/>
      <c r="S441" s="2"/>
      <c r="AE441" s="2">
        <v>26.99</v>
      </c>
      <c r="AF441" s="2" t="s">
        <v>772</v>
      </c>
      <c r="AG441" s="1" t="s">
        <v>772</v>
      </c>
      <c r="AH441" s="14" t="s">
        <v>772</v>
      </c>
      <c r="AI441" s="14" t="s">
        <v>772</v>
      </c>
      <c r="AJ441" s="14" t="s">
        <v>772</v>
      </c>
      <c r="AK441" s="14" t="s">
        <v>772</v>
      </c>
      <c r="AL441" s="14" t="s">
        <v>772</v>
      </c>
      <c r="AM441" s="19">
        <v>0.21458333333333332</v>
      </c>
      <c r="AN441" s="8">
        <f>(5+(9/60))*AE441</f>
        <v>138.99850000000001</v>
      </c>
    </row>
    <row r="442" spans="1:63" ht="12.5" x14ac:dyDescent="0.25">
      <c r="A442" s="2">
        <v>219</v>
      </c>
      <c r="B442" s="2">
        <v>217</v>
      </c>
      <c r="C442" s="2">
        <v>1223</v>
      </c>
      <c r="E442" t="s">
        <v>292</v>
      </c>
      <c r="F442" t="s">
        <v>1240</v>
      </c>
      <c r="G442" t="s">
        <v>1281</v>
      </c>
      <c r="H442" s="2">
        <v>13870</v>
      </c>
      <c r="I442" s="2">
        <v>35.340000000000003</v>
      </c>
      <c r="J442" s="15">
        <v>1.262</v>
      </c>
      <c r="K442" s="15">
        <v>1.125</v>
      </c>
      <c r="P442" s="2"/>
      <c r="Q442" s="2"/>
      <c r="R442" s="2"/>
      <c r="S442" s="2"/>
      <c r="AE442" s="2">
        <v>38.950000000000003</v>
      </c>
      <c r="AF442" s="2">
        <v>34.78</v>
      </c>
      <c r="AG442" s="2">
        <v>32.85</v>
      </c>
      <c r="AH442" s="2">
        <v>35.340000000000003</v>
      </c>
      <c r="AI442" s="14" t="s">
        <v>772</v>
      </c>
      <c r="AJ442" s="14" t="s">
        <v>772</v>
      </c>
      <c r="AK442" s="14" t="s">
        <v>772</v>
      </c>
      <c r="AL442" s="14" t="s">
        <v>772</v>
      </c>
      <c r="AM442" s="19">
        <v>8.8888888888888892E-2</v>
      </c>
      <c r="AN442" s="8">
        <f>(2+(55/60))*AH442</f>
        <v>103.075</v>
      </c>
    </row>
    <row r="443" spans="1:63" ht="12.5" x14ac:dyDescent="0.25">
      <c r="A443" s="2">
        <v>220</v>
      </c>
      <c r="B443" s="2">
        <v>265</v>
      </c>
      <c r="C443" s="2">
        <v>365</v>
      </c>
      <c r="E443" s="138" t="s">
        <v>276</v>
      </c>
      <c r="F443" t="s">
        <v>563</v>
      </c>
      <c r="G443" t="s">
        <v>1316</v>
      </c>
      <c r="I443" s="2">
        <v>109.3</v>
      </c>
      <c r="J443" s="15">
        <v>3.907</v>
      </c>
      <c r="K443" s="15">
        <v>1.6970000000000001</v>
      </c>
      <c r="P443" s="2"/>
      <c r="Q443" s="2"/>
      <c r="R443" s="2"/>
      <c r="S443" s="2"/>
      <c r="AE443" s="2">
        <v>125.2</v>
      </c>
      <c r="AF443" s="2">
        <v>82.37</v>
      </c>
      <c r="AG443" s="2">
        <v>107.6</v>
      </c>
      <c r="AH443" s="2">
        <v>109.3</v>
      </c>
      <c r="AI443" s="14" t="s">
        <v>772</v>
      </c>
      <c r="AJ443" s="14" t="s">
        <v>772</v>
      </c>
      <c r="AK443" s="14" t="s">
        <v>772</v>
      </c>
      <c r="AL443" s="14" t="s">
        <v>772</v>
      </c>
      <c r="AM443" s="19">
        <v>0.59513888888888888</v>
      </c>
      <c r="AN443" s="8">
        <f>(14+(17/60))*AH443</f>
        <v>1561.1683333333333</v>
      </c>
    </row>
    <row r="444" spans="1:63" ht="12.5" x14ac:dyDescent="0.25">
      <c r="A444" s="2">
        <v>221</v>
      </c>
      <c r="B444" s="2">
        <v>263</v>
      </c>
      <c r="C444" s="2">
        <v>1130</v>
      </c>
      <c r="E444" t="s">
        <v>315</v>
      </c>
      <c r="F444" t="s">
        <v>1296</v>
      </c>
      <c r="G444" t="s">
        <v>1297</v>
      </c>
      <c r="H444" s="2">
        <v>27120</v>
      </c>
      <c r="I444" s="2">
        <v>37.24</v>
      </c>
      <c r="J444" s="15">
        <v>1.33</v>
      </c>
      <c r="K444" s="15">
        <v>1.0329999999999999</v>
      </c>
      <c r="P444" s="2"/>
      <c r="Q444" s="2"/>
      <c r="R444" s="2"/>
      <c r="S444" s="2"/>
      <c r="AE444" s="2">
        <v>42.22</v>
      </c>
      <c r="AF444" s="2">
        <v>34.67</v>
      </c>
      <c r="AG444" s="2">
        <v>38.119999999999997</v>
      </c>
      <c r="AH444" s="2">
        <v>37.24</v>
      </c>
      <c r="AI444" s="14" t="s">
        <v>772</v>
      </c>
      <c r="AJ444" s="14" t="s">
        <v>772</v>
      </c>
      <c r="AK444" s="14" t="s">
        <v>772</v>
      </c>
      <c r="AL444" s="14" t="s">
        <v>772</v>
      </c>
      <c r="AM444" s="19">
        <v>0.18402777777777779</v>
      </c>
      <c r="AN444" s="8">
        <f>(4+(25/60))*AH444</f>
        <v>164.47666666666669</v>
      </c>
    </row>
    <row r="445" spans="1:63" s="5" customFormat="1" x14ac:dyDescent="0.3">
      <c r="A445" s="6">
        <v>222</v>
      </c>
      <c r="B445" s="2">
        <v>152</v>
      </c>
      <c r="C445" s="6">
        <v>745</v>
      </c>
      <c r="D445" s="6"/>
      <c r="E445" s="5" t="s">
        <v>110</v>
      </c>
      <c r="F445" s="5" t="s">
        <v>541</v>
      </c>
      <c r="G445" s="5" t="s">
        <v>1290</v>
      </c>
      <c r="H445" s="6">
        <v>121750</v>
      </c>
      <c r="I445" s="6">
        <v>93.36</v>
      </c>
      <c r="J445" s="17">
        <v>3.3340000000000001</v>
      </c>
      <c r="K445" s="17">
        <v>2.0459999999999998</v>
      </c>
      <c r="L445" s="6"/>
      <c r="M445" s="7"/>
      <c r="N445" s="7"/>
      <c r="O445" s="7"/>
      <c r="P445" s="6"/>
      <c r="Q445" s="6"/>
      <c r="R445" s="6"/>
      <c r="S445" s="6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6">
        <v>56.07</v>
      </c>
      <c r="AF445" s="6">
        <v>84.46</v>
      </c>
      <c r="AG445" s="6">
        <v>87.26</v>
      </c>
      <c r="AH445" s="6">
        <v>93.36</v>
      </c>
      <c r="AI445" s="49" t="s">
        <v>772</v>
      </c>
      <c r="AJ445" s="6">
        <v>93.72</v>
      </c>
      <c r="AK445" s="6" t="s">
        <v>772</v>
      </c>
      <c r="AL445" s="6" t="s">
        <v>772</v>
      </c>
      <c r="AM445" s="52">
        <v>0.12569444444444444</v>
      </c>
      <c r="AN445" s="53">
        <f>(3+(1/60))*AJ445</f>
        <v>282.72199999999998</v>
      </c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7"/>
    </row>
    <row r="446" spans="1:63" ht="12.5" x14ac:dyDescent="0.25">
      <c r="A446" s="2">
        <v>223</v>
      </c>
      <c r="B446" s="2">
        <v>238</v>
      </c>
      <c r="C446" s="2">
        <v>1264</v>
      </c>
      <c r="E446" t="s">
        <v>216</v>
      </c>
      <c r="I446" s="2">
        <v>48.05</v>
      </c>
      <c r="J446" s="15">
        <v>1.716</v>
      </c>
      <c r="K446" s="15">
        <v>1.4850000000000001</v>
      </c>
      <c r="P446" s="2"/>
      <c r="Q446" s="2"/>
      <c r="R446" s="2"/>
      <c r="S446" s="2"/>
      <c r="AE446" s="2">
        <v>43.46</v>
      </c>
      <c r="AF446" s="2">
        <v>46.11</v>
      </c>
      <c r="AG446" s="2">
        <v>42.87</v>
      </c>
      <c r="AH446" s="2">
        <v>48.05</v>
      </c>
      <c r="AI446" s="2" t="s">
        <v>772</v>
      </c>
      <c r="AJ446" s="2">
        <v>47.57</v>
      </c>
      <c r="AK446" s="2" t="s">
        <v>772</v>
      </c>
      <c r="AL446" s="2" t="s">
        <v>772</v>
      </c>
      <c r="AM446" s="19">
        <v>8.611111111111111E-2</v>
      </c>
      <c r="AN446" s="8">
        <f>(2+(2/60))*AJ446</f>
        <v>96.725666666666655</v>
      </c>
    </row>
    <row r="447" spans="1:63" ht="12.5" x14ac:dyDescent="0.25">
      <c r="A447" s="2">
        <v>226</v>
      </c>
      <c r="B447" s="2">
        <v>224</v>
      </c>
      <c r="C447" s="2">
        <v>525</v>
      </c>
      <c r="E447" t="s">
        <v>472</v>
      </c>
      <c r="K447" s="15"/>
      <c r="P447" s="2"/>
      <c r="Q447" s="2"/>
      <c r="R447" s="2"/>
      <c r="S447" s="2"/>
      <c r="AE447" s="2">
        <v>39.770000000000003</v>
      </c>
      <c r="AF447" s="2" t="s">
        <v>772</v>
      </c>
      <c r="AG447" s="2" t="s">
        <v>772</v>
      </c>
      <c r="AH447" s="2" t="s">
        <v>772</v>
      </c>
      <c r="AI447" s="2" t="s">
        <v>772</v>
      </c>
      <c r="AJ447" s="2" t="s">
        <v>772</v>
      </c>
      <c r="AK447" s="2" t="s">
        <v>772</v>
      </c>
      <c r="AL447" s="2" t="s">
        <v>772</v>
      </c>
      <c r="AM447" s="19">
        <v>0.37222222222222223</v>
      </c>
      <c r="AN447" s="8">
        <f>(8+(56/60))*AE447</f>
        <v>355.27866666666671</v>
      </c>
    </row>
    <row r="448" spans="1:63" ht="12.5" x14ac:dyDescent="0.25">
      <c r="A448" s="2">
        <v>270</v>
      </c>
      <c r="B448" s="2">
        <v>225</v>
      </c>
      <c r="C448" s="2">
        <v>68</v>
      </c>
      <c r="E448" t="s">
        <v>1347</v>
      </c>
      <c r="K448" s="15"/>
      <c r="P448" s="2"/>
      <c r="Q448" s="2"/>
      <c r="R448" s="2"/>
      <c r="S448" s="2"/>
      <c r="AE448" s="2">
        <v>649.6</v>
      </c>
      <c r="AF448" s="2" t="s">
        <v>772</v>
      </c>
      <c r="AG448" s="2" t="s">
        <v>772</v>
      </c>
      <c r="AH448" s="2" t="s">
        <v>772</v>
      </c>
      <c r="AI448" s="2" t="s">
        <v>772</v>
      </c>
      <c r="AJ448" s="2" t="s">
        <v>772</v>
      </c>
      <c r="AK448" s="2" t="s">
        <v>772</v>
      </c>
      <c r="AL448" s="2" t="s">
        <v>772</v>
      </c>
      <c r="AM448" s="19">
        <v>0.13819444444444445</v>
      </c>
      <c r="AN448" s="8">
        <f>(3+(19/60))*AE448</f>
        <v>2154.5066666666667</v>
      </c>
    </row>
    <row r="449" spans="1:62" x14ac:dyDescent="0.3">
      <c r="A449" s="2">
        <v>226</v>
      </c>
      <c r="B449" s="2">
        <v>286</v>
      </c>
      <c r="C449" s="2">
        <v>1604</v>
      </c>
      <c r="E449" t="s">
        <v>367</v>
      </c>
      <c r="P449" s="2"/>
      <c r="Q449" s="2"/>
      <c r="R449" s="2"/>
      <c r="S449" s="2"/>
      <c r="AE449" s="2">
        <v>26.49</v>
      </c>
      <c r="AF449" s="2" t="s">
        <v>772</v>
      </c>
      <c r="AG449" s="2" t="s">
        <v>772</v>
      </c>
      <c r="AH449" s="14" t="s">
        <v>772</v>
      </c>
      <c r="AI449" s="14" t="s">
        <v>772</v>
      </c>
      <c r="AJ449" s="14" t="s">
        <v>772</v>
      </c>
      <c r="AK449" s="14" t="s">
        <v>772</v>
      </c>
      <c r="AL449" s="54" t="s">
        <v>772</v>
      </c>
      <c r="AM449" s="19">
        <v>0.14166666666666666</v>
      </c>
      <c r="AN449" s="8">
        <f>(3+(24/60))*AE449</f>
        <v>90.065999999999988</v>
      </c>
    </row>
    <row r="450" spans="1:62" x14ac:dyDescent="0.3">
      <c r="A450" s="2">
        <v>227</v>
      </c>
      <c r="B450" s="2">
        <v>220</v>
      </c>
      <c r="C450" s="2">
        <v>639</v>
      </c>
      <c r="E450" t="s">
        <v>170</v>
      </c>
      <c r="F450" t="s">
        <v>1253</v>
      </c>
      <c r="H450" s="2">
        <v>0</v>
      </c>
      <c r="I450" s="2">
        <v>96.86</v>
      </c>
      <c r="J450" s="15">
        <v>3.0830000000000002</v>
      </c>
      <c r="K450" s="15">
        <v>2.3540000000000001</v>
      </c>
      <c r="L450" s="2">
        <v>38.869999999999997</v>
      </c>
      <c r="P450" s="2"/>
      <c r="Q450" s="2"/>
      <c r="R450" s="2"/>
      <c r="S450" s="2"/>
      <c r="AE450" s="2">
        <v>83.29</v>
      </c>
      <c r="AF450" s="2">
        <v>79.61</v>
      </c>
      <c r="AG450" s="2">
        <v>81.37</v>
      </c>
      <c r="AH450" s="2">
        <v>82.16</v>
      </c>
      <c r="AI450" s="14" t="s">
        <v>772</v>
      </c>
      <c r="AJ450" s="2">
        <v>90.13</v>
      </c>
      <c r="AK450" s="14" t="s">
        <v>772</v>
      </c>
      <c r="AL450" s="14" t="s">
        <v>772</v>
      </c>
      <c r="AM450" s="19">
        <v>0.12569444444444444</v>
      </c>
      <c r="AN450" s="8">
        <f>(3+(1/60))*AJ450</f>
        <v>271.89216666666664</v>
      </c>
      <c r="AX450" s="55">
        <v>158.82499999999999</v>
      </c>
      <c r="AY450" s="55">
        <v>162.19999999999999</v>
      </c>
      <c r="AZ450" s="55">
        <v>166.50200000000001</v>
      </c>
      <c r="BA450" s="55">
        <v>152.6</v>
      </c>
      <c r="BB450" s="55">
        <v>141.18799999999999</v>
      </c>
      <c r="BC450" s="55">
        <v>129.07</v>
      </c>
      <c r="BD450" s="55">
        <v>148.69999999999999</v>
      </c>
      <c r="BE450" s="55">
        <v>133.55600000000001</v>
      </c>
      <c r="BF450" s="55">
        <v>162.1</v>
      </c>
      <c r="BG450" s="55">
        <v>170.2</v>
      </c>
      <c r="BH450" s="55">
        <v>184.26</v>
      </c>
      <c r="BI450" s="55">
        <v>157.715</v>
      </c>
      <c r="BJ450" s="55">
        <v>192.28</v>
      </c>
    </row>
    <row r="451" spans="1:62" ht="12.5" x14ac:dyDescent="0.25">
      <c r="A451" s="2">
        <v>229</v>
      </c>
      <c r="B451" s="2">
        <v>375</v>
      </c>
      <c r="C451" s="2">
        <v>211</v>
      </c>
      <c r="E451" s="138" t="s">
        <v>355</v>
      </c>
      <c r="F451" t="s">
        <v>1327</v>
      </c>
      <c r="G451" s="2" t="s">
        <v>1328</v>
      </c>
      <c r="H451" s="2">
        <v>10000</v>
      </c>
      <c r="I451" s="2">
        <v>152</v>
      </c>
      <c r="J451" s="15">
        <v>5.431</v>
      </c>
      <c r="K451" s="15">
        <v>4.2359999999999998</v>
      </c>
      <c r="P451" s="2"/>
      <c r="Q451" s="2"/>
      <c r="R451" s="2"/>
      <c r="S451" s="2"/>
      <c r="AE451" s="2">
        <v>188.2</v>
      </c>
      <c r="AF451" s="2">
        <v>191.1</v>
      </c>
      <c r="AG451" s="2">
        <v>152</v>
      </c>
      <c r="AH451" s="14" t="s">
        <v>772</v>
      </c>
      <c r="AI451" s="14" t="s">
        <v>772</v>
      </c>
      <c r="AJ451" s="14" t="s">
        <v>772</v>
      </c>
      <c r="AK451" s="14" t="s">
        <v>772</v>
      </c>
      <c r="AL451" s="14" t="s">
        <v>772</v>
      </c>
      <c r="AM451" s="19">
        <v>0.13333333333333333</v>
      </c>
      <c r="AN451" s="8">
        <f>(3+(12/60))*AG451</f>
        <v>486.40000000000003</v>
      </c>
      <c r="AX451" s="8">
        <v>411.07084800000001</v>
      </c>
      <c r="AY451" s="8">
        <v>459.58200399999998</v>
      </c>
      <c r="AZ451" s="8">
        <v>419.069322</v>
      </c>
      <c r="BA451" s="8">
        <v>396.94697400000001</v>
      </c>
      <c r="BB451" s="8">
        <v>413.21765900000003</v>
      </c>
      <c r="BC451" s="8">
        <v>365.75069100000002</v>
      </c>
      <c r="BD451" s="8">
        <v>426.117816</v>
      </c>
      <c r="BE451" s="8">
        <v>384.07556899999997</v>
      </c>
      <c r="BF451" s="8">
        <v>411.72316499999999</v>
      </c>
      <c r="BG451" s="8">
        <v>468.02974599999999</v>
      </c>
      <c r="BH451" s="8">
        <v>429.69635</v>
      </c>
      <c r="BI451" s="8">
        <v>376.91881999999998</v>
      </c>
      <c r="BJ451" s="8">
        <v>432.51700499999998</v>
      </c>
    </row>
    <row r="452" spans="1:62" ht="12.5" x14ac:dyDescent="0.25">
      <c r="E452" s="138" t="s">
        <v>1581</v>
      </c>
      <c r="G452" s="2"/>
      <c r="K452" s="15"/>
      <c r="P452" s="2"/>
      <c r="Q452" s="2"/>
      <c r="R452" s="2"/>
      <c r="S452" s="2"/>
      <c r="AE452" s="2"/>
      <c r="AG452" s="2"/>
      <c r="AH452" s="14"/>
      <c r="AI452" s="14"/>
      <c r="AJ452" s="14"/>
      <c r="AK452" s="14"/>
      <c r="AL452" s="14"/>
      <c r="AM452" s="19"/>
      <c r="AN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</row>
    <row r="453" spans="1:62" ht="12.5" x14ac:dyDescent="0.25">
      <c r="A453" s="2">
        <v>230</v>
      </c>
      <c r="B453" s="2">
        <v>189</v>
      </c>
      <c r="C453" s="2">
        <v>505</v>
      </c>
      <c r="E453" s="138" t="s">
        <v>188</v>
      </c>
      <c r="G453" t="s">
        <v>1312</v>
      </c>
      <c r="I453" s="2">
        <v>84.14</v>
      </c>
      <c r="J453" s="15">
        <v>3.0049999999999999</v>
      </c>
      <c r="K453" s="15">
        <v>2.2240000000000002</v>
      </c>
      <c r="P453" s="2"/>
      <c r="Q453" s="2"/>
      <c r="R453" s="2"/>
      <c r="S453" s="2"/>
      <c r="AE453" s="2">
        <v>75.89</v>
      </c>
      <c r="AF453" s="2">
        <v>82.45</v>
      </c>
      <c r="AG453" s="2">
        <v>92.11</v>
      </c>
      <c r="AH453" s="2">
        <v>84.14</v>
      </c>
      <c r="AI453" s="14" t="s">
        <v>772</v>
      </c>
      <c r="AJ453" s="2">
        <v>83.61</v>
      </c>
      <c r="AK453" s="14" t="s">
        <v>772</v>
      </c>
      <c r="AL453" s="14" t="s">
        <v>772</v>
      </c>
      <c r="AM453" s="19">
        <v>0.18472222222222223</v>
      </c>
      <c r="AN453" s="8">
        <f>(4+(26/60))*AJ453</f>
        <v>370.67099999999999</v>
      </c>
    </row>
    <row r="454" spans="1:62" x14ac:dyDescent="0.3">
      <c r="A454" s="2">
        <v>231</v>
      </c>
      <c r="B454" s="2">
        <v>272</v>
      </c>
      <c r="C454" s="2">
        <v>376</v>
      </c>
      <c r="E454" t="s">
        <v>474</v>
      </c>
      <c r="F454" t="s">
        <v>2</v>
      </c>
      <c r="H454" s="2">
        <v>1000000</v>
      </c>
      <c r="I454" s="2">
        <v>61.21</v>
      </c>
      <c r="P454" s="2"/>
      <c r="Q454" s="2"/>
      <c r="R454" s="2"/>
      <c r="S454" s="2"/>
      <c r="AE454" s="54">
        <v>61.59</v>
      </c>
      <c r="AF454" s="54" t="s">
        <v>772</v>
      </c>
      <c r="AG454" s="54" t="s">
        <v>772</v>
      </c>
      <c r="AH454" s="54" t="s">
        <v>772</v>
      </c>
      <c r="AI454" s="54">
        <v>61.21</v>
      </c>
      <c r="AJ454" s="14" t="s">
        <v>772</v>
      </c>
      <c r="AK454" s="14" t="s">
        <v>772</v>
      </c>
      <c r="AL454" s="14" t="s">
        <v>772</v>
      </c>
      <c r="AM454" s="19">
        <v>0.4777777777777778</v>
      </c>
      <c r="AN454" s="8">
        <f>(11+(28/60))*AE454</f>
        <v>706.23200000000008</v>
      </c>
    </row>
    <row r="455" spans="1:62" ht="12.5" x14ac:dyDescent="0.25">
      <c r="A455" s="2">
        <v>232</v>
      </c>
      <c r="B455" s="2">
        <v>230</v>
      </c>
      <c r="C455" s="2">
        <v>1169</v>
      </c>
      <c r="E455" t="s">
        <v>303</v>
      </c>
      <c r="F455" t="s">
        <v>540</v>
      </c>
      <c r="H455" s="2">
        <v>0</v>
      </c>
      <c r="I455" s="2">
        <v>34.33</v>
      </c>
      <c r="J455" s="15">
        <v>1.226</v>
      </c>
      <c r="K455" s="15">
        <v>0.92829899999999999</v>
      </c>
      <c r="P455" s="2"/>
      <c r="Q455" s="2"/>
      <c r="R455" s="2"/>
      <c r="S455" s="2"/>
      <c r="AE455" s="2">
        <v>26.69</v>
      </c>
      <c r="AF455" s="2">
        <v>32.58</v>
      </c>
      <c r="AG455" s="2">
        <v>31.84</v>
      </c>
      <c r="AH455" s="2">
        <v>34.33</v>
      </c>
      <c r="AI455" s="14" t="s">
        <v>772</v>
      </c>
      <c r="AJ455" s="14" t="s">
        <v>772</v>
      </c>
      <c r="AK455" s="14" t="s">
        <v>772</v>
      </c>
      <c r="AL455" s="14" t="s">
        <v>772</v>
      </c>
      <c r="AM455" s="19">
        <v>0.17777777777777778</v>
      </c>
      <c r="AN455" s="8">
        <f>(4+(16/60))*AH455</f>
        <v>146.47466666666665</v>
      </c>
    </row>
    <row r="456" spans="1:62" ht="12.5" x14ac:dyDescent="0.25">
      <c r="A456" s="2">
        <v>233</v>
      </c>
      <c r="B456" s="2">
        <v>194</v>
      </c>
      <c r="C456" s="2">
        <v>100</v>
      </c>
      <c r="E456" s="138" t="s">
        <v>180</v>
      </c>
      <c r="F456" t="s">
        <v>1</v>
      </c>
      <c r="G456" t="s">
        <v>1323</v>
      </c>
      <c r="H456" s="2">
        <v>600000</v>
      </c>
      <c r="I456" s="2">
        <v>290.39999999999998</v>
      </c>
      <c r="J456" s="15">
        <v>10.37</v>
      </c>
      <c r="K456" s="15">
        <v>4.38</v>
      </c>
      <c r="P456" s="2"/>
      <c r="Q456" s="2"/>
      <c r="R456" s="2"/>
      <c r="S456" s="2"/>
      <c r="AE456" s="2">
        <v>242.4</v>
      </c>
      <c r="AF456" s="2">
        <v>298.5</v>
      </c>
      <c r="AG456" s="2">
        <v>315.7</v>
      </c>
      <c r="AH456" s="2">
        <v>290.39999999999998</v>
      </c>
      <c r="AI456" s="14" t="s">
        <v>772</v>
      </c>
      <c r="AJ456" s="2">
        <v>299.10000000000002</v>
      </c>
      <c r="AK456" s="14" t="s">
        <v>772</v>
      </c>
      <c r="AL456" s="14" t="s">
        <v>772</v>
      </c>
      <c r="AM456" s="19">
        <v>0.56736111111111109</v>
      </c>
      <c r="AN456" s="57">
        <f>(14+(3/60))*AJ456</f>
        <v>4202.3550000000005</v>
      </c>
      <c r="AX456" s="8">
        <v>213.69058000000001</v>
      </c>
      <c r="AY456" s="8">
        <v>211.95619099999999</v>
      </c>
      <c r="AZ456" s="8">
        <v>217.436294</v>
      </c>
      <c r="BA456" s="8">
        <v>215.78026399999999</v>
      </c>
      <c r="BB456" s="8">
        <v>201.72606400000001</v>
      </c>
      <c r="BC456" s="8">
        <v>176.75501800000001</v>
      </c>
      <c r="BD456" s="8">
        <v>196.698543</v>
      </c>
      <c r="BE456" s="8">
        <v>208.743413</v>
      </c>
      <c r="BF456" s="8">
        <v>236.95119399999999</v>
      </c>
      <c r="BG456" s="8">
        <v>235.04380699999999</v>
      </c>
      <c r="BH456" s="8">
        <v>276.31141400000001</v>
      </c>
      <c r="BI456" s="8">
        <v>237.92314999999999</v>
      </c>
      <c r="BJ456" s="8">
        <v>249.195031</v>
      </c>
    </row>
    <row r="457" spans="1:62" ht="12.5" x14ac:dyDescent="0.25">
      <c r="E457" s="138" t="s">
        <v>1560</v>
      </c>
      <c r="K457" s="15"/>
      <c r="P457" s="2"/>
      <c r="Q457" s="2"/>
      <c r="R457" s="2"/>
      <c r="S457" s="2"/>
      <c r="AE457" s="2"/>
      <c r="AG457" s="2"/>
      <c r="AH457" s="2"/>
      <c r="AI457" s="14"/>
      <c r="AJ457" s="2"/>
      <c r="AK457" s="14"/>
      <c r="AL457" s="14"/>
      <c r="AM457" s="19"/>
      <c r="AN457" s="57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</row>
    <row r="458" spans="1:62" ht="12.5" x14ac:dyDescent="0.25">
      <c r="E458" s="138" t="s">
        <v>1561</v>
      </c>
      <c r="K458" s="15"/>
      <c r="P458" s="2"/>
      <c r="Q458" s="2"/>
      <c r="R458" s="2"/>
      <c r="S458" s="2"/>
      <c r="AE458" s="2"/>
      <c r="AG458" s="2"/>
      <c r="AH458" s="2"/>
      <c r="AI458" s="14"/>
      <c r="AJ458" s="2"/>
      <c r="AK458" s="14"/>
      <c r="AL458" s="14"/>
      <c r="AM458" s="19"/>
      <c r="AN458" s="57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</row>
    <row r="459" spans="1:62" ht="12.5" x14ac:dyDescent="0.25">
      <c r="E459" s="138" t="s">
        <v>1778</v>
      </c>
      <c r="K459" s="15"/>
      <c r="P459" s="2"/>
      <c r="Q459" s="2"/>
      <c r="R459" s="2"/>
      <c r="S459" s="2"/>
      <c r="AE459" s="2"/>
      <c r="AG459" s="2"/>
      <c r="AH459" s="2"/>
      <c r="AI459" s="14"/>
      <c r="AJ459" s="2"/>
      <c r="AK459" s="14"/>
      <c r="AL459" s="14"/>
      <c r="AM459" s="19"/>
      <c r="AN459" s="57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</row>
    <row r="460" spans="1:62" ht="12.5" x14ac:dyDescent="0.25">
      <c r="E460" s="138" t="s">
        <v>1779</v>
      </c>
      <c r="K460" s="15"/>
      <c r="P460" s="2"/>
      <c r="Q460" s="2"/>
      <c r="R460" s="2"/>
      <c r="S460" s="2"/>
      <c r="AE460" s="2"/>
      <c r="AG460" s="2"/>
      <c r="AH460" s="2"/>
      <c r="AI460" s="14"/>
      <c r="AJ460" s="2"/>
      <c r="AK460" s="14"/>
      <c r="AL460" s="14"/>
      <c r="AM460" s="19"/>
      <c r="AN460" s="57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</row>
    <row r="461" spans="1:62" ht="12.5" x14ac:dyDescent="0.25">
      <c r="E461" s="138" t="s">
        <v>1562</v>
      </c>
      <c r="K461" s="15"/>
      <c r="P461" s="2"/>
      <c r="Q461" s="2"/>
      <c r="R461" s="2"/>
      <c r="S461" s="2"/>
      <c r="AE461" s="2"/>
      <c r="AG461" s="2"/>
      <c r="AH461" s="2"/>
      <c r="AI461" s="14"/>
      <c r="AJ461" s="2"/>
      <c r="AK461" s="14"/>
      <c r="AL461" s="14"/>
      <c r="AM461" s="19"/>
      <c r="AN461" s="57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</row>
    <row r="462" spans="1:62" ht="12.5" x14ac:dyDescent="0.25">
      <c r="E462" s="138" t="s">
        <v>1563</v>
      </c>
      <c r="K462" s="15"/>
      <c r="P462" s="2"/>
      <c r="Q462" s="2"/>
      <c r="R462" s="2"/>
      <c r="S462" s="2"/>
      <c r="AE462" s="2"/>
      <c r="AG462" s="2"/>
      <c r="AH462" s="2"/>
      <c r="AI462" s="14"/>
      <c r="AJ462" s="2"/>
      <c r="AK462" s="14"/>
      <c r="AL462" s="14"/>
      <c r="AM462" s="19"/>
      <c r="AN462" s="57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</row>
    <row r="463" spans="1:62" x14ac:dyDescent="0.3">
      <c r="A463" s="2">
        <v>234</v>
      </c>
      <c r="B463" s="2">
        <v>228</v>
      </c>
      <c r="C463" s="2">
        <v>1284</v>
      </c>
      <c r="E463" t="s">
        <v>365</v>
      </c>
      <c r="F463" t="s">
        <v>712</v>
      </c>
      <c r="H463" s="2">
        <v>45450</v>
      </c>
      <c r="P463" s="2"/>
      <c r="Q463" s="2"/>
      <c r="R463" s="2"/>
      <c r="S463" s="2"/>
      <c r="AE463" s="2">
        <v>26.38</v>
      </c>
      <c r="AF463" s="2" t="s">
        <v>772</v>
      </c>
      <c r="AG463" s="2" t="s">
        <v>772</v>
      </c>
      <c r="AH463" s="14" t="s">
        <v>772</v>
      </c>
      <c r="AI463" s="14" t="s">
        <v>772</v>
      </c>
      <c r="AJ463" s="14" t="s">
        <v>772</v>
      </c>
      <c r="AK463" s="14" t="s">
        <v>772</v>
      </c>
      <c r="AL463" s="54" t="s">
        <v>772</v>
      </c>
      <c r="AM463" s="19">
        <v>0.23749999999999999</v>
      </c>
      <c r="AN463" s="8">
        <f>(5+(42/60))*AE463</f>
        <v>150.36599999999999</v>
      </c>
    </row>
    <row r="464" spans="1:62" ht="12.5" x14ac:dyDescent="0.25">
      <c r="A464" s="2">
        <v>235</v>
      </c>
      <c r="B464" s="2">
        <v>229</v>
      </c>
      <c r="C464" s="2">
        <v>453</v>
      </c>
      <c r="E464" t="s">
        <v>150</v>
      </c>
      <c r="F464" t="s">
        <v>5</v>
      </c>
      <c r="G464" t="s">
        <v>1283</v>
      </c>
      <c r="H464" s="2">
        <v>0</v>
      </c>
      <c r="I464" s="2">
        <v>153.19999999999999</v>
      </c>
      <c r="J464" s="15">
        <v>4.7300000000000004</v>
      </c>
      <c r="K464" s="15">
        <v>4.2839999999999998</v>
      </c>
      <c r="L464" s="2">
        <v>101.9</v>
      </c>
      <c r="P464" s="2"/>
      <c r="Q464" s="2"/>
      <c r="R464" s="2"/>
      <c r="S464" s="2"/>
      <c r="AE464" s="2">
        <v>107</v>
      </c>
      <c r="AF464" s="2">
        <v>118.4</v>
      </c>
      <c r="AG464" s="2">
        <v>121.3</v>
      </c>
      <c r="AH464" s="2">
        <v>123.5</v>
      </c>
      <c r="AI464" s="14" t="s">
        <v>772</v>
      </c>
      <c r="AJ464" s="2">
        <v>125.3</v>
      </c>
      <c r="AK464" s="14" t="s">
        <v>772</v>
      </c>
      <c r="AL464" s="14" t="s">
        <v>772</v>
      </c>
      <c r="AM464" s="19">
        <v>5.0694444444444452E-2</v>
      </c>
      <c r="AN464" s="8">
        <f>(1+(13/60))*AJ464</f>
        <v>152.44833333333335</v>
      </c>
    </row>
    <row r="465" spans="1:62" ht="12.5" x14ac:dyDescent="0.25">
      <c r="A465" s="2">
        <v>236</v>
      </c>
      <c r="B465" s="2">
        <v>279</v>
      </c>
      <c r="C465" s="2">
        <v>1031</v>
      </c>
      <c r="E465" t="s">
        <v>318</v>
      </c>
      <c r="I465" s="2">
        <v>42.6</v>
      </c>
      <c r="J465" s="15">
        <v>1.5209999999999999</v>
      </c>
      <c r="K465" s="15">
        <v>1.2549999999999999</v>
      </c>
      <c r="P465" s="2"/>
      <c r="Q465" s="2"/>
      <c r="R465" s="2"/>
      <c r="S465" s="2"/>
      <c r="AE465" s="2">
        <v>36.5</v>
      </c>
      <c r="AF465" s="2">
        <v>35.01</v>
      </c>
      <c r="AG465" s="2">
        <v>34.99</v>
      </c>
      <c r="AH465" s="2">
        <v>42.6</v>
      </c>
      <c r="AI465" s="14" t="s">
        <v>772</v>
      </c>
      <c r="AJ465" s="14" t="s">
        <v>772</v>
      </c>
      <c r="AK465" s="14" t="s">
        <v>772</v>
      </c>
      <c r="AL465" s="14" t="s">
        <v>772</v>
      </c>
      <c r="AM465" s="19">
        <v>0.1763888888888889</v>
      </c>
      <c r="AN465" s="8">
        <f>(4+(14/60))*AH465</f>
        <v>180.34</v>
      </c>
    </row>
    <row r="466" spans="1:62" ht="12.5" x14ac:dyDescent="0.25">
      <c r="A466" s="2">
        <v>238</v>
      </c>
      <c r="B466" s="2">
        <v>255</v>
      </c>
      <c r="C466" s="2">
        <v>289</v>
      </c>
      <c r="E466" s="138" t="s">
        <v>193</v>
      </c>
      <c r="I466" s="2">
        <v>180.8</v>
      </c>
      <c r="J466" s="15">
        <v>6.4589999999999996</v>
      </c>
      <c r="K466" s="15">
        <v>5.5869999999999997</v>
      </c>
      <c r="P466" s="2"/>
      <c r="Q466" s="2"/>
      <c r="R466" s="2"/>
      <c r="S466" s="2"/>
      <c r="AE466" s="2">
        <v>180.7</v>
      </c>
      <c r="AF466" s="2">
        <v>184.9</v>
      </c>
      <c r="AG466" s="2">
        <v>175.5</v>
      </c>
      <c r="AH466" s="2">
        <v>180.8</v>
      </c>
      <c r="AI466" s="14" t="s">
        <v>772</v>
      </c>
      <c r="AJ466" s="2">
        <v>179.9</v>
      </c>
      <c r="AK466" s="14" t="s">
        <v>772</v>
      </c>
      <c r="AL466" s="14" t="s">
        <v>772</v>
      </c>
      <c r="AM466" s="19">
        <v>7.7777777777777779E-2</v>
      </c>
      <c r="AN466" s="8">
        <f>(1+(52/60))*AJ466</f>
        <v>335.81333333333333</v>
      </c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</row>
    <row r="467" spans="1:62" ht="12.5" x14ac:dyDescent="0.25">
      <c r="E467" s="138" t="s">
        <v>1657</v>
      </c>
      <c r="K467" s="15"/>
      <c r="P467" s="2"/>
      <c r="Q467" s="2"/>
      <c r="R467" s="2"/>
      <c r="S467" s="2"/>
      <c r="AE467" s="2"/>
      <c r="AG467" s="2"/>
      <c r="AH467" s="2"/>
      <c r="AI467" s="14"/>
      <c r="AJ467" s="2"/>
      <c r="AK467" s="14"/>
      <c r="AL467" s="14"/>
      <c r="AM467" s="19"/>
      <c r="AN467" s="8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</row>
    <row r="468" spans="1:62" ht="12.5" x14ac:dyDescent="0.25">
      <c r="A468" s="2">
        <v>239</v>
      </c>
      <c r="B468" s="2">
        <v>223</v>
      </c>
      <c r="C468" s="2">
        <v>923</v>
      </c>
      <c r="E468" t="s">
        <v>215</v>
      </c>
      <c r="F468" t="s">
        <v>705</v>
      </c>
      <c r="H468" s="2">
        <v>708</v>
      </c>
      <c r="I468" s="2">
        <v>48.09</v>
      </c>
      <c r="J468" s="15">
        <v>1.7170000000000001</v>
      </c>
      <c r="K468" s="15">
        <v>1.4350000000000001</v>
      </c>
      <c r="P468" s="2"/>
      <c r="Q468" s="2"/>
      <c r="R468" s="2"/>
      <c r="S468" s="2"/>
      <c r="AE468" s="2">
        <v>42.27</v>
      </c>
      <c r="AF468" s="2">
        <v>34.94</v>
      </c>
      <c r="AG468" s="2">
        <v>56</v>
      </c>
      <c r="AH468" s="2">
        <v>48.09</v>
      </c>
      <c r="AI468" s="2" t="s">
        <v>772</v>
      </c>
      <c r="AJ468" s="2">
        <v>48.61</v>
      </c>
      <c r="AK468" s="2" t="s">
        <v>772</v>
      </c>
      <c r="AL468" s="2" t="s">
        <v>772</v>
      </c>
      <c r="AM468" s="19">
        <v>9.5138888888888884E-2</v>
      </c>
      <c r="AN468" s="8">
        <f>(2+(17/60))*AJ468</f>
        <v>110.99283333333332</v>
      </c>
    </row>
    <row r="469" spans="1:62" ht="12.5" x14ac:dyDescent="0.25">
      <c r="A469" s="2">
        <v>240</v>
      </c>
      <c r="B469" s="2">
        <v>236</v>
      </c>
      <c r="C469" s="2">
        <v>1324</v>
      </c>
      <c r="E469" t="s">
        <v>349</v>
      </c>
      <c r="G469" t="s">
        <v>1279</v>
      </c>
      <c r="I469" s="2">
        <v>24.73</v>
      </c>
      <c r="J469" s="15">
        <v>0.88332299999999997</v>
      </c>
      <c r="K469" s="15">
        <v>0.69935199999999997</v>
      </c>
      <c r="P469" s="2"/>
      <c r="Q469" s="2"/>
      <c r="R469" s="2"/>
      <c r="S469" s="2"/>
      <c r="AE469" s="2">
        <v>29.58</v>
      </c>
      <c r="AF469" s="2">
        <v>24.03</v>
      </c>
      <c r="AG469" s="2">
        <v>24.73</v>
      </c>
      <c r="AH469" s="14" t="s">
        <v>772</v>
      </c>
      <c r="AI469" s="14" t="s">
        <v>772</v>
      </c>
      <c r="AJ469" s="14" t="s">
        <v>772</v>
      </c>
      <c r="AK469" s="14" t="s">
        <v>772</v>
      </c>
      <c r="AL469" s="14" t="s">
        <v>772</v>
      </c>
      <c r="AM469" s="19">
        <v>0.23472222222222222</v>
      </c>
      <c r="AN469" s="8">
        <f>(5+(23/60))*AG469</f>
        <v>133.12983333333335</v>
      </c>
    </row>
    <row r="470" spans="1:62" x14ac:dyDescent="0.3">
      <c r="A470" s="2">
        <v>228</v>
      </c>
      <c r="B470" s="2">
        <v>241</v>
      </c>
      <c r="C470" s="2">
        <v>1302</v>
      </c>
      <c r="E470" t="s">
        <v>505</v>
      </c>
      <c r="P470" s="2"/>
      <c r="Q470" s="2"/>
      <c r="R470" s="2"/>
      <c r="S470" s="2"/>
      <c r="AE470" s="54">
        <v>29.29</v>
      </c>
      <c r="AF470" s="2" t="s">
        <v>772</v>
      </c>
      <c r="AG470" s="1" t="s">
        <v>772</v>
      </c>
      <c r="AH470" s="14" t="s">
        <v>772</v>
      </c>
      <c r="AI470" s="14" t="s">
        <v>772</v>
      </c>
      <c r="AJ470" s="14" t="s">
        <v>772</v>
      </c>
      <c r="AK470" s="14" t="s">
        <v>772</v>
      </c>
      <c r="AL470" s="14" t="s">
        <v>772</v>
      </c>
      <c r="AM470" s="19">
        <v>0.16388888888888889</v>
      </c>
      <c r="AN470" s="8">
        <f>(3+(56/60))*AE470</f>
        <v>115.20733333333334</v>
      </c>
    </row>
    <row r="471" spans="1:62" ht="12.5" x14ac:dyDescent="0.25">
      <c r="A471" s="2">
        <v>242</v>
      </c>
      <c r="B471" s="2">
        <v>126</v>
      </c>
      <c r="C471" s="2">
        <v>464</v>
      </c>
      <c r="E471" t="s">
        <v>149</v>
      </c>
      <c r="F471" t="s">
        <v>681</v>
      </c>
      <c r="H471" s="2">
        <v>5000</v>
      </c>
      <c r="I471" s="2">
        <v>103.8</v>
      </c>
      <c r="J471" s="15">
        <v>3.71</v>
      </c>
      <c r="K471" s="15">
        <v>3.1349999999999998</v>
      </c>
      <c r="P471" s="2"/>
      <c r="Q471" s="2"/>
      <c r="R471" s="2"/>
      <c r="S471" s="2"/>
      <c r="AE471" s="2">
        <v>61.02</v>
      </c>
      <c r="AF471" s="2">
        <v>129.4</v>
      </c>
      <c r="AG471" s="2">
        <v>111</v>
      </c>
      <c r="AH471" s="2">
        <v>103.8</v>
      </c>
      <c r="AI471" s="14" t="s">
        <v>772</v>
      </c>
      <c r="AJ471" s="2">
        <v>89.5</v>
      </c>
      <c r="AK471" s="14" t="s">
        <v>772</v>
      </c>
      <c r="AL471" s="14" t="s">
        <v>772</v>
      </c>
      <c r="AM471" s="19">
        <v>5.9722222222222225E-2</v>
      </c>
      <c r="AN471" s="8">
        <f>(1+(26/60))*AJ471</f>
        <v>128.28333333333333</v>
      </c>
    </row>
    <row r="472" spans="1:62" ht="12.5" x14ac:dyDescent="0.25">
      <c r="A472" s="2">
        <v>234</v>
      </c>
      <c r="B472" s="2">
        <v>243</v>
      </c>
      <c r="C472" s="2">
        <v>363</v>
      </c>
      <c r="E472" t="s">
        <v>1348</v>
      </c>
      <c r="K472" s="15"/>
      <c r="P472" s="2"/>
      <c r="Q472" s="2"/>
      <c r="R472" s="2"/>
      <c r="S472" s="2"/>
      <c r="AE472" s="2">
        <v>72.319999999999993</v>
      </c>
      <c r="AF472" s="2" t="s">
        <v>772</v>
      </c>
      <c r="AG472" s="2" t="s">
        <v>772</v>
      </c>
      <c r="AH472" s="2" t="s">
        <v>772</v>
      </c>
      <c r="AI472" s="14" t="s">
        <v>772</v>
      </c>
      <c r="AJ472" s="2" t="s">
        <v>772</v>
      </c>
      <c r="AK472" s="14" t="s">
        <v>772</v>
      </c>
      <c r="AL472" s="14" t="s">
        <v>772</v>
      </c>
      <c r="AM472" s="19">
        <v>0.32916666666666666</v>
      </c>
      <c r="AN472" s="8">
        <f>(7+(54/60))*AE472</f>
        <v>571.32799999999997</v>
      </c>
    </row>
    <row r="473" spans="1:62" x14ac:dyDescent="0.3">
      <c r="A473" s="2">
        <v>301</v>
      </c>
      <c r="B473" s="2">
        <v>244</v>
      </c>
      <c r="C473" s="2">
        <v>1637</v>
      </c>
      <c r="E473" t="s">
        <v>421</v>
      </c>
      <c r="P473" s="2"/>
      <c r="Q473" s="2"/>
      <c r="R473" s="2"/>
      <c r="S473" s="2"/>
      <c r="AE473" s="2">
        <v>26.83</v>
      </c>
      <c r="AF473" s="2" t="s">
        <v>772</v>
      </c>
      <c r="AG473" s="2" t="s">
        <v>772</v>
      </c>
      <c r="AH473" s="2" t="s">
        <v>772</v>
      </c>
      <c r="AI473" s="14" t="s">
        <v>772</v>
      </c>
      <c r="AJ473" s="2" t="s">
        <v>772</v>
      </c>
      <c r="AK473" s="14" t="s">
        <v>772</v>
      </c>
      <c r="AL473" s="14" t="s">
        <v>772</v>
      </c>
      <c r="AM473" s="19">
        <v>0.15277777777777779</v>
      </c>
      <c r="AN473" s="8">
        <f>(3+(40/60))*AE473</f>
        <v>98.376666666666651</v>
      </c>
    </row>
    <row r="474" spans="1:62" ht="12.5" x14ac:dyDescent="0.25">
      <c r="A474" s="2">
        <v>245</v>
      </c>
      <c r="B474" s="2">
        <v>286</v>
      </c>
      <c r="C474" s="2">
        <v>822</v>
      </c>
      <c r="E474" t="s">
        <v>233</v>
      </c>
      <c r="F474" t="s">
        <v>5</v>
      </c>
      <c r="G474" t="s">
        <v>1261</v>
      </c>
      <c r="H474" s="2">
        <v>0</v>
      </c>
      <c r="I474" s="2">
        <v>73.849999999999994</v>
      </c>
      <c r="J474" s="15">
        <v>2.637</v>
      </c>
      <c r="K474" s="15">
        <v>2.3660000000000001</v>
      </c>
      <c r="M474" s="1" t="s">
        <v>1250</v>
      </c>
      <c r="N474" s="1" t="s">
        <v>1250</v>
      </c>
      <c r="P474" s="2"/>
      <c r="Q474" s="2"/>
      <c r="R474" s="2"/>
      <c r="S474" s="2"/>
      <c r="AE474" s="2">
        <v>74.959999999999994</v>
      </c>
      <c r="AF474" s="2">
        <v>64.709999999999994</v>
      </c>
      <c r="AG474" s="2">
        <v>70.709999999999994</v>
      </c>
      <c r="AH474" s="2">
        <v>73.849999999999994</v>
      </c>
      <c r="AI474" s="2" t="s">
        <v>772</v>
      </c>
      <c r="AJ474" s="2">
        <v>68.88</v>
      </c>
      <c r="AK474" s="2" t="s">
        <v>772</v>
      </c>
      <c r="AL474" s="2" t="s">
        <v>772</v>
      </c>
      <c r="AM474" s="19">
        <v>5.6944444444444443E-2</v>
      </c>
      <c r="AN474" s="8">
        <f>(1+(22/60))*AJ474</f>
        <v>94.135999999999996</v>
      </c>
    </row>
    <row r="475" spans="1:62" x14ac:dyDescent="0.3">
      <c r="A475" s="2">
        <v>251</v>
      </c>
      <c r="B475" s="2">
        <v>246</v>
      </c>
      <c r="C475" s="2">
        <v>292</v>
      </c>
      <c r="E475" s="138" t="s">
        <v>406</v>
      </c>
      <c r="F475" t="s">
        <v>566</v>
      </c>
      <c r="P475" s="2"/>
      <c r="Q475" s="2"/>
      <c r="R475" s="2"/>
      <c r="S475" s="2"/>
      <c r="AE475" s="2">
        <v>127.6</v>
      </c>
      <c r="AF475" s="2" t="s">
        <v>772</v>
      </c>
      <c r="AG475" s="2" t="s">
        <v>772</v>
      </c>
      <c r="AH475" s="14" t="s">
        <v>772</v>
      </c>
      <c r="AI475" s="14" t="s">
        <v>772</v>
      </c>
      <c r="AJ475" s="14" t="s">
        <v>772</v>
      </c>
      <c r="AK475" s="14" t="s">
        <v>772</v>
      </c>
      <c r="AL475" s="54" t="s">
        <v>772</v>
      </c>
      <c r="AM475" s="19">
        <v>0.5</v>
      </c>
      <c r="AN475" s="8">
        <f>(12+(0/60))*AE475</f>
        <v>1531.1999999999998</v>
      </c>
    </row>
    <row r="476" spans="1:62" x14ac:dyDescent="0.3">
      <c r="E476" s="138" t="s">
        <v>1741</v>
      </c>
      <c r="P476" s="2"/>
      <c r="Q476" s="2"/>
      <c r="R476" s="2"/>
      <c r="S476" s="2"/>
      <c r="AE476" s="2"/>
      <c r="AG476" s="2"/>
      <c r="AH476" s="14"/>
      <c r="AI476" s="14"/>
      <c r="AJ476" s="14"/>
      <c r="AK476" s="14"/>
      <c r="AL476" s="54"/>
      <c r="AM476" s="19"/>
      <c r="AN476" s="8"/>
    </row>
    <row r="477" spans="1:62" x14ac:dyDescent="0.3">
      <c r="E477" s="138" t="s">
        <v>1629</v>
      </c>
      <c r="P477" s="2"/>
      <c r="Q477" s="2"/>
      <c r="R477" s="2"/>
      <c r="S477" s="2"/>
      <c r="AE477" s="2"/>
      <c r="AG477" s="2"/>
      <c r="AH477" s="14"/>
      <c r="AI477" s="14"/>
      <c r="AJ477" s="14"/>
      <c r="AK477" s="14"/>
      <c r="AL477" s="54"/>
      <c r="AM477" s="19"/>
      <c r="AN477" s="8"/>
    </row>
    <row r="478" spans="1:62" x14ac:dyDescent="0.3">
      <c r="E478" s="138" t="s">
        <v>1630</v>
      </c>
      <c r="P478" s="2"/>
      <c r="Q478" s="2"/>
      <c r="R478" s="2"/>
      <c r="S478" s="2"/>
      <c r="AE478" s="2"/>
      <c r="AG478" s="2"/>
      <c r="AH478" s="14"/>
      <c r="AI478" s="14"/>
      <c r="AJ478" s="14"/>
      <c r="AK478" s="14"/>
      <c r="AL478" s="54"/>
      <c r="AM478" s="19"/>
      <c r="AN478" s="8"/>
    </row>
    <row r="479" spans="1:62" ht="12.5" x14ac:dyDescent="0.25">
      <c r="A479" s="2">
        <v>247</v>
      </c>
      <c r="B479" s="2">
        <v>253</v>
      </c>
      <c r="C479" s="2">
        <v>1443</v>
      </c>
      <c r="E479" t="s">
        <v>363</v>
      </c>
      <c r="G479" t="s">
        <v>1283</v>
      </c>
      <c r="K479" s="15"/>
      <c r="P479" s="2"/>
      <c r="Q479" s="2"/>
      <c r="R479" s="2"/>
      <c r="S479" s="2"/>
      <c r="AE479" s="2">
        <v>26.51</v>
      </c>
      <c r="AF479" s="2" t="s">
        <v>772</v>
      </c>
      <c r="AG479" s="2" t="s">
        <v>772</v>
      </c>
      <c r="AH479" s="14" t="s">
        <v>772</v>
      </c>
      <c r="AI479" s="14" t="s">
        <v>772</v>
      </c>
      <c r="AJ479" s="14" t="s">
        <v>772</v>
      </c>
      <c r="AK479" s="14" t="s">
        <v>772</v>
      </c>
      <c r="AL479" s="54" t="s">
        <v>772</v>
      </c>
      <c r="AM479" s="19">
        <v>0.23958333333333334</v>
      </c>
      <c r="AN479" s="8">
        <f>(5+(45/60))*AE479</f>
        <v>152.4325</v>
      </c>
    </row>
    <row r="480" spans="1:62" x14ac:dyDescent="0.3">
      <c r="A480" s="2">
        <v>248</v>
      </c>
      <c r="B480" s="2">
        <v>494</v>
      </c>
      <c r="C480" s="2">
        <v>2344</v>
      </c>
      <c r="E480" t="s">
        <v>500</v>
      </c>
      <c r="P480" s="2"/>
      <c r="Q480" s="2"/>
      <c r="R480" s="2"/>
      <c r="S480" s="2"/>
      <c r="AE480" s="2">
        <v>25.5</v>
      </c>
      <c r="AF480" s="2" t="s">
        <v>772</v>
      </c>
      <c r="AG480" s="2" t="s">
        <v>772</v>
      </c>
      <c r="AH480" s="14" t="s">
        <v>772</v>
      </c>
      <c r="AI480" s="14" t="s">
        <v>772</v>
      </c>
      <c r="AJ480" s="14" t="s">
        <v>772</v>
      </c>
      <c r="AK480" s="14" t="s">
        <v>772</v>
      </c>
      <c r="AL480" s="54" t="s">
        <v>772</v>
      </c>
      <c r="AM480" s="19">
        <v>0.13541666666666666</v>
      </c>
      <c r="AN480" s="8">
        <f>(5+(45/60))*AE480</f>
        <v>146.625</v>
      </c>
    </row>
    <row r="481" spans="1:63" s="3" customFormat="1" x14ac:dyDescent="0.3">
      <c r="A481" s="4">
        <v>240</v>
      </c>
      <c r="B481" s="4">
        <v>249</v>
      </c>
      <c r="C481" s="4">
        <v>1156</v>
      </c>
      <c r="D481" s="4">
        <v>1261</v>
      </c>
      <c r="E481" s="3" t="s">
        <v>601</v>
      </c>
      <c r="G481" s="3" t="s">
        <v>1305</v>
      </c>
      <c r="H481" s="4"/>
      <c r="I481" s="4">
        <v>17.149999999999999</v>
      </c>
      <c r="J481" s="16">
        <v>0.61261299999999996</v>
      </c>
      <c r="K481" s="16">
        <v>0.50042799999999998</v>
      </c>
      <c r="L481" s="4"/>
      <c r="M481" s="9"/>
      <c r="N481" s="9"/>
      <c r="O481" s="9"/>
      <c r="P481" s="4"/>
      <c r="Q481" s="4"/>
      <c r="R481" s="4"/>
      <c r="S481" s="4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4">
        <v>23.67</v>
      </c>
      <c r="AF481" s="4">
        <v>25.97</v>
      </c>
      <c r="AG481" s="4">
        <v>17.149999999999999</v>
      </c>
      <c r="AH481" s="45" t="s">
        <v>772</v>
      </c>
      <c r="AI481" s="45" t="s">
        <v>772</v>
      </c>
      <c r="AJ481" s="45" t="s">
        <v>772</v>
      </c>
      <c r="AK481" s="45" t="s">
        <v>772</v>
      </c>
      <c r="AL481" s="45" t="s">
        <v>772</v>
      </c>
      <c r="AM481" s="22">
        <v>0.3</v>
      </c>
      <c r="AN481" s="46">
        <f>(6+(50/60))*AG481</f>
        <v>117.19166666666665</v>
      </c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</row>
    <row r="482" spans="1:63" ht="12.5" x14ac:dyDescent="0.25">
      <c r="A482" s="2">
        <v>251</v>
      </c>
      <c r="B482" s="2">
        <v>238</v>
      </c>
      <c r="C482" s="2">
        <v>1225</v>
      </c>
      <c r="E482" t="s">
        <v>301</v>
      </c>
      <c r="I482" s="2">
        <v>31.27</v>
      </c>
      <c r="J482" s="15">
        <v>1.1160000000000001</v>
      </c>
      <c r="K482" s="15">
        <v>0.93360100000000001</v>
      </c>
      <c r="P482" s="2"/>
      <c r="Q482" s="2"/>
      <c r="R482" s="2"/>
      <c r="S482" s="2"/>
      <c r="AE482" s="2">
        <v>30.55</v>
      </c>
      <c r="AF482" s="2">
        <v>43.66</v>
      </c>
      <c r="AG482" s="2">
        <v>32.11</v>
      </c>
      <c r="AH482" s="2">
        <v>31.27</v>
      </c>
      <c r="AI482" s="14" t="s">
        <v>772</v>
      </c>
      <c r="AJ482" s="14" t="s">
        <v>772</v>
      </c>
      <c r="AK482" s="14" t="s">
        <v>772</v>
      </c>
      <c r="AL482" s="14" t="s">
        <v>772</v>
      </c>
      <c r="AM482" s="19">
        <v>0.16666666666666666</v>
      </c>
      <c r="AN482" s="8">
        <f>(4)*AH482</f>
        <v>125.08</v>
      </c>
    </row>
    <row r="483" spans="1:63" ht="12.5" x14ac:dyDescent="0.25">
      <c r="A483" s="2">
        <v>252</v>
      </c>
      <c r="B483" s="2">
        <v>244</v>
      </c>
      <c r="C483" s="2">
        <v>236</v>
      </c>
      <c r="E483" s="138" t="s">
        <v>342</v>
      </c>
      <c r="I483" s="2">
        <v>124.6</v>
      </c>
      <c r="J483" s="15">
        <v>4.452</v>
      </c>
      <c r="K483" s="15">
        <v>2.9169999999999998</v>
      </c>
      <c r="P483" s="2"/>
      <c r="Q483" s="2"/>
      <c r="R483" s="2"/>
      <c r="S483" s="2"/>
      <c r="AE483" s="2">
        <v>129.19999999999999</v>
      </c>
      <c r="AF483" s="2">
        <v>129.4</v>
      </c>
      <c r="AG483" s="2">
        <v>124.6</v>
      </c>
      <c r="AH483" s="14" t="s">
        <v>772</v>
      </c>
      <c r="AI483" s="14" t="s">
        <v>772</v>
      </c>
      <c r="AJ483" s="14" t="s">
        <v>772</v>
      </c>
      <c r="AK483" s="14" t="s">
        <v>772</v>
      </c>
      <c r="AL483" s="14" t="s">
        <v>772</v>
      </c>
      <c r="AM483" s="19">
        <v>0.30624999999999997</v>
      </c>
      <c r="AN483" s="8">
        <f>(7+(21/60))*AG483</f>
        <v>915.81</v>
      </c>
      <c r="AX483" s="8">
        <v>124.553496</v>
      </c>
      <c r="AY483" s="8">
        <v>132.06855200000001</v>
      </c>
      <c r="AZ483" s="8">
        <v>123.128394</v>
      </c>
      <c r="BA483" s="8">
        <v>129.86456899999999</v>
      </c>
      <c r="BB483" s="8">
        <v>125.507152</v>
      </c>
      <c r="BC483" s="8">
        <v>114.69023199999999</v>
      </c>
      <c r="BD483" s="8">
        <v>117.055716</v>
      </c>
      <c r="BE483" s="8">
        <v>122.11156200000001</v>
      </c>
      <c r="BF483" s="8">
        <v>122.053264</v>
      </c>
      <c r="BG483" s="8">
        <v>124.919713</v>
      </c>
      <c r="BH483" s="8">
        <v>141.44098600000001</v>
      </c>
      <c r="BI483" s="8">
        <v>113.148484</v>
      </c>
      <c r="BJ483" s="8">
        <v>114.674632</v>
      </c>
    </row>
    <row r="484" spans="1:63" ht="12.5" x14ac:dyDescent="0.25">
      <c r="A484" s="2">
        <v>253</v>
      </c>
      <c r="B484" s="2">
        <v>311</v>
      </c>
      <c r="C484" s="2">
        <v>1691</v>
      </c>
      <c r="E484" t="s">
        <v>225</v>
      </c>
      <c r="I484" s="2">
        <v>36.369999999999997</v>
      </c>
      <c r="J484" s="15">
        <v>1.2989999999999999</v>
      </c>
      <c r="K484" s="15">
        <v>1.1279999999999999</v>
      </c>
      <c r="P484" s="2"/>
      <c r="Q484" s="2"/>
      <c r="R484" s="2"/>
      <c r="S484" s="2"/>
      <c r="AE484" s="2">
        <v>35.07</v>
      </c>
      <c r="AF484" s="2">
        <v>58.36</v>
      </c>
      <c r="AG484" s="2">
        <v>42.94</v>
      </c>
      <c r="AH484" s="2">
        <v>36.369999999999997</v>
      </c>
      <c r="AI484" s="2" t="s">
        <v>772</v>
      </c>
      <c r="AJ484" s="2">
        <v>38.79</v>
      </c>
      <c r="AK484" s="2" t="s">
        <v>772</v>
      </c>
      <c r="AL484" s="2" t="s">
        <v>772</v>
      </c>
      <c r="AM484" s="19">
        <v>9.6527777777777782E-2</v>
      </c>
      <c r="AN484" s="8">
        <f>(2+(1/60))*AJ484</f>
        <v>78.226500000000001</v>
      </c>
    </row>
    <row r="485" spans="1:63" x14ac:dyDescent="0.3">
      <c r="A485" s="2">
        <v>254</v>
      </c>
      <c r="B485" s="2">
        <v>265</v>
      </c>
      <c r="C485" s="2">
        <v>646</v>
      </c>
      <c r="E485" t="s">
        <v>379</v>
      </c>
      <c r="P485" s="2"/>
      <c r="Q485" s="2"/>
      <c r="R485" s="2"/>
      <c r="S485" s="2"/>
      <c r="AE485" s="2">
        <v>45.77</v>
      </c>
      <c r="AF485" s="2" t="s">
        <v>772</v>
      </c>
      <c r="AG485" s="2" t="s">
        <v>772</v>
      </c>
      <c r="AH485" s="14" t="s">
        <v>772</v>
      </c>
      <c r="AI485" s="14" t="s">
        <v>772</v>
      </c>
      <c r="AJ485" s="14" t="s">
        <v>772</v>
      </c>
      <c r="AK485" s="14" t="s">
        <v>772</v>
      </c>
      <c r="AL485" s="54" t="s">
        <v>772</v>
      </c>
      <c r="AM485" s="19">
        <v>0.21805555555555556</v>
      </c>
      <c r="AN485" s="8">
        <f>(5+(14/60))*AE485</f>
        <v>239.52966666666669</v>
      </c>
    </row>
    <row r="486" spans="1:63" x14ac:dyDescent="0.3">
      <c r="A486" s="2">
        <v>264</v>
      </c>
      <c r="B486" s="2">
        <v>255</v>
      </c>
      <c r="C486" s="2">
        <v>1497</v>
      </c>
      <c r="E486" t="s">
        <v>483</v>
      </c>
      <c r="P486" s="2"/>
      <c r="Q486" s="2"/>
      <c r="R486" s="2"/>
      <c r="S486" s="2"/>
      <c r="AE486" s="2">
        <v>19.52</v>
      </c>
      <c r="AF486" s="2" t="s">
        <v>772</v>
      </c>
      <c r="AG486" s="2" t="s">
        <v>772</v>
      </c>
      <c r="AH486" s="2" t="s">
        <v>772</v>
      </c>
      <c r="AI486" s="2" t="s">
        <v>772</v>
      </c>
      <c r="AJ486" s="2" t="s">
        <v>772</v>
      </c>
      <c r="AK486" s="2" t="s">
        <v>772</v>
      </c>
      <c r="AL486" s="2" t="s">
        <v>772</v>
      </c>
      <c r="AM486" s="19">
        <v>0.48541666666666666</v>
      </c>
      <c r="AN486" s="8">
        <f>(11+(39/60))*AE486</f>
        <v>227.40800000000002</v>
      </c>
    </row>
    <row r="487" spans="1:63" ht="12.5" x14ac:dyDescent="0.25">
      <c r="A487" s="2">
        <v>256</v>
      </c>
      <c r="B487" s="2">
        <v>205</v>
      </c>
      <c r="C487" s="2">
        <v>1074</v>
      </c>
      <c r="E487" t="s">
        <v>144</v>
      </c>
      <c r="F487" t="s">
        <v>6</v>
      </c>
      <c r="H487" s="2">
        <v>6900</v>
      </c>
      <c r="I487" s="2">
        <v>62.95</v>
      </c>
      <c r="J487" s="15">
        <v>2.3940000000000001</v>
      </c>
      <c r="K487" s="15">
        <v>2.17</v>
      </c>
      <c r="P487" s="2"/>
      <c r="Q487" s="2"/>
      <c r="R487" s="2"/>
      <c r="S487" s="2"/>
      <c r="AE487" s="2">
        <v>50.18</v>
      </c>
      <c r="AF487" s="2">
        <v>71.83</v>
      </c>
      <c r="AG487" s="2">
        <v>67.03</v>
      </c>
      <c r="AH487" s="2">
        <v>62.95</v>
      </c>
      <c r="AI487" s="14" t="s">
        <v>772</v>
      </c>
      <c r="AJ487" s="2">
        <v>65.540000000000006</v>
      </c>
      <c r="AK487" s="14" t="s">
        <v>772</v>
      </c>
      <c r="AL487" s="14" t="s">
        <v>772</v>
      </c>
      <c r="AM487" s="19">
        <v>1.5277777777777777E-2</v>
      </c>
      <c r="AN487" s="8">
        <f>(21/60)*AJ487</f>
        <v>22.939</v>
      </c>
    </row>
    <row r="488" spans="1:63" ht="12.5" x14ac:dyDescent="0.25">
      <c r="A488" s="2">
        <v>257</v>
      </c>
      <c r="B488" s="2">
        <v>293</v>
      </c>
      <c r="C488" s="2">
        <v>391</v>
      </c>
      <c r="E488" s="138" t="s">
        <v>317</v>
      </c>
      <c r="I488" s="2">
        <v>79.09</v>
      </c>
      <c r="J488" s="15">
        <v>2.8239999999999998</v>
      </c>
      <c r="K488" s="15">
        <v>2.2389999999999999</v>
      </c>
      <c r="P488" s="2"/>
      <c r="Q488" s="2"/>
      <c r="R488" s="2"/>
      <c r="S488" s="2"/>
      <c r="AE488" s="2">
        <v>69.25</v>
      </c>
      <c r="AF488" s="2">
        <v>74.260000000000005</v>
      </c>
      <c r="AG488" s="2">
        <v>74.75</v>
      </c>
      <c r="AH488" s="2">
        <v>79.09</v>
      </c>
      <c r="AI488" s="14" t="s">
        <v>772</v>
      </c>
      <c r="AJ488" s="14" t="s">
        <v>772</v>
      </c>
      <c r="AK488" s="14" t="s">
        <v>772</v>
      </c>
      <c r="AL488" s="14" t="s">
        <v>772</v>
      </c>
      <c r="AM488" s="19">
        <v>0.30833333333333335</v>
      </c>
      <c r="AN488" s="8">
        <f>(7+(24/60))*AH488</f>
        <v>585.26600000000008</v>
      </c>
    </row>
    <row r="489" spans="1:63" ht="12.5" x14ac:dyDescent="0.25">
      <c r="A489" s="2">
        <v>258</v>
      </c>
      <c r="B489" s="2">
        <v>263</v>
      </c>
      <c r="C489" s="2">
        <v>1426</v>
      </c>
      <c r="E489" t="s">
        <v>300</v>
      </c>
      <c r="I489" s="2">
        <v>35.950000000000003</v>
      </c>
      <c r="J489" s="15">
        <v>1.2050000000000001</v>
      </c>
      <c r="K489" s="15">
        <v>0.98501499999999997</v>
      </c>
      <c r="L489" s="2">
        <v>17.52</v>
      </c>
      <c r="P489" s="2"/>
      <c r="Q489" s="2"/>
      <c r="R489" s="2"/>
      <c r="S489" s="2"/>
      <c r="AE489" s="2">
        <v>28.97</v>
      </c>
      <c r="AF489" s="2">
        <v>30.18</v>
      </c>
      <c r="AG489" s="2">
        <v>28.01</v>
      </c>
      <c r="AH489" s="2">
        <v>34.200000000000003</v>
      </c>
      <c r="AI489" s="14" t="s">
        <v>772</v>
      </c>
      <c r="AJ489" s="14" t="s">
        <v>772</v>
      </c>
      <c r="AK489" s="14" t="s">
        <v>772</v>
      </c>
      <c r="AL489" s="14" t="s">
        <v>772</v>
      </c>
      <c r="AM489" s="19">
        <v>0.1763888888888889</v>
      </c>
      <c r="AN489" s="8">
        <f>(4+(14/60))*AH489</f>
        <v>144.78</v>
      </c>
    </row>
    <row r="490" spans="1:63" ht="12.5" x14ac:dyDescent="0.25">
      <c r="A490" s="2">
        <v>259</v>
      </c>
      <c r="B490" s="2">
        <v>1110</v>
      </c>
      <c r="C490" s="2">
        <v>1350</v>
      </c>
      <c r="E490" t="s">
        <v>296</v>
      </c>
      <c r="F490" t="s">
        <v>1241</v>
      </c>
      <c r="H490" s="2">
        <v>1620</v>
      </c>
      <c r="I490" s="2">
        <v>39.200000000000003</v>
      </c>
      <c r="J490" s="15">
        <v>1.4</v>
      </c>
      <c r="K490" s="15">
        <v>1.141</v>
      </c>
      <c r="P490" s="2"/>
      <c r="Q490" s="2"/>
      <c r="R490" s="2"/>
      <c r="S490" s="2"/>
      <c r="AE490" s="2">
        <v>31.58</v>
      </c>
      <c r="AF490" s="2">
        <v>35.049999999999997</v>
      </c>
      <c r="AG490" s="2">
        <v>32.99</v>
      </c>
      <c r="AH490" s="2">
        <v>39.200000000000003</v>
      </c>
      <c r="AI490" s="14" t="s">
        <v>772</v>
      </c>
      <c r="AJ490" s="14" t="s">
        <v>772</v>
      </c>
      <c r="AK490" s="14" t="s">
        <v>772</v>
      </c>
      <c r="AL490" s="14" t="s">
        <v>772</v>
      </c>
      <c r="AM490" s="19">
        <v>0.16805555555555557</v>
      </c>
      <c r="AN490" s="8">
        <f>(3+(59/60))*AH490</f>
        <v>156.14666666666668</v>
      </c>
    </row>
    <row r="491" spans="1:63" s="3" customFormat="1" x14ac:dyDescent="0.3">
      <c r="A491" s="4">
        <v>525</v>
      </c>
      <c r="B491" s="4">
        <v>260</v>
      </c>
      <c r="C491" s="4">
        <v>2598</v>
      </c>
      <c r="D491" s="4">
        <v>1607</v>
      </c>
      <c r="E491" s="3" t="s">
        <v>228</v>
      </c>
      <c r="F491" s="3" t="s">
        <v>674</v>
      </c>
      <c r="G491" s="3" t="s">
        <v>1269</v>
      </c>
      <c r="H491" s="4">
        <v>12550</v>
      </c>
      <c r="I491" s="4">
        <v>44.53</v>
      </c>
      <c r="J491" s="16">
        <v>1.59</v>
      </c>
      <c r="K491" s="16">
        <v>1.3240000000000001</v>
      </c>
      <c r="L491" s="4"/>
      <c r="M491" s="9"/>
      <c r="N491" s="9"/>
      <c r="O491" s="9"/>
      <c r="P491" s="4"/>
      <c r="Q491" s="4"/>
      <c r="R491" s="4"/>
      <c r="S491" s="4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2">
        <v>43.13</v>
      </c>
      <c r="AF491" s="2">
        <v>43.93</v>
      </c>
      <c r="AG491" s="4">
        <v>36.67</v>
      </c>
      <c r="AH491" s="4">
        <v>44.53</v>
      </c>
      <c r="AI491" s="4" t="s">
        <v>772</v>
      </c>
      <c r="AJ491" s="4">
        <v>47.95</v>
      </c>
      <c r="AK491" s="4" t="s">
        <v>772</v>
      </c>
      <c r="AL491" s="4" t="s">
        <v>772</v>
      </c>
      <c r="AM491" s="22">
        <v>9.7916666666666666E-2</v>
      </c>
      <c r="AN491" s="46">
        <f>(2+(36/60))*AJ491</f>
        <v>124.67000000000002</v>
      </c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</row>
    <row r="492" spans="1:63" x14ac:dyDescent="0.3">
      <c r="A492" s="2">
        <v>261</v>
      </c>
      <c r="B492" s="2">
        <v>139</v>
      </c>
      <c r="C492" s="2">
        <v>583</v>
      </c>
      <c r="E492" t="s">
        <v>147</v>
      </c>
      <c r="F492" t="s">
        <v>693</v>
      </c>
      <c r="H492" s="2">
        <v>9800</v>
      </c>
      <c r="I492" s="2">
        <v>54.88</v>
      </c>
      <c r="J492" s="15">
        <v>1.96</v>
      </c>
      <c r="K492" s="15">
        <v>1.377</v>
      </c>
      <c r="P492" s="2"/>
      <c r="Q492" s="2"/>
      <c r="R492" s="2"/>
      <c r="S492" s="2"/>
      <c r="AE492" s="2">
        <v>43.48</v>
      </c>
      <c r="AF492" s="2">
        <v>86.06</v>
      </c>
      <c r="AG492" s="2">
        <v>93.26</v>
      </c>
      <c r="AH492" s="2">
        <v>54.88</v>
      </c>
      <c r="AI492" s="14" t="s">
        <v>772</v>
      </c>
      <c r="AJ492" s="2">
        <v>47.59</v>
      </c>
      <c r="AK492" s="14" t="s">
        <v>772</v>
      </c>
      <c r="AL492" s="14" t="s">
        <v>772</v>
      </c>
      <c r="AM492" s="19">
        <v>0.17361111111111113</v>
      </c>
      <c r="AN492" s="8">
        <f>(4+(10/60))*AJ492</f>
        <v>198.29166666666669</v>
      </c>
      <c r="AX492" s="55">
        <v>83.173000000000002</v>
      </c>
      <c r="AY492" s="55">
        <v>89.24</v>
      </c>
      <c r="AZ492" s="55">
        <v>83.326999999999998</v>
      </c>
      <c r="BA492" s="55">
        <v>90.872</v>
      </c>
      <c r="BB492" s="55">
        <v>82.153999999999996</v>
      </c>
      <c r="BC492" s="55">
        <v>53.988999999999997</v>
      </c>
      <c r="BD492" s="55">
        <v>49.668999999999997</v>
      </c>
      <c r="BE492" s="55">
        <v>51.853000000000002</v>
      </c>
      <c r="BF492" s="55">
        <v>69.387</v>
      </c>
      <c r="BG492" s="55">
        <v>92.251000000000005</v>
      </c>
      <c r="BH492" s="55">
        <v>112.85599999999999</v>
      </c>
      <c r="BI492" s="55">
        <v>67.028000000000006</v>
      </c>
      <c r="BJ492" s="55">
        <v>90.855000000000004</v>
      </c>
    </row>
    <row r="493" spans="1:63" x14ac:dyDescent="0.3">
      <c r="A493" s="2">
        <v>246</v>
      </c>
      <c r="B493" s="2">
        <v>262</v>
      </c>
      <c r="C493" s="2">
        <v>592</v>
      </c>
      <c r="E493" t="s">
        <v>443</v>
      </c>
      <c r="F493" t="s">
        <v>6</v>
      </c>
      <c r="P493" s="2"/>
      <c r="Q493" s="2"/>
      <c r="R493" s="2"/>
      <c r="S493" s="2"/>
      <c r="AE493" s="2">
        <v>53.02</v>
      </c>
      <c r="AF493" s="2" t="s">
        <v>772</v>
      </c>
      <c r="AG493" s="1" t="s">
        <v>772</v>
      </c>
      <c r="AH493" s="14" t="s">
        <v>772</v>
      </c>
      <c r="AI493" s="14" t="s">
        <v>772</v>
      </c>
      <c r="AJ493" s="14" t="s">
        <v>772</v>
      </c>
      <c r="AK493" s="14" t="s">
        <v>772</v>
      </c>
      <c r="AL493" s="14" t="s">
        <v>772</v>
      </c>
      <c r="AM493" s="19">
        <v>0.46597222222222223</v>
      </c>
      <c r="AN493" s="8">
        <f>(11+(11/60))*AE493</f>
        <v>592.94033333333334</v>
      </c>
    </row>
    <row r="494" spans="1:63" ht="12.5" x14ac:dyDescent="0.25">
      <c r="A494" s="2">
        <v>263</v>
      </c>
      <c r="B494" s="2">
        <v>199</v>
      </c>
      <c r="C494" s="2">
        <v>151</v>
      </c>
      <c r="E494" s="138" t="s">
        <v>183</v>
      </c>
      <c r="I494" s="2">
        <v>233.9</v>
      </c>
      <c r="J494" s="15">
        <v>8.3539999999999992</v>
      </c>
      <c r="K494" s="15">
        <v>6.7990000000000004</v>
      </c>
      <c r="P494" s="2"/>
      <c r="Q494" s="2"/>
      <c r="R494" s="2"/>
      <c r="S494" s="2"/>
      <c r="AE494" s="2">
        <v>172.5</v>
      </c>
      <c r="AF494" s="2">
        <v>239.2</v>
      </c>
      <c r="AG494" s="2">
        <v>255.6</v>
      </c>
      <c r="AH494" s="2">
        <v>233.9</v>
      </c>
      <c r="AI494" s="14" t="s">
        <v>772</v>
      </c>
      <c r="AJ494" s="2">
        <v>237.5</v>
      </c>
      <c r="AK494" s="14" t="s">
        <v>772</v>
      </c>
      <c r="AL494" s="14" t="s">
        <v>772</v>
      </c>
      <c r="AM494" s="19">
        <v>0.15416666666666667</v>
      </c>
      <c r="AN494" s="8">
        <f>(3+(42/60))*AJ494</f>
        <v>878.75</v>
      </c>
      <c r="AX494" s="8">
        <v>613.91418599999997</v>
      </c>
      <c r="AY494" s="8">
        <v>629.29451800000004</v>
      </c>
      <c r="AZ494" s="8">
        <v>630.77027099999998</v>
      </c>
      <c r="BA494" s="8">
        <v>634.08689000000004</v>
      </c>
      <c r="BB494" s="8">
        <v>517.75634200000002</v>
      </c>
      <c r="BC494" s="8">
        <v>483.45908200000002</v>
      </c>
      <c r="BD494" s="8">
        <v>608.92287899999997</v>
      </c>
      <c r="BE494" s="8">
        <v>513.29728299999999</v>
      </c>
      <c r="BF494" s="8">
        <v>609.92774499999996</v>
      </c>
      <c r="BG494" s="8">
        <v>631.61351300000001</v>
      </c>
      <c r="BH494" s="8">
        <v>579.74111300000004</v>
      </c>
      <c r="BI494" s="8">
        <v>589.06264699999997</v>
      </c>
      <c r="BJ494" s="8">
        <v>543.30282099999999</v>
      </c>
    </row>
    <row r="495" spans="1:63" ht="12.5" x14ac:dyDescent="0.25">
      <c r="E495" s="138" t="s">
        <v>1798</v>
      </c>
      <c r="K495" s="15"/>
      <c r="P495" s="2"/>
      <c r="Q495" s="2"/>
      <c r="R495" s="2"/>
      <c r="S495" s="2"/>
      <c r="AE495" s="2"/>
      <c r="AG495" s="2"/>
      <c r="AH495" s="2"/>
      <c r="AI495" s="14"/>
      <c r="AJ495" s="2"/>
      <c r="AK495" s="14"/>
      <c r="AL495" s="14"/>
      <c r="AM495" s="19"/>
      <c r="AN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</row>
    <row r="496" spans="1:63" ht="12.5" x14ac:dyDescent="0.25">
      <c r="E496" s="138" t="s">
        <v>1606</v>
      </c>
      <c r="K496" s="15"/>
      <c r="P496" s="2"/>
      <c r="Q496" s="2"/>
      <c r="R496" s="2"/>
      <c r="S496" s="2"/>
      <c r="AE496" s="2"/>
      <c r="AG496" s="2"/>
      <c r="AH496" s="2"/>
      <c r="AI496" s="14"/>
      <c r="AJ496" s="2"/>
      <c r="AK496" s="14"/>
      <c r="AL496" s="14"/>
      <c r="AM496" s="19"/>
      <c r="AN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</row>
    <row r="497" spans="1:62" ht="12.5" x14ac:dyDescent="0.25">
      <c r="E497" s="138" t="s">
        <v>1607</v>
      </c>
      <c r="K497" s="15"/>
      <c r="P497" s="2"/>
      <c r="Q497" s="2"/>
      <c r="R497" s="2"/>
      <c r="S497" s="2"/>
      <c r="AE497" s="2"/>
      <c r="AG497" s="2"/>
      <c r="AH497" s="2"/>
      <c r="AI497" s="14"/>
      <c r="AJ497" s="2"/>
      <c r="AK497" s="14"/>
      <c r="AL497" s="14"/>
      <c r="AM497" s="19"/>
      <c r="AN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</row>
    <row r="498" spans="1:62" ht="12.5" x14ac:dyDescent="0.25">
      <c r="A498" s="2">
        <v>264</v>
      </c>
      <c r="B498" s="2">
        <v>252</v>
      </c>
      <c r="C498" s="2">
        <v>1153</v>
      </c>
      <c r="E498" t="s">
        <v>203</v>
      </c>
      <c r="F498" t="s">
        <v>674</v>
      </c>
      <c r="G498" t="s">
        <v>1286</v>
      </c>
      <c r="H498" s="2">
        <v>10830</v>
      </c>
      <c r="I498" s="2">
        <v>53.81</v>
      </c>
      <c r="J498" s="15">
        <v>1.921</v>
      </c>
      <c r="K498" s="15">
        <v>1.359</v>
      </c>
      <c r="P498" s="2"/>
      <c r="Q498" s="2"/>
      <c r="R498" s="2"/>
      <c r="S498" s="2"/>
      <c r="AE498" s="2">
        <v>55.64</v>
      </c>
      <c r="AF498" s="2">
        <v>50.32</v>
      </c>
      <c r="AG498" s="2">
        <v>47.02</v>
      </c>
      <c r="AH498" s="2">
        <v>53.81</v>
      </c>
      <c r="AI498" s="14" t="s">
        <v>772</v>
      </c>
      <c r="AJ498" s="2">
        <v>51.65</v>
      </c>
      <c r="AK498" s="14" t="s">
        <v>772</v>
      </c>
      <c r="AL498" s="14" t="s">
        <v>772</v>
      </c>
      <c r="AM498" s="19">
        <v>9.2361111111111116E-2</v>
      </c>
      <c r="AN498" s="8">
        <f>(2+(10/60))*AJ498</f>
        <v>111.90833333333332</v>
      </c>
    </row>
    <row r="499" spans="1:62" ht="12.5" x14ac:dyDescent="0.25">
      <c r="A499" s="2">
        <v>265</v>
      </c>
      <c r="B499" s="2">
        <v>276</v>
      </c>
      <c r="C499" s="2">
        <v>1548</v>
      </c>
      <c r="E499" t="s">
        <v>334</v>
      </c>
      <c r="F499" t="s">
        <v>710</v>
      </c>
      <c r="G499" s="12" t="s">
        <v>1279</v>
      </c>
      <c r="H499" s="2">
        <v>49790</v>
      </c>
      <c r="I499" s="2">
        <v>32.18</v>
      </c>
      <c r="J499" s="15">
        <v>1.149</v>
      </c>
      <c r="K499" s="15">
        <v>0.96315499999999998</v>
      </c>
      <c r="P499" s="2"/>
      <c r="Q499" s="2"/>
      <c r="R499" s="2"/>
      <c r="S499" s="2"/>
      <c r="AE499" s="2">
        <v>31.42</v>
      </c>
      <c r="AF499" s="2">
        <v>29.2</v>
      </c>
      <c r="AG499" s="2">
        <v>32.18</v>
      </c>
      <c r="AH499" s="14" t="s">
        <v>772</v>
      </c>
      <c r="AI499" s="14" t="s">
        <v>772</v>
      </c>
      <c r="AJ499" s="14" t="s">
        <v>772</v>
      </c>
      <c r="AK499" s="14" t="s">
        <v>772</v>
      </c>
      <c r="AL499" s="14" t="s">
        <v>772</v>
      </c>
      <c r="AM499" s="19">
        <v>0.14027777777777778</v>
      </c>
      <c r="AN499" s="8">
        <f>(3+(30/60))*AG499</f>
        <v>112.63</v>
      </c>
    </row>
    <row r="500" spans="1:62" x14ac:dyDescent="0.3">
      <c r="A500" s="2">
        <v>266</v>
      </c>
      <c r="B500" s="2">
        <v>295</v>
      </c>
      <c r="C500" s="2">
        <v>1241</v>
      </c>
      <c r="E500" t="s">
        <v>248</v>
      </c>
      <c r="F500" t="s">
        <v>9</v>
      </c>
      <c r="G500" t="s">
        <v>1236</v>
      </c>
      <c r="H500" s="2">
        <v>152660</v>
      </c>
      <c r="I500" s="2">
        <v>41.13</v>
      </c>
      <c r="J500" s="15">
        <v>1.4690000000000001</v>
      </c>
      <c r="K500" s="15">
        <v>1.2549999999999999</v>
      </c>
      <c r="P500" s="2"/>
      <c r="Q500" s="2"/>
      <c r="R500" s="2"/>
      <c r="S500" s="2"/>
      <c r="AE500" s="2">
        <v>84.76</v>
      </c>
      <c r="AF500" s="2">
        <v>47.72</v>
      </c>
      <c r="AG500" s="2">
        <v>52.81</v>
      </c>
      <c r="AH500" s="54">
        <v>41.13</v>
      </c>
      <c r="AI500" s="54" t="s">
        <v>772</v>
      </c>
      <c r="AJ500" s="54">
        <v>44.68</v>
      </c>
      <c r="AK500" s="54" t="s">
        <v>772</v>
      </c>
      <c r="AL500" s="54" t="s">
        <v>772</v>
      </c>
      <c r="AM500" s="19">
        <v>0.125</v>
      </c>
      <c r="AN500" s="8">
        <f>3*AJ500</f>
        <v>134.04</v>
      </c>
      <c r="AS500" s="3"/>
      <c r="AT500" s="3"/>
      <c r="AU500" s="3"/>
    </row>
    <row r="501" spans="1:62" ht="12.5" x14ac:dyDescent="0.25">
      <c r="A501" s="2">
        <v>267</v>
      </c>
      <c r="B501" s="2">
        <v>196</v>
      </c>
      <c r="C501" s="2">
        <v>1010</v>
      </c>
      <c r="E501" t="s">
        <v>290</v>
      </c>
      <c r="F501" t="s">
        <v>709</v>
      </c>
      <c r="G501" t="s">
        <v>1276</v>
      </c>
      <c r="H501" s="2">
        <v>2000</v>
      </c>
      <c r="I501" s="2">
        <v>34.619999999999997</v>
      </c>
      <c r="J501" s="15">
        <v>1.236</v>
      </c>
      <c r="K501" s="15">
        <v>1.016</v>
      </c>
      <c r="P501" s="2"/>
      <c r="Q501" s="2"/>
      <c r="R501" s="2"/>
      <c r="S501" s="2"/>
      <c r="AE501" s="2">
        <v>25.14</v>
      </c>
      <c r="AF501" s="2">
        <v>39.28</v>
      </c>
      <c r="AG501" s="2">
        <v>36.799999999999997</v>
      </c>
      <c r="AH501" s="2">
        <v>34.619999999999997</v>
      </c>
      <c r="AI501" s="14" t="s">
        <v>772</v>
      </c>
      <c r="AJ501" s="14" t="s">
        <v>772</v>
      </c>
      <c r="AK501" s="14" t="s">
        <v>772</v>
      </c>
      <c r="AL501" s="14" t="s">
        <v>772</v>
      </c>
      <c r="AM501" s="19">
        <v>0.20416666666666669</v>
      </c>
      <c r="AN501" s="8">
        <f>(4+(54/60))*AH501</f>
        <v>169.63800000000001</v>
      </c>
    </row>
    <row r="502" spans="1:62" ht="12.5" x14ac:dyDescent="0.25">
      <c r="A502" s="2">
        <v>268</v>
      </c>
      <c r="B502" s="2">
        <v>208</v>
      </c>
      <c r="C502" s="2">
        <v>948</v>
      </c>
      <c r="E502" t="s">
        <v>221</v>
      </c>
      <c r="G502" t="s">
        <v>1259</v>
      </c>
      <c r="I502" s="2">
        <v>55.63</v>
      </c>
      <c r="J502" s="15">
        <v>1.986</v>
      </c>
      <c r="K502" s="15">
        <v>1.5409999999999999</v>
      </c>
      <c r="P502" s="2"/>
      <c r="Q502" s="2"/>
      <c r="R502" s="2"/>
      <c r="S502" s="2"/>
      <c r="AE502" s="2">
        <v>61.86</v>
      </c>
      <c r="AF502" s="2">
        <v>47.82</v>
      </c>
      <c r="AG502" s="2">
        <v>55.48</v>
      </c>
      <c r="AH502" s="2">
        <v>55.63</v>
      </c>
      <c r="AI502" s="2" t="s">
        <v>772</v>
      </c>
      <c r="AJ502" s="2">
        <v>52.93</v>
      </c>
      <c r="AK502" s="2" t="s">
        <v>772</v>
      </c>
      <c r="AL502" s="2" t="s">
        <v>772</v>
      </c>
      <c r="AM502" s="19">
        <v>0.19305555555555554</v>
      </c>
      <c r="AN502" s="8">
        <f>(4+(38/60))*AJ502</f>
        <v>245.24233333333331</v>
      </c>
    </row>
    <row r="503" spans="1:62" ht="12.5" x14ac:dyDescent="0.25">
      <c r="A503" s="2">
        <v>305</v>
      </c>
      <c r="B503" s="2">
        <v>269</v>
      </c>
      <c r="C503" s="2">
        <v>313</v>
      </c>
      <c r="E503" s="138" t="s">
        <v>1349</v>
      </c>
      <c r="K503" s="15"/>
      <c r="P503" s="2"/>
      <c r="Q503" s="2"/>
      <c r="R503" s="2"/>
      <c r="S503" s="2"/>
      <c r="AE503" s="2">
        <v>160.6</v>
      </c>
      <c r="AF503" s="2" t="s">
        <v>772</v>
      </c>
      <c r="AG503" s="2" t="s">
        <v>772</v>
      </c>
      <c r="AH503" s="2" t="s">
        <v>772</v>
      </c>
      <c r="AI503" s="2" t="s">
        <v>772</v>
      </c>
      <c r="AJ503" s="2" t="s">
        <v>772</v>
      </c>
      <c r="AK503" s="2" t="s">
        <v>772</v>
      </c>
      <c r="AL503" s="2" t="s">
        <v>772</v>
      </c>
      <c r="AM503" s="19">
        <v>0.49930555555555556</v>
      </c>
      <c r="AN503" s="8">
        <f>(11+(59/60))*AE503</f>
        <v>1924.5233333333331</v>
      </c>
    </row>
    <row r="504" spans="1:62" ht="12.5" x14ac:dyDescent="0.25">
      <c r="E504" s="138" t="s">
        <v>1653</v>
      </c>
      <c r="K504" s="15"/>
      <c r="P504" s="2"/>
      <c r="Q504" s="2"/>
      <c r="R504" s="2"/>
      <c r="S504" s="2"/>
      <c r="AE504" s="2"/>
      <c r="AG504" s="2"/>
      <c r="AH504" s="2"/>
      <c r="AI504" s="2"/>
      <c r="AJ504" s="2"/>
      <c r="AK504" s="2"/>
      <c r="AL504" s="2"/>
      <c r="AM504" s="19"/>
      <c r="AN504" s="8"/>
    </row>
    <row r="505" spans="1:62" ht="12.5" x14ac:dyDescent="0.25">
      <c r="E505" s="138" t="s">
        <v>1654</v>
      </c>
      <c r="K505" s="15"/>
      <c r="P505" s="2"/>
      <c r="Q505" s="2"/>
      <c r="R505" s="2"/>
      <c r="S505" s="2"/>
      <c r="AE505" s="2"/>
      <c r="AG505" s="2"/>
      <c r="AH505" s="2"/>
      <c r="AI505" s="2"/>
      <c r="AJ505" s="2"/>
      <c r="AK505" s="2"/>
      <c r="AL505" s="2"/>
      <c r="AM505" s="19"/>
      <c r="AN505" s="8"/>
    </row>
    <row r="506" spans="1:62" ht="12.5" x14ac:dyDescent="0.25">
      <c r="E506" s="138" t="s">
        <v>1744</v>
      </c>
      <c r="K506" s="15"/>
      <c r="P506" s="2"/>
      <c r="Q506" s="2"/>
      <c r="R506" s="2"/>
      <c r="S506" s="2"/>
      <c r="AE506" s="2"/>
      <c r="AG506" s="2"/>
      <c r="AH506" s="2"/>
      <c r="AI506" s="2"/>
      <c r="AJ506" s="2"/>
      <c r="AK506" s="2"/>
      <c r="AL506" s="2"/>
      <c r="AM506" s="19"/>
      <c r="AN506" s="8"/>
    </row>
    <row r="507" spans="1:62" ht="12.5" x14ac:dyDescent="0.25">
      <c r="E507" s="138" t="s">
        <v>1745</v>
      </c>
      <c r="K507" s="15"/>
      <c r="P507" s="2"/>
      <c r="Q507" s="2"/>
      <c r="R507" s="2"/>
      <c r="S507" s="2"/>
      <c r="AE507" s="2"/>
      <c r="AG507" s="2"/>
      <c r="AH507" s="2"/>
      <c r="AI507" s="2"/>
      <c r="AJ507" s="2"/>
      <c r="AK507" s="2"/>
      <c r="AL507" s="2"/>
      <c r="AM507" s="19"/>
      <c r="AN507" s="8"/>
    </row>
    <row r="508" spans="1:62" ht="12.5" x14ac:dyDescent="0.25">
      <c r="E508" s="138" t="s">
        <v>1655</v>
      </c>
      <c r="K508" s="15"/>
      <c r="P508" s="2"/>
      <c r="Q508" s="2"/>
      <c r="R508" s="2"/>
      <c r="S508" s="2"/>
      <c r="AE508" s="2"/>
      <c r="AG508" s="2"/>
      <c r="AH508" s="2"/>
      <c r="AI508" s="2"/>
      <c r="AJ508" s="2"/>
      <c r="AK508" s="2"/>
      <c r="AL508" s="2"/>
      <c r="AM508" s="19"/>
      <c r="AN508" s="8"/>
    </row>
    <row r="509" spans="1:62" ht="12.5" x14ac:dyDescent="0.25">
      <c r="E509" s="138" t="s">
        <v>1664</v>
      </c>
      <c r="K509" s="15"/>
      <c r="P509" s="2"/>
      <c r="Q509" s="2"/>
      <c r="R509" s="2"/>
      <c r="S509" s="2"/>
      <c r="AE509" s="2"/>
      <c r="AG509" s="2"/>
      <c r="AH509" s="2"/>
      <c r="AI509" s="2"/>
      <c r="AJ509" s="2"/>
      <c r="AK509" s="2"/>
      <c r="AL509" s="2"/>
      <c r="AM509" s="19"/>
      <c r="AN509" s="8"/>
    </row>
    <row r="510" spans="1:62" ht="12.5" x14ac:dyDescent="0.25">
      <c r="A510" s="2">
        <v>270</v>
      </c>
      <c r="B510" s="2">
        <v>257</v>
      </c>
      <c r="C510" s="2">
        <v>1236</v>
      </c>
      <c r="E510" t="s">
        <v>279</v>
      </c>
      <c r="I510" s="2">
        <v>43.17</v>
      </c>
      <c r="J510" s="15">
        <v>1.5409999999999999</v>
      </c>
      <c r="K510" s="15">
        <v>1.27</v>
      </c>
      <c r="P510" s="2"/>
      <c r="Q510" s="2"/>
      <c r="R510" s="2"/>
      <c r="S510" s="2"/>
      <c r="AE510" s="2">
        <v>30.22</v>
      </c>
      <c r="AF510" s="2">
        <v>47.42</v>
      </c>
      <c r="AG510" s="2">
        <v>38.26</v>
      </c>
      <c r="AH510" s="2">
        <v>43.17</v>
      </c>
      <c r="AI510" s="14" t="s">
        <v>772</v>
      </c>
      <c r="AJ510" s="14" t="s">
        <v>772</v>
      </c>
      <c r="AK510" s="14" t="s">
        <v>772</v>
      </c>
      <c r="AL510" s="14" t="s">
        <v>772</v>
      </c>
      <c r="AM510" s="19">
        <v>0.11875000000000001</v>
      </c>
      <c r="AN510" s="8">
        <f>(2+(51/60))*AH510</f>
        <v>123.03450000000001</v>
      </c>
    </row>
    <row r="511" spans="1:62" x14ac:dyDescent="0.3">
      <c r="A511" s="2">
        <v>282</v>
      </c>
      <c r="B511" s="2">
        <v>271</v>
      </c>
      <c r="C511" s="2">
        <v>1661</v>
      </c>
      <c r="E511" t="s">
        <v>477</v>
      </c>
      <c r="P511" s="2"/>
      <c r="Q511" s="2"/>
      <c r="R511" s="2"/>
      <c r="S511" s="2"/>
      <c r="AE511" s="2">
        <v>21.72</v>
      </c>
      <c r="AF511" s="2" t="s">
        <v>772</v>
      </c>
      <c r="AG511" s="1" t="s">
        <v>772</v>
      </c>
      <c r="AH511" s="14" t="s">
        <v>772</v>
      </c>
      <c r="AI511" s="14" t="s">
        <v>772</v>
      </c>
      <c r="AJ511" s="14" t="s">
        <v>772</v>
      </c>
      <c r="AK511" s="14" t="s">
        <v>772</v>
      </c>
      <c r="AL511" s="14" t="s">
        <v>772</v>
      </c>
      <c r="AM511" s="19">
        <v>0.27361111111111114</v>
      </c>
      <c r="AN511" s="8">
        <f>(6+(34/60))*AE511</f>
        <v>142.62799999999999</v>
      </c>
    </row>
    <row r="512" spans="1:62" x14ac:dyDescent="0.3">
      <c r="A512" s="2">
        <v>265</v>
      </c>
      <c r="B512" s="2">
        <v>272</v>
      </c>
      <c r="C512" s="2">
        <v>516</v>
      </c>
      <c r="E512" t="s">
        <v>1350</v>
      </c>
      <c r="P512" s="2"/>
      <c r="Q512" s="2"/>
      <c r="R512" s="2"/>
      <c r="S512" s="2"/>
      <c r="AE512" s="2">
        <v>63.02</v>
      </c>
      <c r="AF512" s="2" t="s">
        <v>772</v>
      </c>
      <c r="AG512" s="1" t="s">
        <v>772</v>
      </c>
      <c r="AH512" s="14" t="s">
        <v>772</v>
      </c>
      <c r="AI512" s="14" t="s">
        <v>772</v>
      </c>
      <c r="AJ512" s="14" t="s">
        <v>772</v>
      </c>
      <c r="AK512" s="14" t="s">
        <v>772</v>
      </c>
      <c r="AL512" s="14" t="s">
        <v>772</v>
      </c>
      <c r="AM512" s="19">
        <v>0.31388888888888888</v>
      </c>
      <c r="AN512" s="8">
        <f>(7+(32/60))*AE512</f>
        <v>474.75066666666669</v>
      </c>
    </row>
    <row r="513" spans="1:62" ht="12.5" x14ac:dyDescent="0.25">
      <c r="A513" s="2">
        <v>273</v>
      </c>
      <c r="B513" s="2">
        <v>315</v>
      </c>
      <c r="C513" s="2">
        <v>760</v>
      </c>
      <c r="E513" s="138" t="s">
        <v>223</v>
      </c>
      <c r="I513" s="2">
        <v>79.67</v>
      </c>
      <c r="J513" s="15">
        <v>2.8450000000000002</v>
      </c>
      <c r="K513" s="15">
        <v>2.4009999999999998</v>
      </c>
      <c r="P513" s="2"/>
      <c r="Q513" s="2"/>
      <c r="R513" s="2"/>
      <c r="S513" s="2"/>
      <c r="AE513" s="2">
        <v>67.599999999999994</v>
      </c>
      <c r="AF513" s="2">
        <v>81.61</v>
      </c>
      <c r="AG513" s="2">
        <v>65.819999999999993</v>
      </c>
      <c r="AH513" s="2">
        <v>79.67</v>
      </c>
      <c r="AI513" s="2" t="s">
        <v>772</v>
      </c>
      <c r="AJ513" s="2">
        <v>81.89</v>
      </c>
      <c r="AK513" s="2" t="s">
        <v>772</v>
      </c>
      <c r="AL513" s="2" t="s">
        <v>772</v>
      </c>
      <c r="AM513" s="19">
        <v>8.4722222222222213E-2</v>
      </c>
      <c r="AN513" s="8">
        <f>(2+(2/60))*AJ513</f>
        <v>166.50966666666665</v>
      </c>
    </row>
    <row r="514" spans="1:62" ht="12.5" x14ac:dyDescent="0.25">
      <c r="A514" s="2">
        <v>274</v>
      </c>
      <c r="B514" s="2">
        <v>167</v>
      </c>
      <c r="C514" s="2">
        <v>178</v>
      </c>
      <c r="E514" s="138" t="s">
        <v>213</v>
      </c>
      <c r="F514" t="s">
        <v>561</v>
      </c>
      <c r="G514" t="s">
        <v>1323</v>
      </c>
      <c r="H514" s="2">
        <v>13940</v>
      </c>
      <c r="I514" s="2">
        <v>167.6</v>
      </c>
      <c r="J514" s="15">
        <v>5.9859999999999998</v>
      </c>
      <c r="K514" s="15">
        <v>4.1870000000000003</v>
      </c>
      <c r="P514" s="2"/>
      <c r="Q514" s="2"/>
      <c r="R514" s="2"/>
      <c r="S514" s="2"/>
      <c r="AE514" s="2">
        <v>104</v>
      </c>
      <c r="AF514" s="2">
        <v>189.1</v>
      </c>
      <c r="AG514" s="2">
        <v>178.1</v>
      </c>
      <c r="AH514" s="2">
        <v>167.6</v>
      </c>
      <c r="AI514" s="2" t="s">
        <v>772</v>
      </c>
      <c r="AJ514" s="2">
        <v>170.8</v>
      </c>
      <c r="AK514" s="2" t="s">
        <v>772</v>
      </c>
      <c r="AL514" s="2" t="s">
        <v>772</v>
      </c>
      <c r="AM514" s="19">
        <v>0.23541666666666669</v>
      </c>
      <c r="AN514" s="8">
        <f>(5+(39/60))*AJ514</f>
        <v>965.0200000000001</v>
      </c>
      <c r="AX514" s="8">
        <v>148.98464899999999</v>
      </c>
      <c r="AY514" s="8">
        <v>154.08130700000001</v>
      </c>
      <c r="AZ514" s="8">
        <v>148.92765700000001</v>
      </c>
      <c r="BA514" s="8">
        <v>149.744878</v>
      </c>
      <c r="BB514" s="8">
        <v>144.41755499999999</v>
      </c>
      <c r="BC514" s="8">
        <v>150.68867299999999</v>
      </c>
      <c r="BD514" s="8">
        <v>158.50585699999999</v>
      </c>
      <c r="BE514" s="8">
        <v>149.96788699999999</v>
      </c>
      <c r="BF514" s="8">
        <v>167.21868699999999</v>
      </c>
      <c r="BG514" s="8">
        <v>185.71258800000001</v>
      </c>
      <c r="BH514" s="8">
        <v>145.02757700000001</v>
      </c>
      <c r="BI514" s="8">
        <v>124.92747</v>
      </c>
      <c r="BJ514" s="8">
        <v>125.25693699999999</v>
      </c>
    </row>
    <row r="515" spans="1:62" ht="12.5" x14ac:dyDescent="0.25">
      <c r="E515" s="138" t="s">
        <v>1758</v>
      </c>
      <c r="K515" s="15"/>
      <c r="P515" s="2"/>
      <c r="Q515" s="2"/>
      <c r="R515" s="2"/>
      <c r="S515" s="2"/>
      <c r="AE515" s="2"/>
      <c r="AG515" s="2"/>
      <c r="AH515" s="2"/>
      <c r="AI515" s="2"/>
      <c r="AJ515" s="2"/>
      <c r="AK515" s="2"/>
      <c r="AL515" s="2"/>
      <c r="AM515" s="19"/>
      <c r="AN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</row>
    <row r="516" spans="1:62" x14ac:dyDescent="0.3">
      <c r="A516" s="2">
        <v>275</v>
      </c>
      <c r="B516" s="2">
        <v>269</v>
      </c>
      <c r="C516" s="2">
        <v>1151</v>
      </c>
      <c r="E516" t="s">
        <v>226</v>
      </c>
      <c r="G516" t="s">
        <v>1236</v>
      </c>
      <c r="I516" s="2">
        <v>44.66</v>
      </c>
      <c r="J516" s="15">
        <v>1.595</v>
      </c>
      <c r="K516" s="15">
        <v>1.4430000000000001</v>
      </c>
      <c r="L516" s="4"/>
      <c r="P516" s="2"/>
      <c r="Q516" s="2"/>
      <c r="R516" s="2"/>
      <c r="S516" s="2"/>
      <c r="AE516" s="2">
        <v>41.15</v>
      </c>
      <c r="AF516" s="2">
        <v>43.4</v>
      </c>
      <c r="AG516" s="2">
        <v>45.44</v>
      </c>
      <c r="AH516" s="2">
        <v>44.66</v>
      </c>
      <c r="AI516" s="2" t="s">
        <v>772</v>
      </c>
      <c r="AJ516" s="2">
        <v>44.62</v>
      </c>
      <c r="AK516" s="2" t="s">
        <v>772</v>
      </c>
      <c r="AL516" s="2" t="s">
        <v>772</v>
      </c>
      <c r="AM516" s="19">
        <v>8.4722222222222213E-2</v>
      </c>
      <c r="AN516" s="8">
        <f>(2+(2/60))*AJ516</f>
        <v>90.72733333333332</v>
      </c>
    </row>
    <row r="517" spans="1:62" x14ac:dyDescent="0.3">
      <c r="A517" s="2">
        <v>296</v>
      </c>
      <c r="B517" s="2">
        <v>276</v>
      </c>
      <c r="C517" s="2">
        <v>1657</v>
      </c>
      <c r="E517" t="s">
        <v>600</v>
      </c>
      <c r="F517" t="s">
        <v>622</v>
      </c>
      <c r="I517" s="2">
        <v>19.38</v>
      </c>
      <c r="P517" s="2"/>
      <c r="Q517" s="2"/>
      <c r="R517" s="2"/>
      <c r="S517" s="2"/>
      <c r="AE517" s="2">
        <v>28.05</v>
      </c>
      <c r="AF517" s="2" t="s">
        <v>772</v>
      </c>
      <c r="AG517" s="1" t="s">
        <v>772</v>
      </c>
      <c r="AH517" s="14" t="s">
        <v>772</v>
      </c>
      <c r="AI517" s="14" t="s">
        <v>772</v>
      </c>
      <c r="AJ517" s="14" t="s">
        <v>772</v>
      </c>
      <c r="AK517" s="14" t="s">
        <v>772</v>
      </c>
      <c r="AL517" s="2" t="s">
        <v>772</v>
      </c>
      <c r="AM517" s="19">
        <v>0.31805555555555554</v>
      </c>
      <c r="AN517" s="8">
        <f>(7+(38/60))*AE517</f>
        <v>214.11499999999998</v>
      </c>
    </row>
    <row r="518" spans="1:62" x14ac:dyDescent="0.3">
      <c r="A518" s="2">
        <v>277</v>
      </c>
      <c r="C518" s="2">
        <v>128</v>
      </c>
      <c r="E518" t="s">
        <v>1351</v>
      </c>
      <c r="P518" s="2"/>
      <c r="Q518" s="2"/>
      <c r="R518" s="2"/>
      <c r="S518" s="2"/>
      <c r="AE518" s="2">
        <v>13.05</v>
      </c>
      <c r="AF518" s="2" t="s">
        <v>772</v>
      </c>
      <c r="AG518" s="2" t="s">
        <v>772</v>
      </c>
      <c r="AH518" s="2" t="s">
        <v>772</v>
      </c>
      <c r="AI518" s="2" t="s">
        <v>772</v>
      </c>
      <c r="AJ518" s="2" t="s">
        <v>772</v>
      </c>
      <c r="AK518" s="2" t="s">
        <v>772</v>
      </c>
      <c r="AL518" s="2" t="s">
        <v>772</v>
      </c>
      <c r="AM518" s="19">
        <v>0.19513888888888889</v>
      </c>
      <c r="AN518" s="8">
        <f>(4+(41/60))*AE518</f>
        <v>61.117500000000007</v>
      </c>
    </row>
    <row r="519" spans="1:62" x14ac:dyDescent="0.3">
      <c r="A519" s="2">
        <v>278</v>
      </c>
      <c r="B519" s="4">
        <v>256</v>
      </c>
      <c r="C519" s="2">
        <v>1319</v>
      </c>
      <c r="E519" t="s">
        <v>364</v>
      </c>
      <c r="G519" t="s">
        <v>540</v>
      </c>
      <c r="AE519" s="2">
        <v>26.06</v>
      </c>
      <c r="AF519" s="2" t="s">
        <v>772</v>
      </c>
      <c r="AG519" s="2" t="s">
        <v>772</v>
      </c>
      <c r="AH519" s="14" t="s">
        <v>772</v>
      </c>
      <c r="AI519" s="14" t="s">
        <v>772</v>
      </c>
      <c r="AJ519" s="14" t="s">
        <v>772</v>
      </c>
      <c r="AK519" s="14" t="s">
        <v>772</v>
      </c>
      <c r="AL519" s="54" t="s">
        <v>772</v>
      </c>
      <c r="AM519" s="19">
        <v>0.34027777777777779</v>
      </c>
      <c r="AN519" s="8">
        <f>(8+(10/60))*AE519</f>
        <v>212.8233333333333</v>
      </c>
    </row>
    <row r="520" spans="1:62" ht="12.5" x14ac:dyDescent="0.25">
      <c r="A520" s="2">
        <v>279</v>
      </c>
      <c r="B520" s="2">
        <v>361</v>
      </c>
      <c r="C520" s="2">
        <v>270</v>
      </c>
      <c r="E520" s="138" t="s">
        <v>311</v>
      </c>
      <c r="I520" s="2">
        <v>147.5</v>
      </c>
      <c r="J520" s="15">
        <v>5.2679999999999998</v>
      </c>
      <c r="K520" s="15">
        <v>3.7149999999999999</v>
      </c>
      <c r="AE520" s="2">
        <v>164.7</v>
      </c>
      <c r="AF520" s="2">
        <v>157</v>
      </c>
      <c r="AG520" s="2">
        <v>133.19999999999999</v>
      </c>
      <c r="AH520" s="2">
        <v>147.5</v>
      </c>
      <c r="AI520" s="14" t="s">
        <v>772</v>
      </c>
      <c r="AJ520" s="14" t="s">
        <v>772</v>
      </c>
      <c r="AK520" s="14" t="s">
        <v>772</v>
      </c>
      <c r="AL520" s="14" t="s">
        <v>772</v>
      </c>
      <c r="AM520" s="19">
        <v>0.17361111111111113</v>
      </c>
      <c r="AN520" s="8">
        <f>(4+(10/60))*AH520</f>
        <v>614.58333333333337</v>
      </c>
      <c r="AX520" s="8">
        <v>411.07084800000001</v>
      </c>
      <c r="AY520" s="8">
        <v>459.58200399999998</v>
      </c>
      <c r="AZ520" s="8">
        <v>419.069322</v>
      </c>
      <c r="BA520" s="8">
        <v>396.94697400000001</v>
      </c>
      <c r="BB520" s="8">
        <v>413.21765900000003</v>
      </c>
      <c r="BC520" s="8">
        <v>365.75069100000002</v>
      </c>
      <c r="BD520" s="8">
        <v>426.117816</v>
      </c>
      <c r="BE520" s="8">
        <v>384.07556899999997</v>
      </c>
      <c r="BF520" s="8">
        <v>411.72316499999999</v>
      </c>
      <c r="BG520" s="8">
        <v>468.02974599999999</v>
      </c>
      <c r="BH520" s="8">
        <v>429.69635</v>
      </c>
      <c r="BI520" s="8">
        <v>376.91881999999998</v>
      </c>
      <c r="BJ520" s="8">
        <v>432.51700499999998</v>
      </c>
    </row>
    <row r="521" spans="1:62" ht="12.5" x14ac:dyDescent="0.25">
      <c r="E521" s="138" t="s">
        <v>1587</v>
      </c>
      <c r="K521" s="15"/>
      <c r="AE521" s="2"/>
      <c r="AG521" s="2"/>
      <c r="AH521" s="2"/>
      <c r="AI521" s="14"/>
      <c r="AJ521" s="14"/>
      <c r="AK521" s="14"/>
      <c r="AL521" s="14"/>
      <c r="AM521" s="19"/>
      <c r="AN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</row>
    <row r="522" spans="1:62" ht="12.5" x14ac:dyDescent="0.25">
      <c r="E522" s="138" t="s">
        <v>1613</v>
      </c>
      <c r="K522" s="15"/>
      <c r="AE522" s="2"/>
      <c r="AG522" s="2"/>
      <c r="AH522" s="2"/>
      <c r="AI522" s="14"/>
      <c r="AJ522" s="14"/>
      <c r="AK522" s="14"/>
      <c r="AL522" s="14"/>
      <c r="AM522" s="19"/>
      <c r="AN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</row>
    <row r="523" spans="1:62" ht="12.5" x14ac:dyDescent="0.25">
      <c r="E523" s="138" t="s">
        <v>1614</v>
      </c>
      <c r="K523" s="15"/>
      <c r="AE523" s="2"/>
      <c r="AG523" s="2"/>
      <c r="AH523" s="2"/>
      <c r="AI523" s="14"/>
      <c r="AJ523" s="14"/>
      <c r="AK523" s="14"/>
      <c r="AL523" s="14"/>
      <c r="AM523" s="19"/>
      <c r="AN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</row>
    <row r="524" spans="1:62" ht="12.5" x14ac:dyDescent="0.25">
      <c r="E524" s="138" t="s">
        <v>1681</v>
      </c>
      <c r="K524" s="15"/>
      <c r="AE524" s="2"/>
      <c r="AG524" s="2"/>
      <c r="AH524" s="2"/>
      <c r="AI524" s="14"/>
      <c r="AJ524" s="14"/>
      <c r="AK524" s="14"/>
      <c r="AL524" s="14"/>
      <c r="AM524" s="19"/>
      <c r="AN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</row>
    <row r="525" spans="1:62" ht="12.5" x14ac:dyDescent="0.25">
      <c r="E525" s="138" t="s">
        <v>1628</v>
      </c>
      <c r="K525" s="15"/>
      <c r="AE525" s="2"/>
      <c r="AG525" s="2"/>
      <c r="AH525" s="2"/>
      <c r="AI525" s="14"/>
      <c r="AJ525" s="14"/>
      <c r="AK525" s="14"/>
      <c r="AL525" s="14"/>
      <c r="AM525" s="19"/>
      <c r="AN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</row>
    <row r="526" spans="1:62" ht="12.5" x14ac:dyDescent="0.25">
      <c r="E526" s="138" t="s">
        <v>1647</v>
      </c>
      <c r="K526" s="15"/>
      <c r="AE526" s="2"/>
      <c r="AG526" s="2"/>
      <c r="AH526" s="2"/>
      <c r="AI526" s="14"/>
      <c r="AJ526" s="14"/>
      <c r="AK526" s="14"/>
      <c r="AL526" s="14"/>
      <c r="AM526" s="19"/>
      <c r="AN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</row>
    <row r="527" spans="1:62" ht="12.5" x14ac:dyDescent="0.25">
      <c r="E527" s="138" t="s">
        <v>1615</v>
      </c>
      <c r="K527" s="15"/>
      <c r="AE527" s="2"/>
      <c r="AG527" s="2"/>
      <c r="AH527" s="2"/>
      <c r="AI527" s="14"/>
      <c r="AJ527" s="14"/>
      <c r="AK527" s="14"/>
      <c r="AL527" s="14"/>
      <c r="AM527" s="19"/>
      <c r="AN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</row>
    <row r="528" spans="1:62" ht="12.5" x14ac:dyDescent="0.25">
      <c r="A528" s="2">
        <v>280</v>
      </c>
      <c r="B528" s="2">
        <v>311</v>
      </c>
      <c r="C528" s="2">
        <v>344</v>
      </c>
      <c r="E528" s="138" t="s">
        <v>298</v>
      </c>
      <c r="F528" t="s">
        <v>6</v>
      </c>
      <c r="G528" t="s">
        <v>1285</v>
      </c>
      <c r="H528" s="2">
        <v>800</v>
      </c>
      <c r="I528" s="2">
        <v>114.4</v>
      </c>
      <c r="J528" s="15">
        <v>4.0880000000000001</v>
      </c>
      <c r="K528" s="15">
        <v>2.7330000000000001</v>
      </c>
      <c r="AE528" s="2">
        <v>106.6</v>
      </c>
      <c r="AF528" s="2">
        <v>110.1</v>
      </c>
      <c r="AG528" s="2">
        <v>108.3</v>
      </c>
      <c r="AH528" s="2">
        <v>114.4</v>
      </c>
      <c r="AI528" s="14" t="s">
        <v>772</v>
      </c>
      <c r="AJ528" s="14" t="s">
        <v>772</v>
      </c>
      <c r="AK528" s="14" t="s">
        <v>772</v>
      </c>
      <c r="AL528" s="14" t="s">
        <v>772</v>
      </c>
      <c r="AM528" s="19">
        <v>0.29930555555555555</v>
      </c>
      <c r="AN528" s="8">
        <f>(7+(11/60))*AH528</f>
        <v>821.77333333333343</v>
      </c>
    </row>
    <row r="529" spans="1:48" ht="12.5" x14ac:dyDescent="0.25">
      <c r="A529" s="2">
        <v>282</v>
      </c>
      <c r="B529" s="2">
        <v>288</v>
      </c>
      <c r="C529" s="2">
        <v>971</v>
      </c>
      <c r="E529" t="s">
        <v>254</v>
      </c>
      <c r="F529" t="s">
        <v>708</v>
      </c>
      <c r="G529" t="s">
        <v>1271</v>
      </c>
      <c r="H529" s="2">
        <v>10340</v>
      </c>
      <c r="I529" s="2">
        <v>54.58</v>
      </c>
      <c r="J529" s="15">
        <v>1.9490000000000001</v>
      </c>
      <c r="K529" s="15">
        <v>1.575</v>
      </c>
      <c r="AE529" s="2">
        <v>49.29</v>
      </c>
      <c r="AF529" s="2">
        <v>45.02</v>
      </c>
      <c r="AG529" s="2">
        <v>51.87</v>
      </c>
      <c r="AH529" s="54">
        <v>54.58</v>
      </c>
      <c r="AI529" s="54" t="s">
        <v>772</v>
      </c>
      <c r="AJ529" s="54">
        <v>52.91</v>
      </c>
      <c r="AK529" s="54" t="s">
        <v>772</v>
      </c>
      <c r="AL529" s="54" t="s">
        <v>772</v>
      </c>
      <c r="AM529" s="19">
        <v>0.17222222222222225</v>
      </c>
      <c r="AN529" s="8">
        <f>(4+(8/60))*AJ529</f>
        <v>218.69466666666668</v>
      </c>
    </row>
    <row r="530" spans="1:48" x14ac:dyDescent="0.3">
      <c r="A530" s="2">
        <v>302</v>
      </c>
      <c r="B530" s="2">
        <v>307</v>
      </c>
      <c r="C530" s="2">
        <v>1060</v>
      </c>
      <c r="E530" t="s">
        <v>473</v>
      </c>
      <c r="F530" t="s">
        <v>708</v>
      </c>
      <c r="G530" t="s">
        <v>1271</v>
      </c>
      <c r="H530" s="2">
        <v>10340</v>
      </c>
      <c r="AE530" s="2">
        <v>34.549999999999997</v>
      </c>
      <c r="AF530" s="2" t="s">
        <v>772</v>
      </c>
      <c r="AG530" s="1" t="s">
        <v>772</v>
      </c>
      <c r="AH530" s="14" t="s">
        <v>772</v>
      </c>
      <c r="AI530" s="14" t="s">
        <v>772</v>
      </c>
      <c r="AJ530" s="14" t="s">
        <v>772</v>
      </c>
      <c r="AK530" s="54" t="s">
        <v>772</v>
      </c>
      <c r="AL530" s="54" t="s">
        <v>772</v>
      </c>
      <c r="AM530" s="19">
        <v>0.27777777777777779</v>
      </c>
      <c r="AN530" s="8">
        <f>(6+(40/60))*AE530</f>
        <v>230.33333333333331</v>
      </c>
    </row>
    <row r="531" spans="1:48" x14ac:dyDescent="0.3">
      <c r="A531" s="2">
        <v>300</v>
      </c>
      <c r="B531" s="2">
        <v>283</v>
      </c>
      <c r="C531" s="2">
        <v>1713</v>
      </c>
      <c r="E531" t="s">
        <v>432</v>
      </c>
      <c r="AE531" s="2">
        <v>39.65</v>
      </c>
      <c r="AF531" s="2" t="s">
        <v>772</v>
      </c>
      <c r="AG531" s="1" t="s">
        <v>772</v>
      </c>
      <c r="AH531" s="14" t="s">
        <v>772</v>
      </c>
      <c r="AI531" s="14" t="s">
        <v>772</v>
      </c>
      <c r="AJ531" s="14" t="s">
        <v>772</v>
      </c>
      <c r="AK531" s="54" t="s">
        <v>772</v>
      </c>
      <c r="AL531" s="54" t="s">
        <v>772</v>
      </c>
      <c r="AM531" s="19">
        <v>8.5416666666666669E-2</v>
      </c>
      <c r="AN531" s="8">
        <f>(2+(3/60))*AE531</f>
        <v>81.282499999999985</v>
      </c>
    </row>
    <row r="532" spans="1:48" ht="12.5" x14ac:dyDescent="0.25">
      <c r="A532" s="2">
        <v>284</v>
      </c>
      <c r="B532" s="2">
        <v>323</v>
      </c>
      <c r="C532" s="2">
        <v>1015</v>
      </c>
      <c r="E532" t="s">
        <v>287</v>
      </c>
      <c r="F532" t="s">
        <v>693</v>
      </c>
      <c r="H532" s="2">
        <v>9780</v>
      </c>
      <c r="I532" s="2">
        <v>53.09</v>
      </c>
      <c r="J532" s="15">
        <v>1.8959999999999999</v>
      </c>
      <c r="K532" s="15">
        <v>1.18</v>
      </c>
      <c r="AE532" s="2">
        <v>46.41</v>
      </c>
      <c r="AF532" s="2">
        <v>59.05</v>
      </c>
      <c r="AG532" s="2">
        <v>50.38</v>
      </c>
      <c r="AH532" s="2">
        <v>53.09</v>
      </c>
      <c r="AI532" s="14" t="s">
        <v>772</v>
      </c>
      <c r="AJ532" s="14" t="s">
        <v>772</v>
      </c>
      <c r="AK532" s="14" t="s">
        <v>772</v>
      </c>
      <c r="AL532" s="14" t="s">
        <v>772</v>
      </c>
      <c r="AM532" s="19">
        <v>0.25625000000000003</v>
      </c>
      <c r="AN532" s="8">
        <f>(6+(9/60))*AH532</f>
        <v>326.50350000000003</v>
      </c>
    </row>
    <row r="533" spans="1:48" ht="12.5" x14ac:dyDescent="0.25">
      <c r="A533" s="2">
        <v>285</v>
      </c>
      <c r="B533" s="2">
        <v>266</v>
      </c>
      <c r="C533" s="2">
        <v>782</v>
      </c>
      <c r="E533" s="138" t="s">
        <v>212</v>
      </c>
      <c r="F533" t="s">
        <v>704</v>
      </c>
      <c r="H533" s="2">
        <v>10870</v>
      </c>
      <c r="I533" s="2">
        <v>62.12</v>
      </c>
      <c r="J533" s="15">
        <v>2.218</v>
      </c>
      <c r="K533" s="15">
        <v>1.8759999999999999</v>
      </c>
      <c r="AE533" s="2">
        <v>64.319999999999993</v>
      </c>
      <c r="AF533" s="2">
        <v>55.49</v>
      </c>
      <c r="AG533" s="2">
        <v>69.489999999999995</v>
      </c>
      <c r="AH533" s="2">
        <v>62.12</v>
      </c>
      <c r="AI533" s="2" t="s">
        <v>772</v>
      </c>
      <c r="AJ533" s="2">
        <v>60.62</v>
      </c>
      <c r="AK533" s="2" t="s">
        <v>772</v>
      </c>
      <c r="AL533" s="2" t="s">
        <v>772</v>
      </c>
      <c r="AM533" s="19">
        <v>9.5833333333333326E-2</v>
      </c>
      <c r="AN533" s="8">
        <f>(2+(18/60))*AJ533</f>
        <v>139.42599999999999</v>
      </c>
    </row>
    <row r="534" spans="1:48" ht="12.5" x14ac:dyDescent="0.25">
      <c r="E534" s="138" t="s">
        <v>1794</v>
      </c>
      <c r="K534" s="15"/>
      <c r="AE534" s="2"/>
      <c r="AG534" s="2"/>
      <c r="AH534" s="2"/>
      <c r="AI534" s="2"/>
      <c r="AJ534" s="2"/>
      <c r="AK534" s="2"/>
      <c r="AL534" s="2"/>
      <c r="AM534" s="19"/>
      <c r="AN534" s="8"/>
    </row>
    <row r="535" spans="1:48" x14ac:dyDescent="0.3">
      <c r="A535" s="2">
        <v>387</v>
      </c>
      <c r="B535" s="2">
        <v>286</v>
      </c>
      <c r="C535" s="2">
        <v>2271</v>
      </c>
      <c r="E535" t="s">
        <v>450</v>
      </c>
      <c r="AE535" s="2">
        <v>20.38</v>
      </c>
      <c r="AF535" s="2" t="s">
        <v>772</v>
      </c>
      <c r="AG535" s="2" t="s">
        <v>772</v>
      </c>
      <c r="AH535" s="2" t="s">
        <v>772</v>
      </c>
      <c r="AI535" s="2" t="s">
        <v>772</v>
      </c>
      <c r="AJ535" s="2" t="s">
        <v>772</v>
      </c>
      <c r="AK535" s="2" t="s">
        <v>772</v>
      </c>
      <c r="AL535" s="2" t="s">
        <v>772</v>
      </c>
      <c r="AM535" s="19">
        <v>0.16527777777777777</v>
      </c>
      <c r="AN535" s="8">
        <f>(3+(58/60))*AE535</f>
        <v>80.840666666666664</v>
      </c>
    </row>
    <row r="536" spans="1:48" x14ac:dyDescent="0.3">
      <c r="A536" s="2">
        <v>276</v>
      </c>
      <c r="B536" s="2">
        <v>288</v>
      </c>
      <c r="C536" s="2">
        <v>245</v>
      </c>
      <c r="E536" s="138" t="s">
        <v>165</v>
      </c>
      <c r="F536" t="s">
        <v>1233</v>
      </c>
      <c r="AE536" s="2">
        <v>110.3</v>
      </c>
      <c r="AF536" s="2" t="s">
        <v>772</v>
      </c>
      <c r="AG536" s="2" t="s">
        <v>772</v>
      </c>
      <c r="AH536" s="2" t="s">
        <v>772</v>
      </c>
      <c r="AI536" s="2" t="s">
        <v>772</v>
      </c>
      <c r="AJ536" s="2" t="s">
        <v>772</v>
      </c>
      <c r="AK536" s="2" t="s">
        <v>772</v>
      </c>
      <c r="AL536" s="2" t="s">
        <v>772</v>
      </c>
      <c r="AM536" s="19">
        <v>0.32361111111111113</v>
      </c>
      <c r="AN536" s="8">
        <f>(7+(46/60))*AE536</f>
        <v>856.6633333333333</v>
      </c>
    </row>
    <row r="537" spans="1:48" x14ac:dyDescent="0.3">
      <c r="A537" s="2">
        <v>355</v>
      </c>
      <c r="B537" s="4">
        <v>290</v>
      </c>
      <c r="C537" s="2">
        <v>2153</v>
      </c>
      <c r="E537" t="s">
        <v>405</v>
      </c>
      <c r="AE537" s="2">
        <v>25.53</v>
      </c>
      <c r="AF537" s="2" t="s">
        <v>772</v>
      </c>
      <c r="AG537" s="2" t="s">
        <v>772</v>
      </c>
      <c r="AH537" s="2" t="s">
        <v>772</v>
      </c>
      <c r="AI537" s="2" t="s">
        <v>772</v>
      </c>
      <c r="AJ537" s="2" t="s">
        <v>772</v>
      </c>
      <c r="AK537" s="2" t="s">
        <v>772</v>
      </c>
      <c r="AL537" s="2" t="s">
        <v>772</v>
      </c>
      <c r="AM537" s="19">
        <v>0.1076388888888889</v>
      </c>
      <c r="AN537" s="8">
        <f>(2+(35/60))*AE537</f>
        <v>65.952500000000001</v>
      </c>
    </row>
    <row r="538" spans="1:48" x14ac:dyDescent="0.3">
      <c r="A538" s="2">
        <v>279</v>
      </c>
      <c r="B538" s="2">
        <v>291</v>
      </c>
      <c r="C538" s="2">
        <v>1182</v>
      </c>
      <c r="E538" t="s">
        <v>415</v>
      </c>
      <c r="AE538" s="2">
        <v>30.27</v>
      </c>
      <c r="AF538" s="2" t="s">
        <v>772</v>
      </c>
      <c r="AG538" s="2" t="s">
        <v>772</v>
      </c>
      <c r="AH538" s="2" t="s">
        <v>772</v>
      </c>
      <c r="AI538" s="2" t="s">
        <v>772</v>
      </c>
      <c r="AJ538" s="2" t="s">
        <v>772</v>
      </c>
      <c r="AK538" s="2" t="s">
        <v>772</v>
      </c>
      <c r="AL538" s="2" t="s">
        <v>772</v>
      </c>
      <c r="AM538" s="19">
        <v>0.20555555555555555</v>
      </c>
      <c r="AN538" s="8">
        <f>(4+(56/60))*AE538</f>
        <v>149.33199999999999</v>
      </c>
    </row>
    <row r="539" spans="1:48" x14ac:dyDescent="0.3">
      <c r="A539" s="4">
        <v>292</v>
      </c>
      <c r="B539" s="4">
        <v>219</v>
      </c>
      <c r="C539" s="4">
        <v>510</v>
      </c>
      <c r="D539" s="4"/>
      <c r="E539" s="3" t="s">
        <v>291</v>
      </c>
      <c r="F539" t="s">
        <v>6</v>
      </c>
      <c r="G539" t="s">
        <v>1277</v>
      </c>
      <c r="H539" s="2">
        <v>500</v>
      </c>
      <c r="I539" s="2">
        <v>62.5</v>
      </c>
      <c r="J539" s="15">
        <v>2.2320000000000002</v>
      </c>
      <c r="K539" s="15">
        <v>1.266</v>
      </c>
      <c r="AE539" s="2">
        <v>43.38</v>
      </c>
      <c r="AF539" s="2">
        <v>61.26</v>
      </c>
      <c r="AG539" s="2">
        <v>60.04</v>
      </c>
      <c r="AH539" s="2">
        <v>62.5</v>
      </c>
      <c r="AI539" s="14" t="s">
        <v>772</v>
      </c>
      <c r="AJ539" s="14" t="s">
        <v>772</v>
      </c>
      <c r="AK539" s="14" t="s">
        <v>772</v>
      </c>
      <c r="AL539" s="14" t="s">
        <v>772</v>
      </c>
      <c r="AM539" s="19">
        <v>0.66597222222222219</v>
      </c>
      <c r="AN539" s="8">
        <f>(15+(59/60))*AH539</f>
        <v>998.95833333333326</v>
      </c>
    </row>
    <row r="540" spans="1:48" ht="12.5" x14ac:dyDescent="0.25">
      <c r="A540" s="2">
        <v>284</v>
      </c>
      <c r="B540" s="2">
        <v>293</v>
      </c>
      <c r="C540" s="2">
        <v>808</v>
      </c>
      <c r="E540" t="s">
        <v>372</v>
      </c>
      <c r="F540" t="s">
        <v>1233</v>
      </c>
      <c r="K540" s="15"/>
      <c r="AE540" s="2">
        <v>39.92</v>
      </c>
      <c r="AF540" s="2" t="s">
        <v>772</v>
      </c>
      <c r="AG540" s="2" t="s">
        <v>772</v>
      </c>
      <c r="AH540" s="2" t="s">
        <v>772</v>
      </c>
      <c r="AI540" s="2" t="s">
        <v>772</v>
      </c>
      <c r="AJ540" s="2" t="s">
        <v>772</v>
      </c>
      <c r="AK540" s="2" t="s">
        <v>772</v>
      </c>
      <c r="AL540" s="2" t="s">
        <v>772</v>
      </c>
      <c r="AM540" s="19">
        <v>9.3055555555555558E-2</v>
      </c>
      <c r="AN540" s="8">
        <f>(2+(14/60))*AE540</f>
        <v>89.154666666666671</v>
      </c>
    </row>
    <row r="541" spans="1:48" ht="12.5" x14ac:dyDescent="0.25">
      <c r="A541" s="2">
        <v>295</v>
      </c>
      <c r="B541" s="2">
        <v>390</v>
      </c>
      <c r="C541" s="2">
        <v>694</v>
      </c>
      <c r="E541" s="138" t="s">
        <v>258</v>
      </c>
      <c r="F541" t="s">
        <v>7</v>
      </c>
      <c r="G541" t="s">
        <v>1258</v>
      </c>
      <c r="H541" s="2">
        <v>2000000</v>
      </c>
      <c r="I541" s="2">
        <v>89.44</v>
      </c>
      <c r="J541" s="15">
        <v>3.194</v>
      </c>
      <c r="K541" s="15">
        <v>2.359</v>
      </c>
      <c r="AE541" s="2">
        <v>135.4</v>
      </c>
      <c r="AF541" s="2">
        <v>68.06</v>
      </c>
      <c r="AG541" s="2">
        <v>95.43</v>
      </c>
      <c r="AH541" s="2">
        <v>89.44</v>
      </c>
      <c r="AI541" s="2" t="s">
        <v>772</v>
      </c>
      <c r="AJ541" s="2" t="s">
        <v>772</v>
      </c>
      <c r="AK541" s="2" t="s">
        <v>772</v>
      </c>
      <c r="AL541" s="2" t="s">
        <v>772</v>
      </c>
      <c r="AM541" s="19">
        <v>4.7916666666666663E-2</v>
      </c>
      <c r="AN541" s="8">
        <f>(1+(9/60))*AH541</f>
        <v>102.85599999999999</v>
      </c>
      <c r="AV541" s="11"/>
    </row>
    <row r="542" spans="1:48" x14ac:dyDescent="0.3">
      <c r="A542" s="2">
        <v>307</v>
      </c>
      <c r="B542" s="2">
        <v>296</v>
      </c>
      <c r="C542" s="2">
        <v>1475</v>
      </c>
      <c r="E542" t="s">
        <v>399</v>
      </c>
      <c r="AE542" s="2">
        <v>30.38</v>
      </c>
      <c r="AF542" s="2" t="s">
        <v>772</v>
      </c>
      <c r="AG542" s="1" t="s">
        <v>772</v>
      </c>
      <c r="AH542" s="14" t="s">
        <v>772</v>
      </c>
      <c r="AI542" s="14" t="s">
        <v>772</v>
      </c>
      <c r="AJ542" s="14" t="s">
        <v>772</v>
      </c>
      <c r="AK542" s="14" t="s">
        <v>772</v>
      </c>
      <c r="AL542" s="14" t="s">
        <v>772</v>
      </c>
      <c r="AM542" s="19">
        <v>0.12708333333333333</v>
      </c>
      <c r="AN542" s="8">
        <f>(3+(3/60))*AE542</f>
        <v>92.658999999999992</v>
      </c>
    </row>
    <row r="543" spans="1:48" ht="12.5" x14ac:dyDescent="0.25">
      <c r="A543" s="2">
        <v>297</v>
      </c>
      <c r="B543" s="2">
        <v>254</v>
      </c>
      <c r="C543" s="2">
        <v>954</v>
      </c>
      <c r="E543" t="s">
        <v>229</v>
      </c>
      <c r="F543" t="s">
        <v>741</v>
      </c>
      <c r="G543" t="s">
        <v>1272</v>
      </c>
      <c r="H543" s="2">
        <v>356000</v>
      </c>
      <c r="I543" s="2">
        <v>39.19</v>
      </c>
      <c r="J543" s="15">
        <v>1.399</v>
      </c>
      <c r="K543" s="15">
        <v>1.1499999999999999</v>
      </c>
      <c r="AE543" s="2">
        <v>36.17</v>
      </c>
      <c r="AF543" s="2">
        <v>54.98</v>
      </c>
      <c r="AG543" s="2">
        <v>40.04</v>
      </c>
      <c r="AH543" s="2">
        <v>39.19</v>
      </c>
      <c r="AI543" s="2" t="s">
        <v>772</v>
      </c>
      <c r="AJ543" s="2">
        <v>37.76</v>
      </c>
      <c r="AK543" s="2" t="s">
        <v>772</v>
      </c>
      <c r="AL543" s="2" t="s">
        <v>772</v>
      </c>
      <c r="AM543" s="19">
        <v>0.17152777777777775</v>
      </c>
      <c r="AN543" s="8">
        <f>(4+(7/60))*AJ543</f>
        <v>155.44533333333331</v>
      </c>
    </row>
    <row r="544" spans="1:48" ht="12.5" x14ac:dyDescent="0.25">
      <c r="E544" s="138" t="s">
        <v>1643</v>
      </c>
      <c r="K544" s="15"/>
      <c r="AE544" s="2"/>
      <c r="AG544" s="2"/>
      <c r="AH544" s="2"/>
      <c r="AI544" s="2"/>
      <c r="AJ544" s="2"/>
      <c r="AK544" s="2"/>
      <c r="AL544" s="2"/>
      <c r="AM544" s="19"/>
      <c r="AN544" s="8"/>
    </row>
    <row r="545" spans="1:40" ht="12.5" x14ac:dyDescent="0.25">
      <c r="E545" s="138" t="s">
        <v>1571</v>
      </c>
      <c r="K545" s="15"/>
      <c r="AE545" s="2"/>
      <c r="AG545" s="2"/>
      <c r="AH545" s="2"/>
      <c r="AI545" s="2"/>
      <c r="AJ545" s="2"/>
      <c r="AK545" s="2"/>
      <c r="AL545" s="2"/>
      <c r="AM545" s="19"/>
      <c r="AN545" s="8"/>
    </row>
    <row r="546" spans="1:40" ht="12.5" x14ac:dyDescent="0.25">
      <c r="E546" s="138" t="s">
        <v>1644</v>
      </c>
      <c r="K546" s="15"/>
      <c r="AE546" s="2"/>
      <c r="AG546" s="2"/>
      <c r="AH546" s="2"/>
      <c r="AI546" s="2"/>
      <c r="AJ546" s="2"/>
      <c r="AK546" s="2"/>
      <c r="AL546" s="2"/>
      <c r="AM546" s="19"/>
      <c r="AN546" s="8"/>
    </row>
    <row r="547" spans="1:40" ht="12.5" x14ac:dyDescent="0.25">
      <c r="E547" s="138" t="s">
        <v>1709</v>
      </c>
      <c r="K547" s="15"/>
      <c r="AE547" s="2"/>
      <c r="AG547" s="2"/>
      <c r="AH547" s="2"/>
      <c r="AI547" s="2"/>
      <c r="AJ547" s="2"/>
      <c r="AK547" s="2"/>
      <c r="AL547" s="2"/>
      <c r="AM547" s="19"/>
      <c r="AN547" s="8"/>
    </row>
    <row r="548" spans="1:40" ht="12.5" x14ac:dyDescent="0.25">
      <c r="E548" s="138" t="s">
        <v>1710</v>
      </c>
      <c r="K548" s="15"/>
      <c r="AE548" s="2"/>
      <c r="AG548" s="2"/>
      <c r="AH548" s="2"/>
      <c r="AI548" s="2"/>
      <c r="AJ548" s="2"/>
      <c r="AK548" s="2"/>
      <c r="AL548" s="2"/>
      <c r="AM548" s="19"/>
      <c r="AN548" s="8"/>
    </row>
    <row r="549" spans="1:40" ht="12.5" x14ac:dyDescent="0.25">
      <c r="E549" s="138" t="s">
        <v>1711</v>
      </c>
      <c r="K549" s="15"/>
      <c r="AE549" s="2"/>
      <c r="AG549" s="2"/>
      <c r="AH549" s="2"/>
      <c r="AI549" s="2"/>
      <c r="AJ549" s="2"/>
      <c r="AK549" s="2"/>
      <c r="AL549" s="2"/>
      <c r="AM549" s="19"/>
      <c r="AN549" s="8"/>
    </row>
    <row r="550" spans="1:40" ht="12.5" x14ac:dyDescent="0.25">
      <c r="E550" s="138" t="s">
        <v>1645</v>
      </c>
      <c r="K550" s="15"/>
      <c r="AE550" s="2"/>
      <c r="AG550" s="2"/>
      <c r="AH550" s="2"/>
      <c r="AI550" s="2"/>
      <c r="AJ550" s="2"/>
      <c r="AK550" s="2"/>
      <c r="AL550" s="2"/>
      <c r="AM550" s="19"/>
      <c r="AN550" s="8"/>
    </row>
    <row r="551" spans="1:40" ht="12.5" x14ac:dyDescent="0.25">
      <c r="E551" s="138" t="s">
        <v>1570</v>
      </c>
      <c r="K551" s="15"/>
      <c r="AE551" s="2"/>
      <c r="AG551" s="2"/>
      <c r="AH551" s="2"/>
      <c r="AI551" s="2"/>
      <c r="AJ551" s="2"/>
      <c r="AK551" s="2"/>
      <c r="AL551" s="2"/>
      <c r="AM551" s="19"/>
      <c r="AN551" s="8"/>
    </row>
    <row r="552" spans="1:40" x14ac:dyDescent="0.3">
      <c r="A552" s="2">
        <v>344</v>
      </c>
      <c r="B552" s="2">
        <v>301</v>
      </c>
      <c r="C552" s="2">
        <v>1703</v>
      </c>
      <c r="E552" t="s">
        <v>424</v>
      </c>
      <c r="AE552" s="2">
        <v>21.22</v>
      </c>
      <c r="AF552" s="2" t="s">
        <v>772</v>
      </c>
      <c r="AG552" s="2" t="s">
        <v>772</v>
      </c>
      <c r="AH552" s="2" t="s">
        <v>772</v>
      </c>
      <c r="AI552" s="2" t="s">
        <v>772</v>
      </c>
      <c r="AJ552" s="2" t="s">
        <v>772</v>
      </c>
      <c r="AK552" s="2" t="s">
        <v>772</v>
      </c>
      <c r="AL552" s="2" t="s">
        <v>772</v>
      </c>
      <c r="AM552" s="19">
        <v>0.1875</v>
      </c>
      <c r="AN552" s="8">
        <f>(4+(30/60))*AE552</f>
        <v>95.49</v>
      </c>
    </row>
    <row r="553" spans="1:40" ht="12.5" x14ac:dyDescent="0.25">
      <c r="A553" s="2">
        <v>303</v>
      </c>
      <c r="B553" s="2">
        <v>168</v>
      </c>
      <c r="C553" s="2">
        <v>138</v>
      </c>
      <c r="E553" s="138" t="s">
        <v>265</v>
      </c>
      <c r="F553" t="s">
        <v>5</v>
      </c>
      <c r="G553" t="s">
        <v>1266</v>
      </c>
      <c r="H553" s="2">
        <v>0</v>
      </c>
      <c r="I553" s="2">
        <v>186.9</v>
      </c>
      <c r="J553" s="15">
        <v>6.6779999999999999</v>
      </c>
      <c r="K553" s="15">
        <v>3.976</v>
      </c>
      <c r="AE553" s="2">
        <v>110.6</v>
      </c>
      <c r="AF553" s="2">
        <v>205.2</v>
      </c>
      <c r="AG553" s="2">
        <v>203.7</v>
      </c>
      <c r="AH553" s="2">
        <v>186.9</v>
      </c>
      <c r="AI553" s="14" t="s">
        <v>772</v>
      </c>
      <c r="AJ553" s="14" t="s">
        <v>772</v>
      </c>
      <c r="AK553" s="14" t="s">
        <v>772</v>
      </c>
      <c r="AL553" s="14" t="s">
        <v>772</v>
      </c>
      <c r="AM553" s="19">
        <v>0.30902777777777779</v>
      </c>
      <c r="AN553" s="8">
        <f>(7+(25/60))*AH553</f>
        <v>1386.1750000000002</v>
      </c>
    </row>
    <row r="554" spans="1:40" ht="12.5" x14ac:dyDescent="0.25">
      <c r="E554" s="138" t="s">
        <v>1659</v>
      </c>
      <c r="K554" s="15"/>
      <c r="AE554" s="2"/>
      <c r="AG554" s="2"/>
      <c r="AH554" s="2"/>
      <c r="AI554" s="14"/>
      <c r="AJ554" s="14"/>
      <c r="AK554" s="14"/>
      <c r="AL554" s="14"/>
      <c r="AM554" s="19"/>
      <c r="AN554" s="8"/>
    </row>
    <row r="555" spans="1:40" ht="12.5" x14ac:dyDescent="0.25">
      <c r="E555" s="138" t="s">
        <v>1660</v>
      </c>
      <c r="K555" s="15"/>
      <c r="AE555" s="2"/>
      <c r="AG555" s="2"/>
      <c r="AH555" s="2"/>
      <c r="AI555" s="14"/>
      <c r="AJ555" s="14"/>
      <c r="AK555" s="14"/>
      <c r="AL555" s="14"/>
      <c r="AM555" s="19"/>
      <c r="AN555" s="8"/>
    </row>
    <row r="556" spans="1:40" ht="12.5" x14ac:dyDescent="0.25">
      <c r="E556" s="138" t="s">
        <v>1661</v>
      </c>
      <c r="K556" s="15"/>
      <c r="AE556" s="2"/>
      <c r="AG556" s="2"/>
      <c r="AH556" s="2"/>
      <c r="AI556" s="14"/>
      <c r="AJ556" s="14"/>
      <c r="AK556" s="14"/>
      <c r="AL556" s="14"/>
      <c r="AM556" s="19"/>
      <c r="AN556" s="8"/>
    </row>
    <row r="557" spans="1:40" ht="12.5" x14ac:dyDescent="0.25">
      <c r="E557" s="138" t="s">
        <v>1662</v>
      </c>
      <c r="K557" s="15"/>
      <c r="AE557" s="2"/>
      <c r="AG557" s="2"/>
      <c r="AH557" s="2"/>
      <c r="AI557" s="14"/>
      <c r="AJ557" s="14"/>
      <c r="AK557" s="14"/>
      <c r="AL557" s="14"/>
      <c r="AM557" s="19"/>
      <c r="AN557" s="8"/>
    </row>
    <row r="558" spans="1:40" ht="12.5" x14ac:dyDescent="0.25">
      <c r="E558" s="138" t="s">
        <v>1663</v>
      </c>
      <c r="K558" s="15"/>
      <c r="AE558" s="2"/>
      <c r="AG558" s="2"/>
      <c r="AH558" s="2"/>
      <c r="AI558" s="14"/>
      <c r="AJ558" s="14"/>
      <c r="AK558" s="14"/>
      <c r="AL558" s="14"/>
      <c r="AM558" s="19"/>
      <c r="AN558" s="8"/>
    </row>
    <row r="559" spans="1:40" ht="12.5" x14ac:dyDescent="0.25">
      <c r="A559" s="2">
        <v>304</v>
      </c>
      <c r="B559" s="2">
        <v>271</v>
      </c>
      <c r="C559" s="2">
        <v>893</v>
      </c>
      <c r="E559" t="s">
        <v>341</v>
      </c>
      <c r="G559" t="s">
        <v>1312</v>
      </c>
      <c r="I559" s="2">
        <v>42.72</v>
      </c>
      <c r="J559" s="15">
        <v>1.5249999999999999</v>
      </c>
      <c r="K559" s="15">
        <v>1.046</v>
      </c>
      <c r="AE559" s="2">
        <v>35.68</v>
      </c>
      <c r="AF559" s="2">
        <v>39.880000000000003</v>
      </c>
      <c r="AG559" s="2">
        <v>42.72</v>
      </c>
      <c r="AH559" s="14" t="s">
        <v>772</v>
      </c>
      <c r="AI559" s="14" t="s">
        <v>772</v>
      </c>
      <c r="AJ559" s="14" t="s">
        <v>772</v>
      </c>
      <c r="AK559" s="14" t="s">
        <v>772</v>
      </c>
      <c r="AL559" s="14" t="s">
        <v>772</v>
      </c>
      <c r="AM559" s="19">
        <v>0.28194444444444444</v>
      </c>
      <c r="AN559" s="8">
        <f>(6+(46/60))*AG559</f>
        <v>289.072</v>
      </c>
    </row>
    <row r="560" spans="1:40" x14ac:dyDescent="0.3">
      <c r="A560" s="2">
        <v>312</v>
      </c>
      <c r="B560" s="2">
        <v>305</v>
      </c>
      <c r="C560" s="2">
        <v>1801</v>
      </c>
      <c r="E560" t="s">
        <v>412</v>
      </c>
      <c r="AE560" s="2">
        <v>22.01</v>
      </c>
      <c r="AF560" s="2" t="s">
        <v>772</v>
      </c>
      <c r="AG560" s="2" t="s">
        <v>772</v>
      </c>
      <c r="AH560" s="2" t="s">
        <v>772</v>
      </c>
      <c r="AI560" s="2" t="s">
        <v>772</v>
      </c>
      <c r="AJ560" s="2" t="s">
        <v>772</v>
      </c>
      <c r="AK560" s="2" t="s">
        <v>772</v>
      </c>
      <c r="AL560" s="2" t="s">
        <v>772</v>
      </c>
      <c r="AM560" s="19">
        <v>0.20902777777777778</v>
      </c>
      <c r="AN560" s="8">
        <f>(5+(1/60))*AE560</f>
        <v>110.41683333333334</v>
      </c>
    </row>
    <row r="561" spans="1:62" ht="12.5" x14ac:dyDescent="0.25">
      <c r="A561" s="2">
        <v>306</v>
      </c>
      <c r="B561" s="2">
        <v>260</v>
      </c>
      <c r="C561" s="2">
        <v>360</v>
      </c>
      <c r="E561" s="138" t="s">
        <v>224</v>
      </c>
      <c r="G561" t="s">
        <v>1260</v>
      </c>
      <c r="I561" s="2">
        <v>125.3</v>
      </c>
      <c r="J561" s="15">
        <v>4.4749999999999996</v>
      </c>
      <c r="K561" s="15">
        <v>3.69</v>
      </c>
      <c r="AE561" s="2">
        <v>125.7</v>
      </c>
      <c r="AF561" s="2">
        <v>144.5</v>
      </c>
      <c r="AG561" s="2">
        <v>136.69999999999999</v>
      </c>
      <c r="AH561" s="2">
        <v>125.3</v>
      </c>
      <c r="AI561" s="2" t="s">
        <v>772</v>
      </c>
      <c r="AJ561" s="2">
        <v>124.3</v>
      </c>
      <c r="AK561" s="2" t="s">
        <v>772</v>
      </c>
      <c r="AL561" s="2" t="s">
        <v>772</v>
      </c>
      <c r="AM561" s="19">
        <v>8.3333333333333329E-2</v>
      </c>
      <c r="AN561" s="8">
        <f>2*AJ561</f>
        <v>248.6</v>
      </c>
    </row>
    <row r="562" spans="1:62" x14ac:dyDescent="0.3">
      <c r="A562" s="2">
        <v>308</v>
      </c>
      <c r="B562" s="2">
        <v>309</v>
      </c>
      <c r="C562" s="2">
        <v>1809</v>
      </c>
      <c r="E562" t="s">
        <v>464</v>
      </c>
      <c r="AE562" s="2">
        <v>20.64</v>
      </c>
      <c r="AF562" s="2" t="s">
        <v>772</v>
      </c>
      <c r="AG562" s="1" t="s">
        <v>772</v>
      </c>
      <c r="AH562" s="14" t="s">
        <v>772</v>
      </c>
      <c r="AI562" s="14" t="s">
        <v>772</v>
      </c>
      <c r="AJ562" s="14" t="s">
        <v>772</v>
      </c>
      <c r="AK562" s="14" t="s">
        <v>772</v>
      </c>
      <c r="AL562" s="14" t="s">
        <v>772</v>
      </c>
      <c r="AM562" s="19">
        <v>0.21180555555555555</v>
      </c>
      <c r="AN562" s="8">
        <f>(5+(5/60))*AE562</f>
        <v>104.92</v>
      </c>
    </row>
    <row r="563" spans="1:62" x14ac:dyDescent="0.3">
      <c r="E563" s="138" t="s">
        <v>1671</v>
      </c>
      <c r="AE563" s="2"/>
      <c r="AH563" s="14"/>
      <c r="AI563" s="14"/>
      <c r="AJ563" s="14"/>
      <c r="AK563" s="14"/>
      <c r="AL563" s="14"/>
      <c r="AM563" s="19"/>
      <c r="AN563" s="8"/>
    </row>
    <row r="564" spans="1:62" x14ac:dyDescent="0.3">
      <c r="E564" s="138" t="s">
        <v>1727</v>
      </c>
      <c r="AE564" s="2"/>
      <c r="AH564" s="14"/>
      <c r="AI564" s="14"/>
      <c r="AJ564" s="14"/>
      <c r="AK564" s="14"/>
      <c r="AL564" s="14"/>
      <c r="AM564" s="19"/>
      <c r="AN564" s="8"/>
    </row>
    <row r="565" spans="1:62" x14ac:dyDescent="0.3">
      <c r="E565" s="138" t="s">
        <v>1728</v>
      </c>
      <c r="AE565" s="2"/>
      <c r="AH565" s="14"/>
      <c r="AI565" s="14"/>
      <c r="AJ565" s="14"/>
      <c r="AK565" s="14"/>
      <c r="AL565" s="14"/>
      <c r="AM565" s="19"/>
      <c r="AN565" s="8"/>
    </row>
    <row r="566" spans="1:62" x14ac:dyDescent="0.3">
      <c r="E566" s="138" t="s">
        <v>1784</v>
      </c>
      <c r="AE566" s="2"/>
      <c r="AH566" s="14"/>
      <c r="AI566" s="14"/>
      <c r="AJ566" s="14"/>
      <c r="AK566" s="14"/>
      <c r="AL566" s="14"/>
      <c r="AM566" s="19"/>
      <c r="AN566" s="8"/>
    </row>
    <row r="567" spans="1:62" x14ac:dyDescent="0.3">
      <c r="E567" s="138" t="s">
        <v>1785</v>
      </c>
      <c r="AE567" s="2"/>
      <c r="AH567" s="14"/>
      <c r="AI567" s="14"/>
      <c r="AJ567" s="14"/>
      <c r="AK567" s="14"/>
      <c r="AL567" s="14"/>
      <c r="AM567" s="19"/>
      <c r="AN567" s="8"/>
    </row>
    <row r="568" spans="1:62" x14ac:dyDescent="0.3">
      <c r="E568" s="138" t="s">
        <v>1786</v>
      </c>
      <c r="AE568" s="2"/>
      <c r="AH568" s="14"/>
      <c r="AI568" s="14"/>
      <c r="AJ568" s="14"/>
      <c r="AK568" s="14"/>
      <c r="AL568" s="14"/>
      <c r="AM568" s="19"/>
      <c r="AN568" s="8"/>
    </row>
    <row r="569" spans="1:62" x14ac:dyDescent="0.3">
      <c r="E569" s="138" t="s">
        <v>1787</v>
      </c>
      <c r="AE569" s="2"/>
      <c r="AH569" s="14"/>
      <c r="AI569" s="14"/>
      <c r="AJ569" s="14"/>
      <c r="AK569" s="14"/>
      <c r="AL569" s="14"/>
      <c r="AM569" s="19"/>
      <c r="AN569" s="8"/>
    </row>
    <row r="570" spans="1:62" x14ac:dyDescent="0.3">
      <c r="E570" s="138" t="s">
        <v>1772</v>
      </c>
      <c r="AE570" s="2"/>
      <c r="AH570" s="14"/>
      <c r="AI570" s="14"/>
      <c r="AJ570" s="14"/>
      <c r="AK570" s="14"/>
      <c r="AL570" s="14"/>
      <c r="AM570" s="19"/>
      <c r="AN570" s="8"/>
    </row>
    <row r="571" spans="1:62" x14ac:dyDescent="0.3">
      <c r="E571" s="138" t="s">
        <v>1773</v>
      </c>
      <c r="AE571" s="2"/>
      <c r="AH571" s="14"/>
      <c r="AI571" s="14"/>
      <c r="AJ571" s="14"/>
      <c r="AK571" s="14"/>
      <c r="AL571" s="14"/>
      <c r="AM571" s="19"/>
      <c r="AN571" s="8"/>
    </row>
    <row r="572" spans="1:62" x14ac:dyDescent="0.3">
      <c r="E572" s="138" t="s">
        <v>1729</v>
      </c>
      <c r="AE572" s="2"/>
      <c r="AH572" s="14"/>
      <c r="AI572" s="14"/>
      <c r="AJ572" s="14"/>
      <c r="AK572" s="14"/>
      <c r="AL572" s="14"/>
      <c r="AM572" s="19"/>
      <c r="AN572" s="8"/>
    </row>
    <row r="573" spans="1:62" x14ac:dyDescent="0.3">
      <c r="E573" s="138" t="s">
        <v>1672</v>
      </c>
      <c r="AE573" s="2"/>
      <c r="AH573" s="14"/>
      <c r="AI573" s="14"/>
      <c r="AJ573" s="14"/>
      <c r="AK573" s="14"/>
      <c r="AL573" s="14"/>
      <c r="AM573" s="19"/>
      <c r="AN573" s="8"/>
    </row>
    <row r="574" spans="1:62" x14ac:dyDescent="0.3">
      <c r="A574" s="2">
        <v>369</v>
      </c>
      <c r="B574" s="2">
        <v>310</v>
      </c>
      <c r="C574" s="2">
        <v>264</v>
      </c>
      <c r="E574" t="s">
        <v>1352</v>
      </c>
      <c r="AE574" s="2">
        <v>218.9</v>
      </c>
      <c r="AF574" s="2" t="s">
        <v>772</v>
      </c>
      <c r="AG574" s="2" t="s">
        <v>772</v>
      </c>
      <c r="AH574" s="2" t="s">
        <v>772</v>
      </c>
      <c r="AI574" s="2" t="s">
        <v>772</v>
      </c>
      <c r="AJ574" s="2" t="s">
        <v>772</v>
      </c>
      <c r="AK574" s="2" t="s">
        <v>772</v>
      </c>
      <c r="AL574" s="2" t="s">
        <v>772</v>
      </c>
      <c r="AM574" s="19">
        <v>5.2083333333333336E-2</v>
      </c>
      <c r="AN574" s="8">
        <f>(1+(15/60))*AE574</f>
        <v>273.625</v>
      </c>
    </row>
    <row r="575" spans="1:62" ht="12.5" x14ac:dyDescent="0.25">
      <c r="A575" s="2">
        <v>311</v>
      </c>
      <c r="B575" s="2">
        <v>233</v>
      </c>
      <c r="C575" s="2">
        <v>1239</v>
      </c>
      <c r="E575" t="s">
        <v>353</v>
      </c>
      <c r="I575" s="2">
        <v>25.02</v>
      </c>
      <c r="J575" s="15">
        <v>0.89369500000000002</v>
      </c>
      <c r="K575" s="15">
        <v>0.45786300000000002</v>
      </c>
      <c r="AE575" s="2">
        <v>18.77</v>
      </c>
      <c r="AF575" s="2">
        <v>24.74</v>
      </c>
      <c r="AG575" s="2">
        <v>25.02</v>
      </c>
      <c r="AH575" s="14" t="s">
        <v>772</v>
      </c>
      <c r="AI575" s="14" t="s">
        <v>772</v>
      </c>
      <c r="AJ575" s="14" t="s">
        <v>772</v>
      </c>
      <c r="AK575" s="14" t="s">
        <v>772</v>
      </c>
      <c r="AL575" s="54" t="s">
        <v>772</v>
      </c>
      <c r="AM575" s="19">
        <v>0.37916666666666665</v>
      </c>
      <c r="AN575" s="8">
        <f>(9+(6/60))*AG575</f>
        <v>227.68199999999999</v>
      </c>
    </row>
    <row r="576" spans="1:62" ht="12.5" x14ac:dyDescent="0.25">
      <c r="A576" s="2">
        <v>312</v>
      </c>
      <c r="B576" s="2">
        <v>278</v>
      </c>
      <c r="C576" s="2">
        <v>672</v>
      </c>
      <c r="E576" t="s">
        <v>247</v>
      </c>
      <c r="G576" t="s">
        <v>1261</v>
      </c>
      <c r="I576" s="2">
        <v>84.78</v>
      </c>
      <c r="J576" s="15">
        <v>3.028</v>
      </c>
      <c r="K576" s="15">
        <v>2.746</v>
      </c>
      <c r="AE576" s="2">
        <v>66.84</v>
      </c>
      <c r="AF576" s="2">
        <v>73.7</v>
      </c>
      <c r="AG576" s="2">
        <v>76.319999999999993</v>
      </c>
      <c r="AH576" s="54">
        <v>84.78</v>
      </c>
      <c r="AI576" s="54" t="s">
        <v>772</v>
      </c>
      <c r="AJ576" s="54">
        <v>79.16</v>
      </c>
      <c r="AK576" s="54" t="s">
        <v>772</v>
      </c>
      <c r="AL576" s="54" t="s">
        <v>772</v>
      </c>
      <c r="AM576" s="19">
        <v>6.3888888888888884E-2</v>
      </c>
      <c r="AN576" s="8">
        <f>(1+(32/60))*AJ576</f>
        <v>121.37866666666665</v>
      </c>
      <c r="AX576" s="8">
        <v>101.842389</v>
      </c>
      <c r="AY576" s="8">
        <v>109.863049</v>
      </c>
      <c r="AZ576" s="8">
        <v>95.965585000000004</v>
      </c>
      <c r="BA576" s="8">
        <v>108.6049</v>
      </c>
      <c r="BB576" s="8">
        <v>111.75902000000001</v>
      </c>
      <c r="BC576" s="8">
        <v>113.92931799999999</v>
      </c>
      <c r="BD576" s="8">
        <v>122.15822300000001</v>
      </c>
      <c r="BE576" s="8">
        <v>112.472414</v>
      </c>
      <c r="BF576" s="8">
        <v>129.29927900000001</v>
      </c>
      <c r="BG576" s="8">
        <v>129.44417000000001</v>
      </c>
      <c r="BH576" s="8">
        <v>128.44539599999999</v>
      </c>
      <c r="BI576" s="8">
        <v>117.637316</v>
      </c>
      <c r="BJ576" s="8">
        <v>122.977084</v>
      </c>
    </row>
    <row r="577" spans="1:63" ht="12.5" x14ac:dyDescent="0.25">
      <c r="A577" s="2">
        <v>313</v>
      </c>
      <c r="B577" s="2">
        <v>366</v>
      </c>
      <c r="C577" s="2">
        <v>2123</v>
      </c>
      <c r="E577" t="s">
        <v>314</v>
      </c>
      <c r="G577" t="s">
        <v>1338</v>
      </c>
      <c r="I577" s="2">
        <v>30.99</v>
      </c>
      <c r="J577" s="15">
        <v>1.1060000000000001</v>
      </c>
      <c r="K577" s="15">
        <v>0.86647799999999997</v>
      </c>
      <c r="AE577" s="2">
        <v>27.74</v>
      </c>
      <c r="AF577" s="2">
        <v>26.6</v>
      </c>
      <c r="AG577" s="2">
        <v>34.22</v>
      </c>
      <c r="AH577" s="2">
        <v>30.99</v>
      </c>
      <c r="AI577" s="14" t="s">
        <v>772</v>
      </c>
      <c r="AJ577" s="14" t="s">
        <v>772</v>
      </c>
      <c r="AK577" s="14" t="s">
        <v>772</v>
      </c>
      <c r="AL577" s="14" t="s">
        <v>772</v>
      </c>
      <c r="AM577" s="19">
        <v>0.10694444444444444</v>
      </c>
      <c r="AN577" s="8">
        <f>(2+(34/60))*AH577</f>
        <v>79.540999999999983</v>
      </c>
    </row>
    <row r="578" spans="1:63" ht="12.5" x14ac:dyDescent="0.25">
      <c r="A578" s="2">
        <v>306</v>
      </c>
      <c r="B578" s="2">
        <v>314</v>
      </c>
      <c r="C578" s="2">
        <v>1771</v>
      </c>
      <c r="E578" t="s">
        <v>1353</v>
      </c>
      <c r="K578" s="15"/>
      <c r="AE578" s="2">
        <v>23.29</v>
      </c>
      <c r="AF578" s="2" t="s">
        <v>772</v>
      </c>
      <c r="AG578" s="2" t="s">
        <v>772</v>
      </c>
      <c r="AH578" s="2" t="s">
        <v>772</v>
      </c>
      <c r="AI578" s="14" t="s">
        <v>772</v>
      </c>
      <c r="AJ578" s="14" t="s">
        <v>772</v>
      </c>
      <c r="AK578" s="14" t="s">
        <v>772</v>
      </c>
      <c r="AL578" s="14" t="s">
        <v>772</v>
      </c>
      <c r="AM578" s="19">
        <v>0.22777777777777777</v>
      </c>
      <c r="AN578" s="8">
        <f>(5+(23/60))*AE578</f>
        <v>125.37783333333334</v>
      </c>
    </row>
    <row r="579" spans="1:63" x14ac:dyDescent="0.3">
      <c r="A579" s="2">
        <v>315</v>
      </c>
      <c r="B579" s="2">
        <v>123</v>
      </c>
      <c r="C579" s="2">
        <v>277</v>
      </c>
      <c r="E579" t="s">
        <v>115</v>
      </c>
      <c r="F579" t="s">
        <v>6</v>
      </c>
      <c r="H579" s="2">
        <v>1000</v>
      </c>
      <c r="I579" s="2">
        <v>153.6</v>
      </c>
      <c r="J579" s="15">
        <v>5.4870000000000001</v>
      </c>
      <c r="K579" s="15">
        <v>3.8359999999999999</v>
      </c>
      <c r="AE579" s="2">
        <v>61.46</v>
      </c>
      <c r="AF579" s="2">
        <v>116.7</v>
      </c>
      <c r="AG579" s="2">
        <v>152.1</v>
      </c>
      <c r="AH579" s="2">
        <v>153.6</v>
      </c>
      <c r="AI579" s="14" t="s">
        <v>772</v>
      </c>
      <c r="AJ579" s="2">
        <v>170.8</v>
      </c>
      <c r="AK579" s="2" t="s">
        <v>772</v>
      </c>
      <c r="AL579" s="2" t="s">
        <v>772</v>
      </c>
      <c r="AM579" s="19">
        <v>0.1361111111111111</v>
      </c>
      <c r="AN579" s="8">
        <f>(3+(16/60))*AJ579</f>
        <v>557.94666666666672</v>
      </c>
      <c r="AX579" s="55">
        <v>160.93100000000001</v>
      </c>
      <c r="AY579" s="55">
        <v>134.31200000000001</v>
      </c>
      <c r="AZ579" s="55">
        <v>156.84299999999999</v>
      </c>
      <c r="BA579" s="55">
        <v>164.12100000000001</v>
      </c>
      <c r="BB579" s="55">
        <v>173</v>
      </c>
      <c r="BC579" s="55">
        <v>163.554</v>
      </c>
      <c r="BD579" s="55">
        <v>172.108</v>
      </c>
      <c r="BE579" s="55">
        <v>181.416</v>
      </c>
      <c r="BF579" s="55">
        <v>189.30699999999999</v>
      </c>
      <c r="BG579" s="55">
        <v>205.554</v>
      </c>
      <c r="BH579" s="55">
        <v>214.19499999999999</v>
      </c>
      <c r="BI579" s="55">
        <v>132.816</v>
      </c>
      <c r="BJ579" s="55">
        <v>177.167</v>
      </c>
    </row>
    <row r="580" spans="1:63" x14ac:dyDescent="0.3">
      <c r="A580" s="2">
        <v>288</v>
      </c>
      <c r="B580" s="2">
        <v>316</v>
      </c>
      <c r="C580" s="2">
        <v>562</v>
      </c>
      <c r="E580" t="s">
        <v>451</v>
      </c>
      <c r="F580" t="s">
        <v>578</v>
      </c>
      <c r="AE580" s="2">
        <v>56.69</v>
      </c>
      <c r="AF580" s="2" t="s">
        <v>772</v>
      </c>
      <c r="AG580" s="2" t="s">
        <v>772</v>
      </c>
      <c r="AH580" s="2" t="s">
        <v>772</v>
      </c>
      <c r="AI580" s="14" t="s">
        <v>772</v>
      </c>
      <c r="AJ580" s="14" t="s">
        <v>772</v>
      </c>
      <c r="AK580" s="14" t="s">
        <v>772</v>
      </c>
      <c r="AL580" s="14" t="s">
        <v>772</v>
      </c>
      <c r="AM580" s="19">
        <v>0.55902777777777779</v>
      </c>
      <c r="AN580" s="8">
        <f>(13+(25/60))*AE580</f>
        <v>760.59083333333331</v>
      </c>
    </row>
    <row r="581" spans="1:63" x14ac:dyDescent="0.3">
      <c r="A581" s="2">
        <v>497</v>
      </c>
      <c r="B581" s="2">
        <v>317</v>
      </c>
      <c r="C581" s="2">
        <v>2889</v>
      </c>
      <c r="E581" t="s">
        <v>462</v>
      </c>
      <c r="AE581" s="2">
        <v>20.05</v>
      </c>
      <c r="AF581" s="2" t="s">
        <v>772</v>
      </c>
      <c r="AG581" s="2" t="s">
        <v>772</v>
      </c>
      <c r="AH581" s="2" t="s">
        <v>772</v>
      </c>
      <c r="AI581" s="14" t="s">
        <v>772</v>
      </c>
      <c r="AJ581" s="14" t="s">
        <v>772</v>
      </c>
      <c r="AK581" s="14" t="s">
        <v>772</v>
      </c>
      <c r="AL581" s="14" t="s">
        <v>772</v>
      </c>
      <c r="AM581" s="19">
        <v>8.6805555555555552E-2</v>
      </c>
      <c r="AN581" s="8">
        <f>(2+(5/60))*AE581</f>
        <v>41.770833333333336</v>
      </c>
    </row>
    <row r="582" spans="1:63" ht="12.5" x14ac:dyDescent="0.25">
      <c r="A582" s="2">
        <v>318</v>
      </c>
      <c r="B582" s="2">
        <v>227</v>
      </c>
      <c r="C582" s="2">
        <v>1145</v>
      </c>
      <c r="E582" t="s">
        <v>198</v>
      </c>
      <c r="F582" t="s">
        <v>693</v>
      </c>
      <c r="G582" t="s">
        <v>1268</v>
      </c>
      <c r="H582" s="2">
        <v>9880</v>
      </c>
      <c r="I582" s="2">
        <v>45.05</v>
      </c>
      <c r="J582" s="15">
        <v>1.609</v>
      </c>
      <c r="K582" s="15">
        <v>0.84499199999999997</v>
      </c>
      <c r="AE582" s="2">
        <v>30.34</v>
      </c>
      <c r="AF582" s="2">
        <v>69.53</v>
      </c>
      <c r="AG582" s="2">
        <v>42.74</v>
      </c>
      <c r="AH582" s="2">
        <v>45.05</v>
      </c>
      <c r="AI582" s="14" t="s">
        <v>772</v>
      </c>
      <c r="AJ582" s="2">
        <v>44.32</v>
      </c>
      <c r="AK582" s="14" t="s">
        <v>772</v>
      </c>
      <c r="AL582" s="14" t="s">
        <v>772</v>
      </c>
      <c r="AM582" s="19">
        <v>0.25416666666666665</v>
      </c>
      <c r="AN582" s="8">
        <f>(6+(6/60))*AJ582</f>
        <v>270.35199999999998</v>
      </c>
    </row>
    <row r="583" spans="1:63" ht="12.5" x14ac:dyDescent="0.25">
      <c r="A583" s="2">
        <v>319</v>
      </c>
      <c r="B583" s="2">
        <v>313</v>
      </c>
      <c r="C583" s="2">
        <v>1096</v>
      </c>
      <c r="E583" t="s">
        <v>328</v>
      </c>
      <c r="I583" s="2">
        <v>42.62</v>
      </c>
      <c r="J583" s="15">
        <v>1.522</v>
      </c>
      <c r="K583" s="15">
        <v>1.27</v>
      </c>
      <c r="AE583" s="2">
        <v>35.020000000000003</v>
      </c>
      <c r="AF583" s="2">
        <v>35.22</v>
      </c>
      <c r="AG583" s="2">
        <v>42.62</v>
      </c>
      <c r="AH583" s="14" t="s">
        <v>772</v>
      </c>
      <c r="AI583" s="14" t="s">
        <v>772</v>
      </c>
      <c r="AJ583" s="14" t="s">
        <v>772</v>
      </c>
      <c r="AK583" s="14" t="s">
        <v>772</v>
      </c>
      <c r="AL583" s="14" t="s">
        <v>772</v>
      </c>
      <c r="AM583" s="21" t="s">
        <v>1301</v>
      </c>
      <c r="AN583" s="8">
        <f>(3+(9/60))*AG583</f>
        <v>134.25299999999999</v>
      </c>
    </row>
    <row r="584" spans="1:63" ht="12.5" x14ac:dyDescent="0.25">
      <c r="A584" s="2">
        <v>320</v>
      </c>
      <c r="B584" s="2">
        <v>360</v>
      </c>
      <c r="C584" s="2">
        <v>611</v>
      </c>
      <c r="E584" t="s">
        <v>1320</v>
      </c>
      <c r="F584" t="s">
        <v>714</v>
      </c>
      <c r="H584" s="2">
        <v>77190</v>
      </c>
      <c r="I584" s="2">
        <v>45.68</v>
      </c>
      <c r="J584" s="15">
        <v>1.631</v>
      </c>
      <c r="K584" s="15">
        <v>1.224</v>
      </c>
      <c r="AE584" s="2">
        <v>48.15</v>
      </c>
      <c r="AF584" s="2">
        <v>47.63</v>
      </c>
      <c r="AG584" s="2">
        <v>45.68</v>
      </c>
      <c r="AH584" s="14" t="s">
        <v>772</v>
      </c>
      <c r="AI584" s="14" t="s">
        <v>772</v>
      </c>
      <c r="AJ584" s="14" t="s">
        <v>772</v>
      </c>
      <c r="AK584" s="14" t="s">
        <v>772</v>
      </c>
      <c r="AL584" s="14" t="s">
        <v>772</v>
      </c>
      <c r="AM584" s="19">
        <v>0.2951388888888889</v>
      </c>
      <c r="AN584" s="8">
        <f>(7+(5/60))*AG584</f>
        <v>323.56666666666666</v>
      </c>
    </row>
    <row r="585" spans="1:63" x14ac:dyDescent="0.3">
      <c r="A585" s="2">
        <v>292</v>
      </c>
      <c r="B585" s="2">
        <v>321</v>
      </c>
      <c r="C585" s="2">
        <v>384</v>
      </c>
      <c r="E585" s="138" t="s">
        <v>416</v>
      </c>
      <c r="AE585" s="2">
        <v>155.69999999999999</v>
      </c>
      <c r="AF585" s="2" t="s">
        <v>772</v>
      </c>
      <c r="AG585" s="2" t="s">
        <v>772</v>
      </c>
      <c r="AH585" s="2" t="s">
        <v>772</v>
      </c>
      <c r="AI585" s="14" t="s">
        <v>772</v>
      </c>
      <c r="AJ585" s="14" t="s">
        <v>772</v>
      </c>
      <c r="AK585" s="14" t="s">
        <v>772</v>
      </c>
      <c r="AL585" s="14" t="s">
        <v>772</v>
      </c>
      <c r="AM585" s="19">
        <v>8.3333333333333332E-3</v>
      </c>
      <c r="AN585" s="8">
        <f>((12/60))*AE585</f>
        <v>31.14</v>
      </c>
    </row>
    <row r="586" spans="1:63" x14ac:dyDescent="0.3">
      <c r="E586" s="138" t="s">
        <v>1648</v>
      </c>
      <c r="AE586" s="2"/>
      <c r="AG586" s="2"/>
      <c r="AH586" s="2"/>
      <c r="AI586" s="14"/>
      <c r="AJ586" s="14"/>
      <c r="AK586" s="14"/>
      <c r="AL586" s="14"/>
      <c r="AM586" s="19"/>
      <c r="AN586" s="8"/>
    </row>
    <row r="587" spans="1:63" x14ac:dyDescent="0.3">
      <c r="A587" s="2">
        <v>333</v>
      </c>
      <c r="B587" s="2">
        <v>322</v>
      </c>
      <c r="C587" s="2">
        <v>1930</v>
      </c>
      <c r="E587" t="s">
        <v>460</v>
      </c>
      <c r="F587" t="s">
        <v>549</v>
      </c>
      <c r="AE587" s="2">
        <v>24.8</v>
      </c>
      <c r="AF587" s="2" t="s">
        <v>772</v>
      </c>
      <c r="AG587" s="2" t="s">
        <v>772</v>
      </c>
      <c r="AH587" s="2" t="s">
        <v>772</v>
      </c>
      <c r="AI587" s="14" t="s">
        <v>772</v>
      </c>
      <c r="AJ587" s="14" t="s">
        <v>772</v>
      </c>
      <c r="AK587" s="14" t="s">
        <v>772</v>
      </c>
      <c r="AL587" s="14" t="s">
        <v>772</v>
      </c>
      <c r="AM587" s="19">
        <v>0.1736111111111111</v>
      </c>
      <c r="AN587" s="8">
        <f>(4+(10/60))*AE587</f>
        <v>103.33333333333334</v>
      </c>
    </row>
    <row r="588" spans="1:63" ht="12.5" x14ac:dyDescent="0.25">
      <c r="A588" s="2">
        <v>323</v>
      </c>
      <c r="B588" s="2">
        <v>214</v>
      </c>
      <c r="C588" s="2">
        <v>812</v>
      </c>
      <c r="E588" t="s">
        <v>182</v>
      </c>
      <c r="I588" s="2">
        <v>114.3</v>
      </c>
      <c r="J588" s="15">
        <v>4.085</v>
      </c>
      <c r="K588" s="15">
        <v>3.794</v>
      </c>
      <c r="AE588" s="2">
        <v>70.92</v>
      </c>
      <c r="AF588" s="2">
        <v>108.4</v>
      </c>
      <c r="AG588" s="2">
        <v>116.5</v>
      </c>
      <c r="AH588" s="2">
        <v>114.3</v>
      </c>
      <c r="AI588" s="14" t="s">
        <v>772</v>
      </c>
      <c r="AJ588" s="2">
        <v>117.6</v>
      </c>
      <c r="AK588" s="14" t="s">
        <v>772</v>
      </c>
      <c r="AL588" s="14" t="s">
        <v>772</v>
      </c>
      <c r="AM588" s="19">
        <v>4.5833333333333337E-2</v>
      </c>
      <c r="AN588" s="8">
        <f>(1+(6/60))*AJ588</f>
        <v>129.36000000000001</v>
      </c>
    </row>
    <row r="589" spans="1:63" ht="12.5" x14ac:dyDescent="0.25">
      <c r="A589" s="2">
        <v>326</v>
      </c>
      <c r="B589" s="2">
        <v>324</v>
      </c>
      <c r="C589" s="2">
        <v>1903</v>
      </c>
      <c r="E589" t="s">
        <v>1354</v>
      </c>
      <c r="K589" s="15"/>
      <c r="AE589" s="2">
        <v>19.22</v>
      </c>
      <c r="AF589" s="2" t="s">
        <v>772</v>
      </c>
      <c r="AG589" s="2" t="s">
        <v>772</v>
      </c>
      <c r="AH589" s="2" t="s">
        <v>772</v>
      </c>
      <c r="AI589" s="14" t="s">
        <v>772</v>
      </c>
      <c r="AJ589" s="14" t="s">
        <v>772</v>
      </c>
      <c r="AK589" s="14" t="s">
        <v>772</v>
      </c>
      <c r="AL589" s="14" t="s">
        <v>772</v>
      </c>
      <c r="AM589" s="19">
        <v>0.23819444444444443</v>
      </c>
      <c r="AN589" s="8">
        <f>(5+(43/60))*AE589</f>
        <v>109.87433333333333</v>
      </c>
    </row>
    <row r="590" spans="1:63" ht="12.5" x14ac:dyDescent="0.25">
      <c r="A590" s="2">
        <v>353</v>
      </c>
      <c r="B590" s="2">
        <v>325</v>
      </c>
      <c r="C590" s="2">
        <v>2116</v>
      </c>
      <c r="E590" t="s">
        <v>1355</v>
      </c>
      <c r="K590" s="15"/>
      <c r="AE590" s="2">
        <v>23.82</v>
      </c>
      <c r="AF590" s="2" t="s">
        <v>772</v>
      </c>
      <c r="AG590" s="2" t="s">
        <v>772</v>
      </c>
      <c r="AH590" s="2" t="s">
        <v>772</v>
      </c>
      <c r="AI590" s="14" t="s">
        <v>772</v>
      </c>
      <c r="AJ590" s="14" t="s">
        <v>772</v>
      </c>
      <c r="AK590" s="14" t="s">
        <v>772</v>
      </c>
      <c r="AL590" s="14" t="s">
        <v>772</v>
      </c>
      <c r="AM590" s="19">
        <v>0.24722222222222223</v>
      </c>
      <c r="AN590" s="8">
        <f>(5+(56/60))*AE590</f>
        <v>141.33199999999999</v>
      </c>
    </row>
    <row r="591" spans="1:63" s="3" customFormat="1" x14ac:dyDescent="0.3">
      <c r="A591" s="4">
        <v>387</v>
      </c>
      <c r="B591" s="2">
        <v>326</v>
      </c>
      <c r="C591" s="4">
        <v>1364</v>
      </c>
      <c r="D591" s="4">
        <v>1221</v>
      </c>
      <c r="E591" s="3" t="s">
        <v>251</v>
      </c>
      <c r="G591" s="3" t="s">
        <v>1270</v>
      </c>
      <c r="H591" s="4"/>
      <c r="I591" s="4">
        <v>49.81</v>
      </c>
      <c r="J591" s="16">
        <v>1.7789999999999999</v>
      </c>
      <c r="K591" s="16">
        <v>1.0920000000000001</v>
      </c>
      <c r="L591" s="4"/>
      <c r="M591" s="9"/>
      <c r="N591" s="9"/>
      <c r="O591" s="9"/>
      <c r="P591" s="45"/>
      <c r="Q591" s="45"/>
      <c r="R591" s="45"/>
      <c r="S591" s="45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2">
        <v>50.21</v>
      </c>
      <c r="AF591" s="2">
        <v>46.94</v>
      </c>
      <c r="AG591" s="4">
        <v>44.65</v>
      </c>
      <c r="AH591" s="55">
        <v>49.81</v>
      </c>
      <c r="AI591" s="55" t="s">
        <v>772</v>
      </c>
      <c r="AJ591" s="55">
        <v>45.56</v>
      </c>
      <c r="AK591" s="55" t="s">
        <v>772</v>
      </c>
      <c r="AL591" s="55" t="s">
        <v>772</v>
      </c>
      <c r="AM591" s="22">
        <v>0.19166666666666668</v>
      </c>
      <c r="AN591" s="46">
        <f>(5+(27/60))*AJ591</f>
        <v>248.30200000000002</v>
      </c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</row>
    <row r="592" spans="1:63" s="3" customFormat="1" x14ac:dyDescent="0.3">
      <c r="A592" s="2">
        <v>321</v>
      </c>
      <c r="B592" s="2">
        <v>330</v>
      </c>
      <c r="C592" s="2">
        <v>757</v>
      </c>
      <c r="D592" s="2"/>
      <c r="E592" t="s">
        <v>1357</v>
      </c>
      <c r="H592" s="4"/>
      <c r="I592" s="4"/>
      <c r="J592" s="16"/>
      <c r="K592" s="16"/>
      <c r="L592" s="4"/>
      <c r="M592" s="9"/>
      <c r="N592" s="9"/>
      <c r="O592" s="9"/>
      <c r="P592" s="45"/>
      <c r="Q592" s="45"/>
      <c r="R592" s="45"/>
      <c r="S592" s="45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2">
        <v>60.69</v>
      </c>
      <c r="AF592" s="2" t="s">
        <v>772</v>
      </c>
      <c r="AG592" s="2" t="s">
        <v>772</v>
      </c>
      <c r="AH592" s="2" t="s">
        <v>772</v>
      </c>
      <c r="AI592" s="14" t="s">
        <v>772</v>
      </c>
      <c r="AJ592" s="14" t="s">
        <v>772</v>
      </c>
      <c r="AK592" s="14" t="s">
        <v>772</v>
      </c>
      <c r="AL592" s="14" t="s">
        <v>772</v>
      </c>
      <c r="AM592" s="19">
        <v>0.30208333333333331</v>
      </c>
      <c r="AN592" s="8">
        <f>(7+(15/60))*AE592</f>
        <v>440.0025</v>
      </c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</row>
    <row r="593" spans="1:63" ht="12.5" x14ac:dyDescent="0.25">
      <c r="A593" s="2">
        <v>331</v>
      </c>
      <c r="B593" s="2">
        <v>296</v>
      </c>
      <c r="C593" s="2">
        <v>999</v>
      </c>
      <c r="E593" t="s">
        <v>218</v>
      </c>
      <c r="G593" t="s">
        <v>1264</v>
      </c>
      <c r="I593" s="2">
        <v>63.25</v>
      </c>
      <c r="J593" s="15">
        <v>2.2589999999999999</v>
      </c>
      <c r="K593" s="15">
        <v>1.8520000000000001</v>
      </c>
      <c r="AE593" s="2">
        <v>55.3</v>
      </c>
      <c r="AF593" s="2">
        <v>63.16</v>
      </c>
      <c r="AG593" s="2">
        <v>65.53</v>
      </c>
      <c r="AH593" s="2">
        <v>63.25</v>
      </c>
      <c r="AI593" s="2" t="s">
        <v>772</v>
      </c>
      <c r="AJ593" s="2">
        <v>66.97</v>
      </c>
      <c r="AK593" s="2" t="s">
        <v>772</v>
      </c>
      <c r="AL593" s="2" t="s">
        <v>772</v>
      </c>
      <c r="AM593" s="19">
        <v>0.11180555555555556</v>
      </c>
      <c r="AN593" s="8">
        <f>(2+(41/60))*AJ593</f>
        <v>179.70283333333336</v>
      </c>
    </row>
    <row r="594" spans="1:63" x14ac:dyDescent="0.3">
      <c r="A594" s="2">
        <v>332</v>
      </c>
      <c r="B594" s="2">
        <v>329</v>
      </c>
      <c r="C594" s="2">
        <v>1829</v>
      </c>
      <c r="E594" t="s">
        <v>381</v>
      </c>
      <c r="AE594" s="2">
        <v>24.51</v>
      </c>
      <c r="AF594" s="2" t="s">
        <v>772</v>
      </c>
      <c r="AG594" s="2" t="s">
        <v>772</v>
      </c>
      <c r="AH594" s="14" t="s">
        <v>772</v>
      </c>
      <c r="AI594" s="14" t="s">
        <v>772</v>
      </c>
      <c r="AJ594" s="14" t="s">
        <v>772</v>
      </c>
      <c r="AK594" s="14" t="s">
        <v>772</v>
      </c>
      <c r="AL594" s="54" t="s">
        <v>772</v>
      </c>
      <c r="AM594" s="19">
        <v>0.2</v>
      </c>
      <c r="AN594" s="8">
        <f>(4+(48/60))*AE594</f>
        <v>117.648</v>
      </c>
    </row>
    <row r="595" spans="1:63" s="3" customFormat="1" x14ac:dyDescent="0.3">
      <c r="A595" s="4">
        <v>248</v>
      </c>
      <c r="B595" s="4">
        <v>333</v>
      </c>
      <c r="C595" s="4">
        <v>560</v>
      </c>
      <c r="D595" s="4">
        <v>910</v>
      </c>
      <c r="E595" s="3" t="s">
        <v>230</v>
      </c>
      <c r="H595" s="4"/>
      <c r="I595" s="4">
        <v>82.42</v>
      </c>
      <c r="J595" s="16">
        <v>2.9430000000000001</v>
      </c>
      <c r="K595" s="16">
        <v>2.4500000000000002</v>
      </c>
      <c r="L595" s="4"/>
      <c r="M595" s="9"/>
      <c r="N595" s="9"/>
      <c r="O595" s="9"/>
      <c r="P595" s="45"/>
      <c r="Q595" s="45"/>
      <c r="R595" s="45"/>
      <c r="S595" s="45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4">
        <v>85.74</v>
      </c>
      <c r="AF595" s="4">
        <v>79.8</v>
      </c>
      <c r="AG595" s="4">
        <v>100.8</v>
      </c>
      <c r="AH595" s="4">
        <v>82.42</v>
      </c>
      <c r="AI595" s="4" t="s">
        <v>772</v>
      </c>
      <c r="AJ595" s="4">
        <v>78.13</v>
      </c>
      <c r="AK595" s="4" t="s">
        <v>772</v>
      </c>
      <c r="AL595" s="4" t="s">
        <v>772</v>
      </c>
      <c r="AM595" s="22">
        <v>9.7916666666666666E-2</v>
      </c>
      <c r="AN595" s="46">
        <f>(2+(21/60))*AJ595</f>
        <v>183.60550000000001</v>
      </c>
      <c r="AX595" s="55">
        <v>172.8</v>
      </c>
      <c r="AY595" s="55">
        <v>153.30000000000001</v>
      </c>
      <c r="AZ595" s="55">
        <v>170.3</v>
      </c>
      <c r="BA595" s="55">
        <v>191</v>
      </c>
      <c r="BB595" s="55">
        <v>152.9</v>
      </c>
      <c r="BC595" s="55">
        <v>158.1</v>
      </c>
      <c r="BD595" s="55">
        <v>159.1</v>
      </c>
      <c r="BE595" s="55">
        <v>150.1</v>
      </c>
      <c r="BF595" s="55">
        <v>177.6</v>
      </c>
      <c r="BG595" s="55">
        <v>173.1</v>
      </c>
      <c r="BH595" s="55">
        <v>184.3</v>
      </c>
      <c r="BI595" s="55">
        <v>174.7</v>
      </c>
      <c r="BJ595" s="55">
        <v>197.5</v>
      </c>
      <c r="BK595" s="9"/>
    </row>
    <row r="596" spans="1:63" x14ac:dyDescent="0.3">
      <c r="A596" s="2">
        <v>305</v>
      </c>
      <c r="B596" s="2">
        <v>309</v>
      </c>
      <c r="C596" s="2">
        <v>1460</v>
      </c>
      <c r="D596" s="2">
        <v>1684</v>
      </c>
      <c r="E596" t="s">
        <v>598</v>
      </c>
      <c r="F596" t="s">
        <v>599</v>
      </c>
      <c r="AE596" s="2">
        <v>21.88</v>
      </c>
      <c r="AF596" s="2" t="s">
        <v>772</v>
      </c>
      <c r="AG596" s="2" t="s">
        <v>772</v>
      </c>
      <c r="AH596" s="14" t="s">
        <v>772</v>
      </c>
      <c r="AI596" s="14" t="s">
        <v>772</v>
      </c>
      <c r="AJ596" s="14" t="s">
        <v>772</v>
      </c>
      <c r="AK596" s="14" t="s">
        <v>772</v>
      </c>
      <c r="AL596" s="54" t="s">
        <v>772</v>
      </c>
      <c r="AM596" s="19">
        <v>0.50486111111111109</v>
      </c>
      <c r="AN596" s="8">
        <f>(12+(7/60))*AE596</f>
        <v>265.11266666666666</v>
      </c>
    </row>
    <row r="597" spans="1:63" x14ac:dyDescent="0.3">
      <c r="A597" s="2">
        <v>329</v>
      </c>
      <c r="B597" s="2">
        <v>335</v>
      </c>
      <c r="C597" s="2">
        <v>1928</v>
      </c>
      <c r="E597" t="s">
        <v>1358</v>
      </c>
      <c r="AE597" s="2">
        <v>18.29</v>
      </c>
      <c r="AF597" s="2" t="s">
        <v>772</v>
      </c>
      <c r="AG597" s="2" t="s">
        <v>772</v>
      </c>
      <c r="AH597" s="14" t="s">
        <v>772</v>
      </c>
      <c r="AI597" s="14" t="s">
        <v>772</v>
      </c>
      <c r="AJ597" s="14" t="s">
        <v>772</v>
      </c>
      <c r="AK597" s="14" t="s">
        <v>772</v>
      </c>
      <c r="AL597" s="54" t="s">
        <v>772</v>
      </c>
      <c r="AM597" s="19">
        <v>0.20833333333333334</v>
      </c>
      <c r="AN597" s="8">
        <f>(5+(1/60))*AE597</f>
        <v>91.754833333333323</v>
      </c>
    </row>
    <row r="598" spans="1:63" x14ac:dyDescent="0.3">
      <c r="A598" s="2">
        <v>336</v>
      </c>
      <c r="B598" s="2">
        <v>318</v>
      </c>
      <c r="C598" s="2">
        <v>511</v>
      </c>
      <c r="E598" s="138" t="s">
        <v>386</v>
      </c>
      <c r="AE598" s="2">
        <v>99.37</v>
      </c>
      <c r="AF598" s="2" t="s">
        <v>772</v>
      </c>
      <c r="AG598" s="2" t="s">
        <v>772</v>
      </c>
      <c r="AH598" s="14" t="s">
        <v>772</v>
      </c>
      <c r="AI598" s="14" t="s">
        <v>772</v>
      </c>
      <c r="AJ598" s="14" t="s">
        <v>772</v>
      </c>
      <c r="AK598" s="14" t="s">
        <v>772</v>
      </c>
      <c r="AL598" s="54" t="s">
        <v>772</v>
      </c>
      <c r="AM598" s="19">
        <v>9.3055555555555558E-2</v>
      </c>
      <c r="AN598" s="8">
        <f>(4+(7/60))*AE598</f>
        <v>409.07316666666662</v>
      </c>
    </row>
    <row r="599" spans="1:63" x14ac:dyDescent="0.3">
      <c r="A599" s="2">
        <v>371</v>
      </c>
      <c r="B599" s="2">
        <v>337</v>
      </c>
      <c r="C599" s="2">
        <v>2244</v>
      </c>
      <c r="E599" t="s">
        <v>454</v>
      </c>
      <c r="AE599" s="2">
        <v>16.399999999999999</v>
      </c>
      <c r="AF599" s="2" t="s">
        <v>772</v>
      </c>
      <c r="AG599" s="2" t="s">
        <v>772</v>
      </c>
      <c r="AH599" s="14" t="s">
        <v>772</v>
      </c>
      <c r="AI599" s="14" t="s">
        <v>772</v>
      </c>
      <c r="AJ599" s="14" t="s">
        <v>772</v>
      </c>
      <c r="AK599" s="14" t="s">
        <v>772</v>
      </c>
      <c r="AL599" s="54" t="s">
        <v>772</v>
      </c>
      <c r="AM599" s="19">
        <v>0.24513888888888888</v>
      </c>
      <c r="AN599" s="8">
        <f>(5+(53/60))*AE599</f>
        <v>96.48666666666665</v>
      </c>
    </row>
    <row r="600" spans="1:63" x14ac:dyDescent="0.3">
      <c r="A600" s="2">
        <v>338</v>
      </c>
      <c r="B600" s="2">
        <v>338</v>
      </c>
      <c r="C600" s="2">
        <v>2001</v>
      </c>
      <c r="E600" t="s">
        <v>1359</v>
      </c>
      <c r="AE600" s="2">
        <v>18.86</v>
      </c>
      <c r="AF600" s="2" t="s">
        <v>772</v>
      </c>
      <c r="AG600" s="2" t="s">
        <v>772</v>
      </c>
      <c r="AH600" s="14" t="s">
        <v>772</v>
      </c>
      <c r="AI600" s="14" t="s">
        <v>772</v>
      </c>
      <c r="AJ600" s="14" t="s">
        <v>772</v>
      </c>
      <c r="AK600" s="14" t="s">
        <v>772</v>
      </c>
      <c r="AL600" s="54" t="s">
        <v>772</v>
      </c>
      <c r="AM600" s="19">
        <v>0.35486111111111113</v>
      </c>
      <c r="AN600" s="8">
        <f>(8+(31/60))*AE600</f>
        <v>160.62433333333334</v>
      </c>
    </row>
    <row r="601" spans="1:63" x14ac:dyDescent="0.3">
      <c r="A601" s="2">
        <v>339</v>
      </c>
      <c r="B601" s="2">
        <v>388</v>
      </c>
      <c r="E601" t="s">
        <v>402</v>
      </c>
      <c r="AE601" s="2">
        <v>19.510000000000002</v>
      </c>
      <c r="AF601" s="2" t="s">
        <v>772</v>
      </c>
      <c r="AG601" s="2" t="s">
        <v>772</v>
      </c>
      <c r="AH601" s="14" t="s">
        <v>772</v>
      </c>
      <c r="AI601" s="14" t="s">
        <v>772</v>
      </c>
      <c r="AJ601" s="14" t="s">
        <v>772</v>
      </c>
      <c r="AK601" s="14" t="s">
        <v>772</v>
      </c>
      <c r="AL601" s="54" t="s">
        <v>772</v>
      </c>
      <c r="AM601" s="19">
        <v>0.12777777777777777</v>
      </c>
      <c r="AN601" s="8">
        <f>(8+(31/60))*AE601</f>
        <v>166.1601666666667</v>
      </c>
    </row>
    <row r="602" spans="1:63" x14ac:dyDescent="0.3">
      <c r="A602" s="2">
        <v>340</v>
      </c>
      <c r="C602" s="2">
        <v>427</v>
      </c>
      <c r="E602" s="138" t="s">
        <v>261</v>
      </c>
      <c r="AH602" s="14"/>
      <c r="AI602" s="14"/>
      <c r="AJ602" s="14"/>
      <c r="AK602" s="14"/>
      <c r="AL602" s="50"/>
    </row>
    <row r="603" spans="1:63" x14ac:dyDescent="0.3">
      <c r="A603" s="2">
        <v>341</v>
      </c>
      <c r="B603" s="2">
        <v>492</v>
      </c>
      <c r="E603" t="s">
        <v>395</v>
      </c>
      <c r="AH603" s="14"/>
      <c r="AI603" s="14"/>
      <c r="AJ603" s="14"/>
      <c r="AK603" s="14"/>
      <c r="AL603" s="50"/>
    </row>
    <row r="604" spans="1:63" ht="12.5" x14ac:dyDescent="0.25">
      <c r="A604" s="2">
        <v>342</v>
      </c>
      <c r="B604" s="2">
        <v>350</v>
      </c>
      <c r="C604" s="2">
        <v>833</v>
      </c>
      <c r="E604" t="s">
        <v>285</v>
      </c>
      <c r="I604" s="2">
        <v>74.709999999999994</v>
      </c>
      <c r="J604" s="15">
        <v>2.6680000000000001</v>
      </c>
      <c r="K604" s="15">
        <v>1.913</v>
      </c>
      <c r="AE604" s="2">
        <v>55.87</v>
      </c>
      <c r="AF604" s="2">
        <v>68.290000000000006</v>
      </c>
      <c r="AG604" s="2">
        <v>66.02</v>
      </c>
      <c r="AH604" s="2">
        <v>74.709999999999994</v>
      </c>
      <c r="AI604" s="14" t="s">
        <v>772</v>
      </c>
      <c r="AJ604" s="14" t="s">
        <v>772</v>
      </c>
      <c r="AK604" s="14" t="s">
        <v>772</v>
      </c>
      <c r="AL604" s="14" t="s">
        <v>772</v>
      </c>
      <c r="AM604" s="19">
        <v>0.13055555555555556</v>
      </c>
      <c r="AN604" s="8">
        <f>(3+(8/60))*AH604</f>
        <v>234.09133333333332</v>
      </c>
    </row>
    <row r="605" spans="1:63" ht="12.5" x14ac:dyDescent="0.25">
      <c r="A605" s="2">
        <v>344</v>
      </c>
      <c r="E605" t="s">
        <v>1360</v>
      </c>
      <c r="J605" s="54"/>
      <c r="K605" s="54"/>
      <c r="AE605" s="2"/>
      <c r="AG605" s="2"/>
      <c r="AH605" s="2"/>
      <c r="AI605" s="2"/>
      <c r="AJ605" s="2"/>
      <c r="AK605" s="14"/>
      <c r="AL605" s="50"/>
      <c r="AM605" s="19"/>
      <c r="AN605" s="57"/>
      <c r="AT605" s="8"/>
      <c r="AU605" s="48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</row>
    <row r="606" spans="1:63" ht="12.5" x14ac:dyDescent="0.25">
      <c r="A606" s="2">
        <v>345</v>
      </c>
      <c r="C606" s="2">
        <v>208</v>
      </c>
      <c r="E606" t="s">
        <v>1361</v>
      </c>
      <c r="J606" s="54"/>
      <c r="K606" s="54"/>
      <c r="AE606" s="2"/>
      <c r="AG606" s="2"/>
      <c r="AH606" s="2"/>
      <c r="AI606" s="2"/>
      <c r="AJ606" s="2"/>
      <c r="AK606" s="14"/>
      <c r="AL606" s="50"/>
      <c r="AM606" s="19"/>
      <c r="AN606" s="57"/>
      <c r="AT606" s="8"/>
      <c r="AU606" s="48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</row>
    <row r="607" spans="1:63" ht="12.5" x14ac:dyDescent="0.25">
      <c r="A607" s="2">
        <v>346</v>
      </c>
      <c r="E607" t="s">
        <v>1362</v>
      </c>
      <c r="J607" s="54"/>
      <c r="K607" s="54"/>
      <c r="AE607" s="2"/>
      <c r="AG607" s="2"/>
      <c r="AH607" s="2"/>
      <c r="AI607" s="2"/>
      <c r="AJ607" s="2"/>
      <c r="AK607" s="14"/>
      <c r="AL607" s="50"/>
      <c r="AM607" s="19"/>
      <c r="AN607" s="57"/>
      <c r="AT607" s="8"/>
      <c r="AU607" s="48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</row>
    <row r="608" spans="1:63" s="3" customFormat="1" x14ac:dyDescent="0.3">
      <c r="A608" s="4">
        <v>347</v>
      </c>
      <c r="B608" s="4">
        <v>435</v>
      </c>
      <c r="C608" s="4"/>
      <c r="D608" s="4"/>
      <c r="E608" s="3" t="s">
        <v>435</v>
      </c>
      <c r="F608" s="3" t="s">
        <v>6</v>
      </c>
      <c r="H608" s="4"/>
      <c r="I608" s="4"/>
      <c r="J608" s="16"/>
      <c r="K608" s="16"/>
      <c r="L608" s="4"/>
      <c r="M608" s="9"/>
      <c r="N608" s="9"/>
      <c r="O608" s="9"/>
      <c r="P608" s="45"/>
      <c r="Q608" s="45"/>
      <c r="R608" s="45"/>
      <c r="S608" s="45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4"/>
      <c r="AG608" s="9"/>
      <c r="AH608" s="45"/>
      <c r="AI608" s="45"/>
      <c r="AJ608" s="45"/>
      <c r="AK608" s="45"/>
      <c r="AL608" s="51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</row>
    <row r="609" spans="1:40" ht="12.5" x14ac:dyDescent="0.25">
      <c r="A609" s="2">
        <v>348</v>
      </c>
      <c r="B609" s="2">
        <v>364</v>
      </c>
      <c r="C609" s="2">
        <v>1830</v>
      </c>
      <c r="E609" t="s">
        <v>129</v>
      </c>
      <c r="F609" t="s">
        <v>690</v>
      </c>
      <c r="H609" s="2">
        <v>1000</v>
      </c>
      <c r="I609" s="2">
        <v>54.92</v>
      </c>
      <c r="J609" s="15">
        <v>1.9610000000000001</v>
      </c>
      <c r="K609" s="15">
        <v>1.786</v>
      </c>
      <c r="AE609" s="2">
        <v>39.450000000000003</v>
      </c>
      <c r="AF609" s="2">
        <v>53.86</v>
      </c>
      <c r="AG609" s="2">
        <v>52.27</v>
      </c>
      <c r="AH609" s="2">
        <v>54.92</v>
      </c>
      <c r="AI609" s="14" t="s">
        <v>772</v>
      </c>
      <c r="AJ609" s="2">
        <v>67.97</v>
      </c>
      <c r="AK609" s="2" t="s">
        <v>772</v>
      </c>
      <c r="AL609" s="2" t="s">
        <v>772</v>
      </c>
      <c r="AM609" s="19">
        <v>3.4027777777777775E-2</v>
      </c>
      <c r="AN609" s="8">
        <f>(1+(33/60))*AJ609</f>
        <v>105.3535</v>
      </c>
    </row>
    <row r="610" spans="1:40" x14ac:dyDescent="0.3">
      <c r="A610" s="2">
        <v>349</v>
      </c>
      <c r="B610" s="2">
        <v>413</v>
      </c>
      <c r="C610" s="2">
        <v>200</v>
      </c>
      <c r="E610" s="138" t="s">
        <v>413</v>
      </c>
      <c r="AH610" s="14"/>
      <c r="AI610" s="14"/>
      <c r="AJ610" s="14"/>
      <c r="AK610" s="14"/>
      <c r="AL610" s="50"/>
    </row>
    <row r="611" spans="1:40" x14ac:dyDescent="0.3">
      <c r="E611" s="138" t="s">
        <v>1609</v>
      </c>
      <c r="AH611" s="14"/>
      <c r="AI611" s="14"/>
      <c r="AJ611" s="14"/>
      <c r="AK611" s="14"/>
      <c r="AL611" s="50"/>
    </row>
    <row r="612" spans="1:40" x14ac:dyDescent="0.3">
      <c r="A612" s="2">
        <v>350</v>
      </c>
      <c r="C612" s="2">
        <v>520</v>
      </c>
      <c r="E612" s="138" t="s">
        <v>1363</v>
      </c>
      <c r="AH612" s="14"/>
      <c r="AI612" s="14"/>
      <c r="AJ612" s="14"/>
      <c r="AK612" s="14"/>
      <c r="AL612" s="50"/>
    </row>
    <row r="613" spans="1:40" x14ac:dyDescent="0.3">
      <c r="E613" s="138" t="s">
        <v>1646</v>
      </c>
      <c r="AH613" s="14"/>
      <c r="AI613" s="14"/>
      <c r="AJ613" s="14"/>
      <c r="AK613" s="14"/>
      <c r="AL613" s="50"/>
    </row>
    <row r="614" spans="1:40" x14ac:dyDescent="0.3">
      <c r="E614" s="138" t="s">
        <v>1726</v>
      </c>
      <c r="AH614" s="14"/>
      <c r="AI614" s="14"/>
      <c r="AJ614" s="14"/>
      <c r="AK614" s="14"/>
      <c r="AL614" s="50"/>
    </row>
    <row r="615" spans="1:40" x14ac:dyDescent="0.3">
      <c r="A615" s="2">
        <v>351</v>
      </c>
      <c r="B615" s="2">
        <v>441</v>
      </c>
      <c r="E615" t="s">
        <v>441</v>
      </c>
      <c r="AH615" s="14"/>
      <c r="AI615" s="14"/>
      <c r="AJ615" s="14"/>
      <c r="AK615" s="14"/>
      <c r="AL615" s="50"/>
    </row>
    <row r="616" spans="1:40" ht="12.5" x14ac:dyDescent="0.25">
      <c r="A616" s="2">
        <v>353</v>
      </c>
      <c r="B616" s="2">
        <v>254</v>
      </c>
      <c r="C616" s="2">
        <v>1294</v>
      </c>
      <c r="E616" t="s">
        <v>263</v>
      </c>
      <c r="G616" t="s">
        <v>1259</v>
      </c>
      <c r="I616" s="2">
        <v>40.85</v>
      </c>
      <c r="J616" s="15">
        <v>1.4590000000000001</v>
      </c>
      <c r="K616" s="15">
        <v>1.087</v>
      </c>
      <c r="AE616" s="2">
        <v>53.61</v>
      </c>
      <c r="AF616" s="2">
        <v>43.54</v>
      </c>
      <c r="AG616" s="2">
        <v>46.17</v>
      </c>
      <c r="AH616" s="2">
        <v>40.85</v>
      </c>
      <c r="AI616" s="14" t="s">
        <v>772</v>
      </c>
      <c r="AJ616" s="14" t="s">
        <v>772</v>
      </c>
      <c r="AK616" s="14" t="s">
        <v>772</v>
      </c>
      <c r="AL616" s="14" t="s">
        <v>772</v>
      </c>
      <c r="AM616" s="19">
        <v>0.10625</v>
      </c>
      <c r="AN616" s="8">
        <f>(2+(44/60))*AH616</f>
        <v>111.65666666666667</v>
      </c>
    </row>
    <row r="617" spans="1:40" x14ac:dyDescent="0.3">
      <c r="A617" s="2">
        <v>356</v>
      </c>
      <c r="B617" s="2">
        <v>477</v>
      </c>
      <c r="E617" t="s">
        <v>481</v>
      </c>
      <c r="AH617" s="14"/>
      <c r="AI617" s="14"/>
      <c r="AJ617" s="14"/>
      <c r="AK617" s="14"/>
      <c r="AL617" s="50"/>
    </row>
    <row r="618" spans="1:40" ht="12.5" x14ac:dyDescent="0.25">
      <c r="A618" s="2">
        <v>357</v>
      </c>
      <c r="B618" s="2">
        <v>354</v>
      </c>
      <c r="C618" s="2">
        <v>2086</v>
      </c>
      <c r="E618" t="s">
        <v>312</v>
      </c>
      <c r="G618" t="s">
        <v>1295</v>
      </c>
      <c r="I618" s="2">
        <v>25.26</v>
      </c>
      <c r="J618" s="15">
        <v>0.90221700000000005</v>
      </c>
      <c r="K618" s="15">
        <v>0.75537299999999996</v>
      </c>
      <c r="AE618" s="2">
        <v>21.31</v>
      </c>
      <c r="AF618" s="2">
        <v>26.2</v>
      </c>
      <c r="AG618" s="2">
        <v>29.84</v>
      </c>
      <c r="AH618" s="2">
        <v>25.26</v>
      </c>
      <c r="AI618" s="14" t="s">
        <v>772</v>
      </c>
      <c r="AJ618" s="14" t="s">
        <v>772</v>
      </c>
      <c r="AK618" s="14" t="s">
        <v>772</v>
      </c>
      <c r="AL618" s="14" t="s">
        <v>772</v>
      </c>
      <c r="AM618" s="19">
        <v>0.17499999999999999</v>
      </c>
      <c r="AN618" s="8">
        <f>(4+(11/60))*AH618</f>
        <v>105.67100000000001</v>
      </c>
    </row>
    <row r="619" spans="1:40" ht="12.5" x14ac:dyDescent="0.25">
      <c r="A619" s="2">
        <v>358</v>
      </c>
      <c r="B619" s="2">
        <v>376</v>
      </c>
      <c r="C619" s="2">
        <v>2254</v>
      </c>
      <c r="E619" t="s">
        <v>280</v>
      </c>
      <c r="G619" t="s">
        <v>1273</v>
      </c>
      <c r="I619" s="2">
        <v>23.13</v>
      </c>
      <c r="J619" s="15">
        <v>0.82627600000000001</v>
      </c>
      <c r="K619" s="15">
        <v>0.48430899999999999</v>
      </c>
      <c r="AE619" s="2">
        <v>26.28</v>
      </c>
      <c r="AF619" s="2">
        <v>36.32</v>
      </c>
      <c r="AG619" s="2">
        <v>35.200000000000003</v>
      </c>
      <c r="AH619" s="2">
        <v>23.13</v>
      </c>
      <c r="AI619" s="14" t="s">
        <v>772</v>
      </c>
      <c r="AJ619" s="14" t="s">
        <v>772</v>
      </c>
      <c r="AK619" s="14" t="s">
        <v>772</v>
      </c>
      <c r="AL619" s="14" t="s">
        <v>772</v>
      </c>
      <c r="AM619" s="19">
        <v>0.19791666666666666</v>
      </c>
      <c r="AN619" s="8">
        <f>(6+(28/60))*AH619</f>
        <v>149.57399999999998</v>
      </c>
    </row>
    <row r="620" spans="1:40" ht="12.5" x14ac:dyDescent="0.25">
      <c r="A620" s="2">
        <v>359</v>
      </c>
      <c r="B620" s="2">
        <v>331</v>
      </c>
      <c r="C620" s="2">
        <v>1678</v>
      </c>
      <c r="E620" t="s">
        <v>452</v>
      </c>
      <c r="G620" t="s">
        <v>1318</v>
      </c>
      <c r="I620" s="2">
        <v>23.89</v>
      </c>
      <c r="J620" s="15">
        <v>0.85336299999999998</v>
      </c>
      <c r="K620" s="15">
        <v>0.62627100000000002</v>
      </c>
      <c r="AE620" s="2">
        <v>21</v>
      </c>
      <c r="AF620" s="2">
        <v>21.26</v>
      </c>
      <c r="AG620" s="2">
        <v>23.89</v>
      </c>
      <c r="AH620" s="2" t="s">
        <v>772</v>
      </c>
      <c r="AI620" s="2" t="s">
        <v>772</v>
      </c>
      <c r="AJ620" s="2" t="s">
        <v>772</v>
      </c>
      <c r="AK620" s="2" t="s">
        <v>772</v>
      </c>
      <c r="AL620" s="2" t="s">
        <v>772</v>
      </c>
      <c r="AM620" s="19">
        <v>0.31041666666666667</v>
      </c>
      <c r="AN620" s="8">
        <f>(7+(57/60))*AG620</f>
        <v>189.9255</v>
      </c>
    </row>
    <row r="621" spans="1:40" x14ac:dyDescent="0.3">
      <c r="A621" s="2">
        <v>360</v>
      </c>
      <c r="B621" s="2">
        <v>284</v>
      </c>
      <c r="C621" s="2">
        <v>900</v>
      </c>
      <c r="E621" t="s">
        <v>336</v>
      </c>
      <c r="F621" t="s">
        <v>540</v>
      </c>
      <c r="I621" s="2">
        <v>54.77</v>
      </c>
      <c r="J621" s="15">
        <v>1.956</v>
      </c>
      <c r="K621" s="16">
        <v>1.486</v>
      </c>
      <c r="AE621" s="2">
        <v>34.659999999999997</v>
      </c>
      <c r="AF621" s="2">
        <v>33.369999999999997</v>
      </c>
      <c r="AG621" s="2">
        <v>54.77</v>
      </c>
      <c r="AH621" s="14" t="s">
        <v>772</v>
      </c>
      <c r="AI621" s="14" t="s">
        <v>772</v>
      </c>
      <c r="AJ621" s="14" t="s">
        <v>772</v>
      </c>
      <c r="AK621" s="14" t="s">
        <v>772</v>
      </c>
      <c r="AL621" s="14" t="s">
        <v>772</v>
      </c>
      <c r="AM621" s="19">
        <v>0.34791666666666665</v>
      </c>
      <c r="AN621" s="8">
        <f>(8+(21/60))*AG621</f>
        <v>457.3295</v>
      </c>
    </row>
    <row r="622" spans="1:40" x14ac:dyDescent="0.3">
      <c r="A622" s="2">
        <v>361</v>
      </c>
      <c r="B622" s="2">
        <v>423</v>
      </c>
      <c r="E622" t="s">
        <v>447</v>
      </c>
      <c r="F622" t="s">
        <v>540</v>
      </c>
      <c r="AH622" s="14"/>
      <c r="AI622" s="14"/>
      <c r="AJ622" s="14"/>
      <c r="AK622" s="14"/>
      <c r="AL622" s="50"/>
    </row>
    <row r="623" spans="1:40" x14ac:dyDescent="0.3">
      <c r="A623" s="2">
        <v>363</v>
      </c>
      <c r="B623" s="2">
        <v>431</v>
      </c>
      <c r="E623" t="s">
        <v>455</v>
      </c>
      <c r="AH623" s="14"/>
      <c r="AI623" s="14"/>
      <c r="AJ623" s="14"/>
      <c r="AK623" s="14"/>
      <c r="AL623" s="50"/>
    </row>
    <row r="624" spans="1:40" x14ac:dyDescent="0.3">
      <c r="A624" s="2">
        <v>364</v>
      </c>
      <c r="C624" s="2">
        <v>868</v>
      </c>
      <c r="E624" t="s">
        <v>1364</v>
      </c>
      <c r="F624" t="s">
        <v>1233</v>
      </c>
      <c r="AH624" s="14"/>
      <c r="AI624" s="14"/>
      <c r="AJ624" s="14"/>
      <c r="AK624" s="14"/>
      <c r="AL624" s="50"/>
    </row>
    <row r="625" spans="1:40" x14ac:dyDescent="0.3">
      <c r="A625" s="2">
        <v>365</v>
      </c>
      <c r="E625" t="s">
        <v>1365</v>
      </c>
      <c r="AH625" s="14"/>
      <c r="AI625" s="14"/>
      <c r="AJ625" s="14"/>
      <c r="AK625" s="14"/>
      <c r="AL625" s="50"/>
    </row>
    <row r="626" spans="1:40" x14ac:dyDescent="0.3">
      <c r="A626" s="2">
        <v>366</v>
      </c>
      <c r="B626" s="2">
        <v>340</v>
      </c>
      <c r="C626" s="2">
        <v>1928</v>
      </c>
      <c r="E626" t="s">
        <v>369</v>
      </c>
      <c r="G626" t="s">
        <v>540</v>
      </c>
      <c r="H626" s="2">
        <v>0</v>
      </c>
      <c r="AE626" s="2">
        <v>22.68</v>
      </c>
      <c r="AF626" s="2" t="s">
        <v>772</v>
      </c>
      <c r="AG626" s="2" t="s">
        <v>772</v>
      </c>
      <c r="AH626" s="14" t="s">
        <v>772</v>
      </c>
      <c r="AI626" s="14" t="s">
        <v>772</v>
      </c>
      <c r="AJ626" s="14" t="s">
        <v>772</v>
      </c>
      <c r="AK626" s="14" t="s">
        <v>772</v>
      </c>
      <c r="AL626" s="54" t="s">
        <v>772</v>
      </c>
      <c r="AM626" s="19">
        <v>0.20555555555555555</v>
      </c>
      <c r="AN626" s="8">
        <f>(4+(56/60))*AE626</f>
        <v>111.88800000000001</v>
      </c>
    </row>
    <row r="627" spans="1:40" x14ac:dyDescent="0.3">
      <c r="A627" s="2">
        <v>368</v>
      </c>
      <c r="B627" s="2">
        <v>357</v>
      </c>
      <c r="C627" s="2">
        <v>2110</v>
      </c>
      <c r="E627" t="s">
        <v>376</v>
      </c>
      <c r="AE627" s="2">
        <v>23.72</v>
      </c>
      <c r="AF627" s="2" t="s">
        <v>772</v>
      </c>
      <c r="AG627" s="2" t="s">
        <v>772</v>
      </c>
      <c r="AH627" s="14" t="s">
        <v>772</v>
      </c>
      <c r="AI627" s="14" t="s">
        <v>772</v>
      </c>
      <c r="AJ627" s="14" t="s">
        <v>772</v>
      </c>
      <c r="AK627" s="14" t="s">
        <v>772</v>
      </c>
      <c r="AL627" s="54" t="s">
        <v>772</v>
      </c>
      <c r="AM627" s="19">
        <v>0.17708333333333334</v>
      </c>
      <c r="AN627" s="8">
        <f>(4+(15/60))*AE627</f>
        <v>100.81</v>
      </c>
    </row>
    <row r="628" spans="1:40" x14ac:dyDescent="0.3">
      <c r="A628" s="2">
        <v>370</v>
      </c>
      <c r="E628" t="s">
        <v>370</v>
      </c>
      <c r="AE628" s="2"/>
      <c r="AG628" s="2"/>
      <c r="AH628" s="14"/>
      <c r="AI628" s="14"/>
      <c r="AJ628" s="14"/>
      <c r="AK628" s="14"/>
      <c r="AL628" s="54"/>
      <c r="AM628" s="19"/>
      <c r="AN628" s="8"/>
    </row>
    <row r="629" spans="1:40" x14ac:dyDescent="0.3">
      <c r="A629" s="2">
        <v>371</v>
      </c>
      <c r="E629" t="s">
        <v>1366</v>
      </c>
      <c r="AE629" s="2"/>
      <c r="AG629" s="2"/>
      <c r="AH629" s="14"/>
      <c r="AI629" s="14"/>
      <c r="AJ629" s="14"/>
      <c r="AK629" s="14"/>
      <c r="AL629" s="54"/>
      <c r="AM629" s="19"/>
      <c r="AN629" s="8"/>
    </row>
    <row r="630" spans="1:40" x14ac:dyDescent="0.3">
      <c r="A630" s="2">
        <v>372</v>
      </c>
      <c r="B630" s="2">
        <v>337</v>
      </c>
      <c r="C630" s="2">
        <v>1942</v>
      </c>
      <c r="E630" t="s">
        <v>382</v>
      </c>
      <c r="F630" t="s">
        <v>713</v>
      </c>
      <c r="H630" s="2">
        <v>2670</v>
      </c>
      <c r="AE630" s="2">
        <v>23.8</v>
      </c>
      <c r="AF630" s="2" t="s">
        <v>772</v>
      </c>
      <c r="AG630" s="2" t="s">
        <v>772</v>
      </c>
      <c r="AH630" s="14" t="s">
        <v>772</v>
      </c>
      <c r="AI630" s="14" t="s">
        <v>772</v>
      </c>
      <c r="AJ630" s="14" t="s">
        <v>772</v>
      </c>
      <c r="AK630" s="14" t="s">
        <v>772</v>
      </c>
      <c r="AL630" s="54" t="s">
        <v>772</v>
      </c>
      <c r="AM630" s="19">
        <v>0.15069444444444444</v>
      </c>
      <c r="AN630" s="8">
        <f>(3+(37/60))*AE630</f>
        <v>86.076666666666668</v>
      </c>
    </row>
    <row r="631" spans="1:40" ht="12.5" x14ac:dyDescent="0.25">
      <c r="A631" s="2">
        <v>373</v>
      </c>
      <c r="B631" s="2">
        <v>280</v>
      </c>
      <c r="C631" s="2">
        <v>638</v>
      </c>
      <c r="E631" s="138" t="s">
        <v>175</v>
      </c>
      <c r="I631" s="2">
        <v>109.4</v>
      </c>
      <c r="J631" s="15">
        <v>3.9079999999999999</v>
      </c>
      <c r="K631" s="15">
        <v>2.097</v>
      </c>
      <c r="AE631" s="2">
        <v>67.39</v>
      </c>
      <c r="AF631" s="2">
        <v>113.1</v>
      </c>
      <c r="AG631" s="2">
        <v>110.9</v>
      </c>
      <c r="AH631" s="2">
        <v>109.4</v>
      </c>
      <c r="AI631" s="14" t="s">
        <v>772</v>
      </c>
      <c r="AJ631" s="2">
        <v>128.9</v>
      </c>
      <c r="AK631" s="14" t="s">
        <v>772</v>
      </c>
      <c r="AL631" s="14" t="s">
        <v>772</v>
      </c>
      <c r="AM631" s="19">
        <v>0.54722222222222217</v>
      </c>
      <c r="AN631" s="8">
        <f>(13+(8/60))*AJ631</f>
        <v>1692.8866666666668</v>
      </c>
    </row>
    <row r="632" spans="1:40" ht="12.5" x14ac:dyDescent="0.25">
      <c r="E632" s="138" t="s">
        <v>1764</v>
      </c>
      <c r="K632" s="15"/>
      <c r="AE632" s="2"/>
      <c r="AG632" s="2"/>
      <c r="AH632" s="2"/>
      <c r="AI632" s="14"/>
      <c r="AJ632" s="2"/>
      <c r="AK632" s="14"/>
      <c r="AL632" s="14"/>
      <c r="AM632" s="19"/>
      <c r="AN632" s="8"/>
    </row>
    <row r="633" spans="1:40" x14ac:dyDescent="0.3">
      <c r="A633" s="2">
        <v>374</v>
      </c>
      <c r="B633" s="2">
        <v>497</v>
      </c>
      <c r="E633" t="s">
        <v>504</v>
      </c>
      <c r="AH633" s="14"/>
      <c r="AI633" s="14"/>
      <c r="AJ633" s="14"/>
      <c r="AK633" s="14"/>
      <c r="AL633" s="50"/>
    </row>
    <row r="634" spans="1:40" x14ac:dyDescent="0.3">
      <c r="A634" s="2">
        <v>375</v>
      </c>
      <c r="E634" t="s">
        <v>1367</v>
      </c>
      <c r="AH634" s="14"/>
      <c r="AI634" s="14"/>
      <c r="AJ634" s="14"/>
      <c r="AK634" s="14"/>
      <c r="AL634" s="50"/>
    </row>
    <row r="635" spans="1:40" x14ac:dyDescent="0.3">
      <c r="A635" s="2">
        <v>376</v>
      </c>
      <c r="C635" s="2">
        <v>655</v>
      </c>
      <c r="E635" t="s">
        <v>1368</v>
      </c>
      <c r="AH635" s="14"/>
      <c r="AI635" s="14"/>
      <c r="AJ635" s="14"/>
      <c r="AK635" s="14"/>
      <c r="AL635" s="50"/>
    </row>
    <row r="636" spans="1:40" x14ac:dyDescent="0.3">
      <c r="A636" s="2">
        <v>377</v>
      </c>
      <c r="B636" s="2">
        <v>442</v>
      </c>
      <c r="E636" t="s">
        <v>442</v>
      </c>
      <c r="AH636" s="14"/>
      <c r="AI636" s="14"/>
      <c r="AJ636" s="14"/>
      <c r="AK636" s="14"/>
      <c r="AL636" s="50"/>
    </row>
    <row r="637" spans="1:40" x14ac:dyDescent="0.3">
      <c r="A637" s="2">
        <v>378</v>
      </c>
      <c r="C637" s="2">
        <v>235</v>
      </c>
      <c r="E637" s="138" t="s">
        <v>1369</v>
      </c>
      <c r="AH637" s="14"/>
      <c r="AI637" s="14"/>
      <c r="AJ637" s="14"/>
      <c r="AK637" s="14"/>
      <c r="AL637" s="50"/>
    </row>
    <row r="638" spans="1:40" x14ac:dyDescent="0.3">
      <c r="A638" s="4">
        <v>379</v>
      </c>
      <c r="B638" s="2">
        <v>493</v>
      </c>
      <c r="C638" s="4">
        <v>441</v>
      </c>
      <c r="D638" s="4"/>
      <c r="E638" t="s">
        <v>499</v>
      </c>
      <c r="AH638" s="14"/>
      <c r="AI638" s="14"/>
      <c r="AJ638" s="14"/>
      <c r="AK638" s="14"/>
      <c r="AL638" s="50"/>
    </row>
    <row r="639" spans="1:40" x14ac:dyDescent="0.3">
      <c r="A639" s="2">
        <v>382</v>
      </c>
      <c r="B639" s="2">
        <v>334</v>
      </c>
      <c r="C639" s="2">
        <v>1248</v>
      </c>
      <c r="E639" t="s">
        <v>327</v>
      </c>
      <c r="G639" t="s">
        <v>1330</v>
      </c>
      <c r="AE639" s="2">
        <v>45.89</v>
      </c>
      <c r="AF639" s="2">
        <v>39.409999999999997</v>
      </c>
      <c r="AG639" s="2">
        <v>35.72</v>
      </c>
      <c r="AH639" s="14" t="s">
        <v>772</v>
      </c>
      <c r="AI639" s="14" t="s">
        <v>772</v>
      </c>
      <c r="AJ639" s="14" t="s">
        <v>772</v>
      </c>
      <c r="AK639" s="14" t="s">
        <v>772</v>
      </c>
      <c r="AL639" s="14" t="s">
        <v>772</v>
      </c>
      <c r="AM639" s="21">
        <v>7.9861111111111105E-2</v>
      </c>
      <c r="AN639" s="8">
        <f>(2+(3/60))*AG639</f>
        <v>73.225999999999985</v>
      </c>
    </row>
    <row r="640" spans="1:40" ht="12.5" x14ac:dyDescent="0.25">
      <c r="A640" s="2">
        <v>384</v>
      </c>
      <c r="B640" s="2">
        <v>476</v>
      </c>
      <c r="C640" s="2">
        <v>1855</v>
      </c>
      <c r="E640" t="s">
        <v>172</v>
      </c>
      <c r="F640" t="s">
        <v>6</v>
      </c>
      <c r="G640" t="s">
        <v>1268</v>
      </c>
      <c r="H640" s="2">
        <v>0</v>
      </c>
      <c r="I640" s="2">
        <v>85.97</v>
      </c>
      <c r="J640" s="15">
        <v>2.1579999999999999</v>
      </c>
      <c r="K640" s="15">
        <v>1.6830000000000001</v>
      </c>
      <c r="L640" s="2">
        <v>26.54</v>
      </c>
      <c r="AE640" s="2">
        <v>31.23</v>
      </c>
      <c r="AF640" s="2">
        <v>66.09</v>
      </c>
      <c r="AG640" s="2">
        <v>27.31</v>
      </c>
      <c r="AH640" s="2">
        <v>14.4</v>
      </c>
      <c r="AI640" s="2" t="s">
        <v>772</v>
      </c>
      <c r="AJ640" s="2">
        <v>35.39</v>
      </c>
      <c r="AK640" s="2" t="s">
        <v>772</v>
      </c>
      <c r="AL640" s="2" t="s">
        <v>772</v>
      </c>
      <c r="AM640" s="21">
        <v>8.1250000000000003E-2</v>
      </c>
      <c r="AN640" s="8">
        <f>(1+(57/60))*AJ640</f>
        <v>69.010499999999993</v>
      </c>
    </row>
    <row r="641" spans="1:62" ht="12.5" x14ac:dyDescent="0.25">
      <c r="A641" s="2">
        <v>385</v>
      </c>
      <c r="B641" s="2">
        <v>332</v>
      </c>
      <c r="C641" s="2">
        <v>363</v>
      </c>
      <c r="E641" t="s">
        <v>214</v>
      </c>
      <c r="F641" t="s">
        <v>706</v>
      </c>
      <c r="H641" s="2">
        <v>135900</v>
      </c>
      <c r="I641" s="2">
        <v>176.2</v>
      </c>
      <c r="J641" s="15">
        <v>6.2949999999999999</v>
      </c>
      <c r="K641" s="15">
        <v>3.6970000000000001</v>
      </c>
      <c r="AE641" s="2">
        <v>146.1</v>
      </c>
      <c r="AF641" s="2">
        <v>150.4</v>
      </c>
      <c r="AG641" s="2">
        <v>181.7</v>
      </c>
      <c r="AH641" s="2">
        <v>176.2</v>
      </c>
      <c r="AI641" s="2" t="s">
        <v>772</v>
      </c>
      <c r="AJ641" s="2">
        <v>180.8</v>
      </c>
      <c r="AK641" s="2" t="s">
        <v>772</v>
      </c>
      <c r="AL641" s="2" t="s">
        <v>772</v>
      </c>
      <c r="AM641" s="19">
        <v>0.26041666666666669</v>
      </c>
      <c r="AN641" s="8">
        <f>(6+(15/60))*AJ641</f>
        <v>1130</v>
      </c>
      <c r="AX641" s="8">
        <v>314.23970800000001</v>
      </c>
      <c r="AY641" s="8">
        <v>297.83355</v>
      </c>
      <c r="AZ641" s="8">
        <v>320.92489599999999</v>
      </c>
      <c r="BA641" s="8">
        <v>308.83760100000001</v>
      </c>
      <c r="BB641" s="8">
        <v>299.797956</v>
      </c>
      <c r="BC641" s="8">
        <v>280.05275599999999</v>
      </c>
      <c r="BD641" s="8">
        <v>305.595485</v>
      </c>
      <c r="BE641" s="8">
        <v>303.83640200000002</v>
      </c>
      <c r="BF641" s="8">
        <v>344.703731</v>
      </c>
      <c r="BG641" s="8">
        <v>361.07580799999999</v>
      </c>
      <c r="BH641" s="8">
        <v>416.89001400000001</v>
      </c>
      <c r="BI641" s="8">
        <v>401.40909699999997</v>
      </c>
      <c r="BJ641" s="8">
        <v>372.294871</v>
      </c>
    </row>
    <row r="642" spans="1:62" ht="12.5" x14ac:dyDescent="0.25">
      <c r="A642" s="2">
        <v>386</v>
      </c>
      <c r="B642" s="2">
        <v>363</v>
      </c>
      <c r="C642" s="2">
        <v>726</v>
      </c>
      <c r="E642" t="s">
        <v>302</v>
      </c>
      <c r="G642" t="s">
        <v>1288</v>
      </c>
      <c r="I642" s="2">
        <v>73.86</v>
      </c>
      <c r="J642" s="15">
        <v>2.6379999999999999</v>
      </c>
      <c r="K642" s="15">
        <v>2.2690000000000001</v>
      </c>
      <c r="AE642" s="2">
        <v>67.08</v>
      </c>
      <c r="AF642" s="2">
        <v>82.86</v>
      </c>
      <c r="AG642" s="2">
        <v>65.430000000000007</v>
      </c>
      <c r="AH642" s="2">
        <v>73.86</v>
      </c>
      <c r="AI642" s="14" t="s">
        <v>772</v>
      </c>
      <c r="AJ642" s="14" t="s">
        <v>772</v>
      </c>
      <c r="AK642" s="14" t="s">
        <v>772</v>
      </c>
      <c r="AL642" s="14" t="s">
        <v>772</v>
      </c>
      <c r="AM642" s="19">
        <v>5.1388888888888894E-2</v>
      </c>
      <c r="AN642" s="8">
        <f>(1+(14/60))*AH642</f>
        <v>91.094000000000008</v>
      </c>
    </row>
    <row r="643" spans="1:62" ht="12.5" x14ac:dyDescent="0.25">
      <c r="A643" s="2">
        <v>387</v>
      </c>
      <c r="E643" t="s">
        <v>1442</v>
      </c>
      <c r="F643" t="s">
        <v>1443</v>
      </c>
      <c r="K643" s="15"/>
      <c r="AE643" s="2"/>
      <c r="AG643" s="2"/>
      <c r="AH643" s="2"/>
      <c r="AI643" s="14"/>
      <c r="AJ643" s="14"/>
      <c r="AK643" s="14"/>
      <c r="AL643" s="14"/>
      <c r="AM643" s="19"/>
      <c r="AN643" s="8"/>
    </row>
    <row r="644" spans="1:62" x14ac:dyDescent="0.3">
      <c r="A644" s="2">
        <v>389</v>
      </c>
      <c r="B644" s="4"/>
      <c r="E644" t="s">
        <v>1370</v>
      </c>
      <c r="K644" s="15"/>
      <c r="AE644" s="2"/>
      <c r="AG644" s="2"/>
      <c r="AH644" s="2"/>
      <c r="AI644" s="14"/>
      <c r="AJ644" s="14"/>
      <c r="AK644" s="14"/>
      <c r="AL644" s="14"/>
      <c r="AM644" s="19"/>
      <c r="AN644" s="8"/>
    </row>
    <row r="645" spans="1:62" x14ac:dyDescent="0.3">
      <c r="A645" s="2">
        <v>391</v>
      </c>
      <c r="B645" s="4"/>
      <c r="E645" t="s">
        <v>1371</v>
      </c>
      <c r="K645" s="15"/>
      <c r="AE645" s="2"/>
      <c r="AG645" s="2"/>
      <c r="AH645" s="2"/>
      <c r="AI645" s="14"/>
      <c r="AJ645" s="14"/>
      <c r="AK645" s="14"/>
      <c r="AL645" s="14"/>
      <c r="AM645" s="19"/>
      <c r="AN645" s="8"/>
    </row>
    <row r="646" spans="1:62" x14ac:dyDescent="0.3">
      <c r="A646" s="2">
        <v>392</v>
      </c>
      <c r="B646" s="4"/>
      <c r="E646" t="s">
        <v>1372</v>
      </c>
      <c r="K646" s="15"/>
      <c r="AE646" s="2"/>
      <c r="AG646" s="2"/>
      <c r="AH646" s="2"/>
      <c r="AI646" s="14"/>
      <c r="AJ646" s="14"/>
      <c r="AK646" s="14"/>
      <c r="AL646" s="14"/>
      <c r="AM646" s="19"/>
      <c r="AN646" s="8"/>
    </row>
    <row r="647" spans="1:62" ht="12.5" x14ac:dyDescent="0.25">
      <c r="A647" s="2">
        <v>393</v>
      </c>
      <c r="B647" s="2">
        <v>382</v>
      </c>
      <c r="C647" s="2">
        <v>2082</v>
      </c>
      <c r="E647" t="s">
        <v>344</v>
      </c>
      <c r="F647" t="s">
        <v>711</v>
      </c>
      <c r="H647" s="2">
        <v>687</v>
      </c>
      <c r="I647" s="2">
        <v>29.72</v>
      </c>
      <c r="J647" s="15">
        <v>1.0609999999999999</v>
      </c>
      <c r="K647" s="15">
        <v>0.94687699999999997</v>
      </c>
      <c r="AE647" s="2">
        <v>30.07</v>
      </c>
      <c r="AF647" s="2">
        <v>35.03</v>
      </c>
      <c r="AG647" s="2">
        <v>29.72</v>
      </c>
      <c r="AH647" s="14" t="s">
        <v>772</v>
      </c>
      <c r="AI647" s="14" t="s">
        <v>772</v>
      </c>
      <c r="AJ647" s="14" t="s">
        <v>772</v>
      </c>
      <c r="AK647" s="14" t="s">
        <v>772</v>
      </c>
      <c r="AL647" s="14" t="s">
        <v>772</v>
      </c>
      <c r="AM647" s="19">
        <v>7.8472222222222221E-2</v>
      </c>
      <c r="AN647" s="8">
        <f>(1+(53/60))*AG647</f>
        <v>55.972666666666662</v>
      </c>
    </row>
    <row r="648" spans="1:62" ht="12.5" x14ac:dyDescent="0.25">
      <c r="A648" s="2">
        <v>395</v>
      </c>
      <c r="E648" t="s">
        <v>1373</v>
      </c>
      <c r="K648" s="15"/>
      <c r="AE648" s="2"/>
      <c r="AG648" s="2"/>
      <c r="AH648" s="14"/>
      <c r="AI648" s="14"/>
      <c r="AJ648" s="14"/>
      <c r="AK648" s="14"/>
      <c r="AL648" s="14"/>
      <c r="AM648" s="19"/>
      <c r="AN648" s="8"/>
    </row>
    <row r="649" spans="1:62" ht="12.5" x14ac:dyDescent="0.25">
      <c r="A649" s="2">
        <v>397</v>
      </c>
      <c r="C649" s="2">
        <v>465</v>
      </c>
      <c r="E649" t="s">
        <v>1374</v>
      </c>
      <c r="F649" t="s">
        <v>1233</v>
      </c>
      <c r="K649" s="15"/>
      <c r="AE649" s="2"/>
      <c r="AG649" s="2"/>
      <c r="AH649" s="14"/>
      <c r="AI649" s="14"/>
      <c r="AJ649" s="14"/>
      <c r="AK649" s="14"/>
      <c r="AL649" s="14"/>
      <c r="AM649" s="19"/>
      <c r="AN649" s="8"/>
    </row>
    <row r="650" spans="1:62" ht="12.5" x14ac:dyDescent="0.25">
      <c r="A650" s="2">
        <v>398</v>
      </c>
      <c r="E650" t="s">
        <v>1375</v>
      </c>
      <c r="K650" s="15"/>
      <c r="AE650" s="2"/>
      <c r="AG650" s="2"/>
      <c r="AH650" s="14"/>
      <c r="AI650" s="14"/>
      <c r="AJ650" s="14"/>
      <c r="AK650" s="14"/>
      <c r="AL650" s="14"/>
      <c r="AM650" s="19"/>
      <c r="AN650" s="8"/>
    </row>
    <row r="651" spans="1:62" x14ac:dyDescent="0.3">
      <c r="A651" s="2">
        <v>400</v>
      </c>
      <c r="B651" s="2">
        <v>508</v>
      </c>
      <c r="E651" t="s">
        <v>515</v>
      </c>
      <c r="F651" t="s">
        <v>565</v>
      </c>
      <c r="AH651" s="14"/>
      <c r="AI651" s="14"/>
      <c r="AJ651" s="14"/>
      <c r="AK651" s="14"/>
      <c r="AL651" s="50"/>
    </row>
    <row r="652" spans="1:62" x14ac:dyDescent="0.3">
      <c r="A652" s="2">
        <v>401</v>
      </c>
      <c r="E652" t="s">
        <v>1376</v>
      </c>
      <c r="AH652" s="14"/>
      <c r="AI652" s="14"/>
      <c r="AJ652" s="14"/>
      <c r="AK652" s="14"/>
      <c r="AL652" s="50"/>
    </row>
    <row r="653" spans="1:62" ht="12.5" x14ac:dyDescent="0.25">
      <c r="A653" s="2">
        <v>402</v>
      </c>
      <c r="B653" s="2">
        <v>1063</v>
      </c>
      <c r="E653" t="s">
        <v>652</v>
      </c>
      <c r="I653" s="2">
        <v>19.68</v>
      </c>
      <c r="K653" s="15"/>
      <c r="AH653" s="14"/>
      <c r="AI653" s="14"/>
      <c r="AJ653" s="14"/>
      <c r="AK653" s="14"/>
      <c r="AL653" s="50"/>
    </row>
    <row r="654" spans="1:62" ht="12.5" x14ac:dyDescent="0.25">
      <c r="A654" s="2">
        <v>404</v>
      </c>
      <c r="C654" s="2">
        <v>229</v>
      </c>
      <c r="E654" t="s">
        <v>1377</v>
      </c>
      <c r="K654" s="15"/>
      <c r="AH654" s="14"/>
      <c r="AI654" s="14"/>
      <c r="AJ654" s="14"/>
      <c r="AK654" s="14"/>
      <c r="AL654" s="50"/>
    </row>
    <row r="655" spans="1:62" ht="12.5" x14ac:dyDescent="0.25">
      <c r="A655" s="2">
        <v>405</v>
      </c>
      <c r="B655" s="2">
        <v>440</v>
      </c>
      <c r="E655" t="s">
        <v>466</v>
      </c>
      <c r="F655" t="s">
        <v>2</v>
      </c>
      <c r="G655" t="s">
        <v>1378</v>
      </c>
      <c r="K655" s="15"/>
      <c r="AH655" s="14"/>
      <c r="AI655" s="14"/>
      <c r="AJ655" s="14"/>
      <c r="AK655" s="14"/>
      <c r="AL655" s="50"/>
    </row>
    <row r="656" spans="1:62" ht="12.5" x14ac:dyDescent="0.25">
      <c r="A656" s="2">
        <v>407</v>
      </c>
      <c r="E656" t="s">
        <v>1379</v>
      </c>
      <c r="K656" s="15"/>
      <c r="AH656" s="14"/>
      <c r="AI656" s="14"/>
      <c r="AJ656" s="14"/>
      <c r="AK656" s="14"/>
      <c r="AL656" s="50"/>
    </row>
    <row r="657" spans="1:63" ht="12.5" x14ac:dyDescent="0.25">
      <c r="A657" s="2">
        <v>408</v>
      </c>
      <c r="E657" t="s">
        <v>1380</v>
      </c>
      <c r="K657" s="15"/>
      <c r="AH657" s="14"/>
      <c r="AI657" s="14"/>
      <c r="AJ657" s="14"/>
      <c r="AK657" s="14"/>
      <c r="AL657" s="50"/>
    </row>
    <row r="658" spans="1:63" s="3" customFormat="1" x14ac:dyDescent="0.3">
      <c r="A658" s="4">
        <v>408</v>
      </c>
      <c r="B658" s="4">
        <v>410</v>
      </c>
      <c r="C658" s="4">
        <v>1419</v>
      </c>
      <c r="D658" s="4" t="s">
        <v>772</v>
      </c>
      <c r="E658" s="3" t="s">
        <v>586</v>
      </c>
      <c r="F658" s="3" t="s">
        <v>623</v>
      </c>
      <c r="H658" s="4"/>
      <c r="I658" s="4">
        <v>32.01</v>
      </c>
      <c r="J658" s="16"/>
      <c r="K658" s="16"/>
      <c r="L658" s="4"/>
      <c r="M658" s="9"/>
      <c r="N658" s="9"/>
      <c r="O658" s="9"/>
      <c r="P658" s="45"/>
      <c r="Q658" s="45"/>
      <c r="R658" s="45"/>
      <c r="S658" s="45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4"/>
      <c r="AG658" s="9"/>
      <c r="AH658" s="45"/>
      <c r="AI658" s="45"/>
      <c r="AJ658" s="45"/>
      <c r="AK658" s="45"/>
      <c r="AL658" s="51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</row>
    <row r="659" spans="1:63" x14ac:dyDescent="0.3">
      <c r="A659" s="2">
        <v>411</v>
      </c>
      <c r="B659" s="2">
        <v>444</v>
      </c>
      <c r="E659" t="s">
        <v>469</v>
      </c>
      <c r="AH659" s="14"/>
      <c r="AI659" s="14"/>
      <c r="AJ659" s="14"/>
      <c r="AK659" s="14"/>
      <c r="AL659" s="50"/>
    </row>
    <row r="660" spans="1:63" x14ac:dyDescent="0.3">
      <c r="A660" s="2">
        <v>412</v>
      </c>
      <c r="B660" s="2">
        <v>487</v>
      </c>
      <c r="E660" t="s">
        <v>492</v>
      </c>
      <c r="AH660" s="14"/>
      <c r="AI660" s="14"/>
      <c r="AJ660" s="14"/>
      <c r="AK660" s="14"/>
      <c r="AL660" s="50"/>
    </row>
    <row r="661" spans="1:63" x14ac:dyDescent="0.3">
      <c r="A661" s="2">
        <v>413</v>
      </c>
      <c r="B661" s="2">
        <v>505</v>
      </c>
      <c r="E661" t="s">
        <v>512</v>
      </c>
      <c r="F661" t="s">
        <v>9</v>
      </c>
      <c r="AH661" s="14"/>
      <c r="AI661" s="14"/>
      <c r="AJ661" s="14"/>
      <c r="AK661" s="14"/>
      <c r="AL661" s="50"/>
    </row>
    <row r="662" spans="1:63" x14ac:dyDescent="0.3">
      <c r="A662" s="2">
        <v>418</v>
      </c>
      <c r="B662" s="2">
        <v>389</v>
      </c>
      <c r="C662" s="2">
        <v>2327</v>
      </c>
      <c r="E662" t="s">
        <v>380</v>
      </c>
      <c r="AE662" s="2">
        <v>26.38</v>
      </c>
      <c r="AF662" s="2" t="s">
        <v>772</v>
      </c>
      <c r="AG662" s="2" t="s">
        <v>772</v>
      </c>
      <c r="AH662" s="14" t="s">
        <v>772</v>
      </c>
      <c r="AI662" s="14" t="s">
        <v>772</v>
      </c>
      <c r="AJ662" s="14" t="s">
        <v>772</v>
      </c>
      <c r="AK662" s="14" t="s">
        <v>772</v>
      </c>
      <c r="AL662" s="54" t="s">
        <v>772</v>
      </c>
      <c r="AM662" s="19">
        <v>0.23472222222222222</v>
      </c>
      <c r="AN662" s="8">
        <f>(5+(38/60))*AE662</f>
        <v>148.60733333333332</v>
      </c>
    </row>
    <row r="663" spans="1:63" ht="12.5" x14ac:dyDescent="0.25">
      <c r="A663" s="2">
        <v>419</v>
      </c>
      <c r="B663" s="2">
        <v>315</v>
      </c>
      <c r="C663" s="2">
        <v>1714</v>
      </c>
      <c r="E663" t="s">
        <v>329</v>
      </c>
      <c r="F663" t="s">
        <v>6</v>
      </c>
      <c r="G663" s="2" t="s">
        <v>1259</v>
      </c>
      <c r="I663" s="2">
        <v>34.840000000000003</v>
      </c>
      <c r="J663" s="15">
        <v>1.244</v>
      </c>
      <c r="K663" s="15">
        <v>0.64403200000000005</v>
      </c>
      <c r="AE663" s="2">
        <v>41.37</v>
      </c>
      <c r="AF663" s="2">
        <v>31.33</v>
      </c>
      <c r="AG663" s="2">
        <v>34.840000000000003</v>
      </c>
      <c r="AH663" s="14" t="s">
        <v>772</v>
      </c>
      <c r="AI663" s="14" t="s">
        <v>772</v>
      </c>
      <c r="AJ663" s="14" t="s">
        <v>772</v>
      </c>
      <c r="AK663" s="14" t="s">
        <v>772</v>
      </c>
      <c r="AL663" s="14" t="s">
        <v>772</v>
      </c>
      <c r="AM663" s="21">
        <v>0.21388888888888888</v>
      </c>
      <c r="AN663" s="8">
        <f>(5+(8/60))*AG663</f>
        <v>178.84533333333337</v>
      </c>
    </row>
    <row r="664" spans="1:63" x14ac:dyDescent="0.3">
      <c r="A664" s="2">
        <v>420</v>
      </c>
      <c r="B664" s="2">
        <v>432</v>
      </c>
      <c r="C664" s="2">
        <v>198</v>
      </c>
      <c r="E664" s="138" t="s">
        <v>456</v>
      </c>
      <c r="AH664" s="14"/>
      <c r="AI664" s="14"/>
      <c r="AJ664" s="14"/>
      <c r="AK664" s="14"/>
      <c r="AL664" s="50"/>
    </row>
    <row r="665" spans="1:63" x14ac:dyDescent="0.3">
      <c r="A665" s="2">
        <v>425</v>
      </c>
      <c r="B665" s="2">
        <v>668</v>
      </c>
      <c r="E665" t="s">
        <v>661</v>
      </c>
      <c r="I665" s="2">
        <v>18.46</v>
      </c>
      <c r="AH665" s="14"/>
      <c r="AI665" s="14"/>
      <c r="AJ665" s="14"/>
      <c r="AK665" s="14"/>
      <c r="AL665" s="50"/>
    </row>
    <row r="666" spans="1:63" x14ac:dyDescent="0.3">
      <c r="A666" s="2">
        <v>426</v>
      </c>
      <c r="E666" t="s">
        <v>1381</v>
      </c>
      <c r="AH666" s="14"/>
      <c r="AI666" s="14"/>
      <c r="AJ666" s="14"/>
      <c r="AK666" s="14"/>
      <c r="AL666" s="50"/>
    </row>
    <row r="667" spans="1:63" x14ac:dyDescent="0.3">
      <c r="A667" s="2">
        <v>427</v>
      </c>
      <c r="E667" t="s">
        <v>1382</v>
      </c>
      <c r="AH667" s="14"/>
      <c r="AI667" s="14"/>
      <c r="AJ667" s="14"/>
      <c r="AK667" s="14"/>
      <c r="AL667" s="50"/>
    </row>
    <row r="668" spans="1:63" x14ac:dyDescent="0.3">
      <c r="A668" s="2">
        <v>428</v>
      </c>
      <c r="B668" s="2">
        <v>469</v>
      </c>
      <c r="E668" t="s">
        <v>645</v>
      </c>
      <c r="I668" s="2">
        <v>22.95</v>
      </c>
      <c r="AH668" s="14"/>
      <c r="AI668" s="14"/>
      <c r="AJ668" s="14"/>
      <c r="AK668" s="14"/>
      <c r="AL668" s="50"/>
    </row>
    <row r="669" spans="1:63" x14ac:dyDescent="0.3">
      <c r="A669" s="2">
        <v>429</v>
      </c>
      <c r="E669" t="s">
        <v>1383</v>
      </c>
      <c r="AH669" s="14"/>
      <c r="AI669" s="14"/>
      <c r="AJ669" s="14"/>
      <c r="AK669" s="14"/>
      <c r="AL669" s="50"/>
    </row>
    <row r="670" spans="1:63" x14ac:dyDescent="0.3">
      <c r="A670" s="2">
        <v>431</v>
      </c>
      <c r="E670" t="s">
        <v>1384</v>
      </c>
      <c r="AH670" s="14"/>
      <c r="AI670" s="14"/>
      <c r="AJ670" s="14"/>
      <c r="AK670" s="14"/>
      <c r="AL670" s="50"/>
    </row>
    <row r="671" spans="1:63" x14ac:dyDescent="0.3">
      <c r="A671" s="2">
        <v>432</v>
      </c>
      <c r="E671" t="s">
        <v>1385</v>
      </c>
      <c r="AH671" s="14"/>
      <c r="AI671" s="14"/>
      <c r="AJ671" s="14"/>
      <c r="AK671" s="14"/>
      <c r="AL671" s="50"/>
    </row>
    <row r="672" spans="1:63" x14ac:dyDescent="0.3">
      <c r="A672" s="2">
        <v>434</v>
      </c>
      <c r="B672" s="2">
        <v>211</v>
      </c>
      <c r="C672" s="2">
        <v>561</v>
      </c>
      <c r="E672" t="s">
        <v>204</v>
      </c>
      <c r="F672" t="s">
        <v>6</v>
      </c>
      <c r="H672" s="2">
        <v>100</v>
      </c>
      <c r="I672" s="2">
        <v>88</v>
      </c>
      <c r="J672" s="15">
        <v>2.8919999999999999</v>
      </c>
      <c r="K672" s="15">
        <v>0.99697899999999995</v>
      </c>
      <c r="L672" s="2">
        <v>5.68</v>
      </c>
      <c r="AE672" s="2">
        <v>42.3</v>
      </c>
      <c r="AF672" s="2">
        <v>73.94</v>
      </c>
      <c r="AG672" s="2">
        <v>77.05</v>
      </c>
      <c r="AH672" s="2">
        <v>83.5</v>
      </c>
      <c r="AI672" s="14" t="s">
        <v>772</v>
      </c>
      <c r="AJ672" s="2">
        <v>86.48</v>
      </c>
      <c r="AK672" s="14" t="s">
        <v>772</v>
      </c>
      <c r="AL672" s="14" t="s">
        <v>772</v>
      </c>
      <c r="AM672" s="22">
        <v>0.62569444444444444</v>
      </c>
      <c r="AN672" s="8">
        <f>(15+(1/60))*AJ672</f>
        <v>1298.6413333333335</v>
      </c>
    </row>
    <row r="673" spans="1:62" x14ac:dyDescent="0.3">
      <c r="A673" s="2">
        <v>435</v>
      </c>
      <c r="E673" t="s">
        <v>1386</v>
      </c>
      <c r="K673" s="15"/>
      <c r="AE673" s="2"/>
      <c r="AG673" s="2"/>
      <c r="AH673" s="2"/>
      <c r="AI673" s="14"/>
      <c r="AJ673" s="2"/>
      <c r="AK673" s="14"/>
      <c r="AL673" s="14"/>
      <c r="AM673" s="22"/>
      <c r="AN673" s="8"/>
    </row>
    <row r="674" spans="1:62" ht="12.5" x14ac:dyDescent="0.25">
      <c r="A674" s="2">
        <v>437</v>
      </c>
      <c r="B674" s="2">
        <v>387</v>
      </c>
      <c r="C674" s="2">
        <v>681</v>
      </c>
      <c r="E674" s="138" t="s">
        <v>401</v>
      </c>
      <c r="F674" t="s">
        <v>714</v>
      </c>
      <c r="H674" s="2">
        <v>77190</v>
      </c>
      <c r="I674" s="2">
        <v>56.96</v>
      </c>
      <c r="J674" s="15">
        <v>2.0339999999999998</v>
      </c>
      <c r="K674" s="15">
        <v>1.73</v>
      </c>
      <c r="AE674" s="2">
        <v>68.7</v>
      </c>
      <c r="AF674" s="2">
        <v>57.85</v>
      </c>
      <c r="AG674" s="2">
        <v>56.96</v>
      </c>
      <c r="AH674" s="14" t="s">
        <v>772</v>
      </c>
      <c r="AI674" s="14" t="s">
        <v>772</v>
      </c>
      <c r="AJ674" s="14" t="s">
        <v>772</v>
      </c>
      <c r="AK674" s="14" t="s">
        <v>772</v>
      </c>
      <c r="AL674" s="14" t="s">
        <v>772</v>
      </c>
      <c r="AM674" s="19">
        <v>0.10277777777777779</v>
      </c>
      <c r="AN674" s="8">
        <f>(2+(28/60))*AG674</f>
        <v>140.50133333333335</v>
      </c>
    </row>
    <row r="675" spans="1:62" ht="12.5" x14ac:dyDescent="0.25">
      <c r="E675" s="138" t="s">
        <v>1736</v>
      </c>
      <c r="K675" s="15"/>
      <c r="AE675" s="2"/>
      <c r="AG675" s="2"/>
      <c r="AH675" s="14"/>
      <c r="AI675" s="14"/>
      <c r="AJ675" s="14"/>
      <c r="AK675" s="14"/>
      <c r="AL675" s="14"/>
      <c r="AM675" s="19"/>
      <c r="AN675" s="8"/>
    </row>
    <row r="676" spans="1:62" ht="12.5" x14ac:dyDescent="0.25">
      <c r="A676" s="2">
        <v>438</v>
      </c>
      <c r="C676" s="2">
        <v>729</v>
      </c>
      <c r="E676" s="138" t="s">
        <v>1387</v>
      </c>
      <c r="K676" s="15"/>
      <c r="AE676" s="2"/>
      <c r="AG676" s="2"/>
      <c r="AH676" s="14"/>
      <c r="AI676" s="14"/>
      <c r="AJ676" s="14"/>
      <c r="AK676" s="14"/>
      <c r="AL676" s="14"/>
      <c r="AM676" s="19"/>
      <c r="AN676" s="8"/>
    </row>
    <row r="677" spans="1:62" ht="12.5" x14ac:dyDescent="0.25">
      <c r="A677" s="2">
        <v>439</v>
      </c>
      <c r="B677" s="2">
        <v>408</v>
      </c>
      <c r="C677" s="2">
        <v>1355</v>
      </c>
      <c r="E677" t="s">
        <v>202</v>
      </c>
      <c r="F677" t="s">
        <v>6</v>
      </c>
      <c r="H677" s="2">
        <v>500</v>
      </c>
      <c r="I677" s="2">
        <v>47.42</v>
      </c>
      <c r="J677" s="15">
        <v>1.6930000000000001</v>
      </c>
      <c r="K677" s="15">
        <v>1.226</v>
      </c>
      <c r="AE677" s="2">
        <v>45.22</v>
      </c>
      <c r="AF677" s="2">
        <v>38.94</v>
      </c>
      <c r="AG677" s="2">
        <v>42.01</v>
      </c>
      <c r="AH677" s="2">
        <v>47.42</v>
      </c>
      <c r="AI677" s="14" t="s">
        <v>772</v>
      </c>
      <c r="AJ677" s="2">
        <v>47.54</v>
      </c>
      <c r="AK677" s="14" t="s">
        <v>772</v>
      </c>
      <c r="AL677" s="14" t="s">
        <v>772</v>
      </c>
      <c r="AM677" s="19">
        <v>0.16875000000000001</v>
      </c>
      <c r="AN677" s="8">
        <f>(4+(9/60))*AJ677</f>
        <v>197.29100000000003</v>
      </c>
    </row>
    <row r="678" spans="1:62" x14ac:dyDescent="0.3">
      <c r="A678" s="2">
        <v>442</v>
      </c>
      <c r="B678" s="2">
        <v>437</v>
      </c>
      <c r="E678" t="s">
        <v>437</v>
      </c>
      <c r="AH678" s="14"/>
      <c r="AI678" s="14"/>
      <c r="AJ678" s="14"/>
      <c r="AK678" s="14"/>
      <c r="AL678" s="50"/>
    </row>
    <row r="679" spans="1:62" ht="12.5" x14ac:dyDescent="0.25">
      <c r="A679" s="2">
        <v>444</v>
      </c>
      <c r="B679" s="2">
        <v>385</v>
      </c>
      <c r="C679" s="2">
        <v>892</v>
      </c>
      <c r="E679" t="s">
        <v>350</v>
      </c>
      <c r="I679" s="2">
        <v>64.599999999999994</v>
      </c>
      <c r="J679" s="15">
        <v>2.3069999999999999</v>
      </c>
      <c r="K679" s="15">
        <v>1.81</v>
      </c>
      <c r="AE679" s="2">
        <v>52.38</v>
      </c>
      <c r="AF679" s="2">
        <v>47.01</v>
      </c>
      <c r="AG679" s="2">
        <v>64.599999999999994</v>
      </c>
      <c r="AH679" s="14" t="s">
        <v>772</v>
      </c>
      <c r="AI679" s="14" t="s">
        <v>772</v>
      </c>
      <c r="AJ679" s="14" t="s">
        <v>772</v>
      </c>
      <c r="AK679" s="14" t="s">
        <v>772</v>
      </c>
      <c r="AL679" s="14" t="s">
        <v>772</v>
      </c>
      <c r="AM679" s="19">
        <v>0.14027777777777778</v>
      </c>
      <c r="AN679" s="8">
        <f>(3+(22/60))*AG679</f>
        <v>217.48666666666665</v>
      </c>
    </row>
    <row r="680" spans="1:62" x14ac:dyDescent="0.3">
      <c r="A680" s="2">
        <v>447</v>
      </c>
      <c r="B680" s="2">
        <v>557</v>
      </c>
      <c r="E680" t="s">
        <v>646</v>
      </c>
      <c r="I680" s="2">
        <v>23.29</v>
      </c>
      <c r="AH680" s="14"/>
      <c r="AI680" s="14"/>
      <c r="AJ680" s="14"/>
      <c r="AK680" s="14"/>
      <c r="AL680" s="50"/>
    </row>
    <row r="681" spans="1:62" x14ac:dyDescent="0.3">
      <c r="A681" s="2">
        <v>452</v>
      </c>
      <c r="E681" t="s">
        <v>1388</v>
      </c>
      <c r="AH681" s="14"/>
      <c r="AI681" s="14"/>
      <c r="AJ681" s="14"/>
      <c r="AK681" s="14"/>
      <c r="AL681" s="50"/>
    </row>
    <row r="682" spans="1:62" x14ac:dyDescent="0.3">
      <c r="A682" s="2">
        <v>454</v>
      </c>
      <c r="B682" s="2">
        <v>497</v>
      </c>
      <c r="C682" s="2">
        <v>817</v>
      </c>
      <c r="E682" t="s">
        <v>400</v>
      </c>
      <c r="AH682" s="14"/>
      <c r="AI682" s="14"/>
      <c r="AJ682" s="14"/>
      <c r="AK682" s="14"/>
      <c r="AL682" s="50"/>
    </row>
    <row r="683" spans="1:62" x14ac:dyDescent="0.3">
      <c r="A683" s="2">
        <v>456</v>
      </c>
      <c r="B683" s="2">
        <v>438</v>
      </c>
      <c r="E683" t="s">
        <v>463</v>
      </c>
      <c r="AH683" s="14"/>
      <c r="AI683" s="14"/>
      <c r="AJ683" s="14"/>
      <c r="AK683" s="14"/>
      <c r="AL683" s="50"/>
    </row>
    <row r="684" spans="1:62" x14ac:dyDescent="0.3">
      <c r="A684" s="2">
        <v>457</v>
      </c>
      <c r="E684" t="s">
        <v>1389</v>
      </c>
      <c r="AH684" s="14"/>
      <c r="AI684" s="14"/>
      <c r="AJ684" s="14"/>
      <c r="AK684" s="14"/>
      <c r="AL684" s="50"/>
    </row>
    <row r="685" spans="1:62" x14ac:dyDescent="0.3">
      <c r="A685" s="2">
        <v>460</v>
      </c>
      <c r="B685" s="2">
        <v>478</v>
      </c>
      <c r="E685" t="s">
        <v>482</v>
      </c>
      <c r="AH685" s="14"/>
      <c r="AI685" s="14"/>
      <c r="AJ685" s="14"/>
      <c r="AK685" s="14"/>
      <c r="AL685" s="50"/>
    </row>
    <row r="686" spans="1:62" x14ac:dyDescent="0.3">
      <c r="A686" s="2">
        <v>462</v>
      </c>
      <c r="E686" t="s">
        <v>1390</v>
      </c>
      <c r="AH686" s="14"/>
      <c r="AI686" s="14"/>
      <c r="AJ686" s="14"/>
      <c r="AK686" s="14"/>
      <c r="AL686" s="50"/>
    </row>
    <row r="687" spans="1:62" x14ac:dyDescent="0.3">
      <c r="A687" s="2">
        <v>464</v>
      </c>
      <c r="B687" s="2">
        <v>445</v>
      </c>
      <c r="E687" t="s">
        <v>445</v>
      </c>
      <c r="AH687" s="14"/>
      <c r="AI687" s="14"/>
      <c r="AJ687" s="14"/>
      <c r="AK687" s="14"/>
      <c r="AL687" s="50"/>
    </row>
    <row r="688" spans="1:62" ht="12.5" x14ac:dyDescent="0.25">
      <c r="A688" s="2">
        <v>468</v>
      </c>
      <c r="B688" s="2">
        <v>437</v>
      </c>
      <c r="C688" s="2">
        <v>184</v>
      </c>
      <c r="E688" s="138" t="s">
        <v>239</v>
      </c>
      <c r="I688" s="2">
        <v>319.5</v>
      </c>
      <c r="J688" s="15">
        <v>11.41</v>
      </c>
      <c r="K688" s="15">
        <v>5.9180000000000001</v>
      </c>
      <c r="AE688" s="2">
        <v>246.2</v>
      </c>
      <c r="AF688" s="2">
        <v>289</v>
      </c>
      <c r="AG688" s="2">
        <v>283.89999999999998</v>
      </c>
      <c r="AH688" s="54">
        <v>319.5</v>
      </c>
      <c r="AI688" s="54" t="s">
        <v>772</v>
      </c>
      <c r="AJ688" s="54">
        <v>302.5</v>
      </c>
      <c r="AK688" s="54" t="s">
        <v>772</v>
      </c>
      <c r="AL688" s="54" t="s">
        <v>772</v>
      </c>
      <c r="AM688" s="19">
        <v>0.22777777777777777</v>
      </c>
      <c r="AN688" s="8">
        <f>(5+(28/60))*AJ688</f>
        <v>1653.6666666666667</v>
      </c>
      <c r="AX688" s="8">
        <v>858.35530400000005</v>
      </c>
      <c r="AY688" s="8">
        <v>681.65982799999995</v>
      </c>
      <c r="AZ688" s="8">
        <v>838.44907499999999</v>
      </c>
      <c r="BA688" s="8">
        <v>888.58532300000002</v>
      </c>
      <c r="BB688" s="8">
        <v>985.49568299999999</v>
      </c>
      <c r="BC688" s="8">
        <v>713.12461199999996</v>
      </c>
      <c r="BD688" s="8">
        <v>751.45276799999999</v>
      </c>
      <c r="BE688" s="8">
        <v>807.07486700000004</v>
      </c>
      <c r="BF688" s="8">
        <v>867.68660399999999</v>
      </c>
      <c r="BG688" s="8">
        <v>869.82870700000001</v>
      </c>
      <c r="BH688" s="8">
        <v>813.24412500000005</v>
      </c>
      <c r="BI688" s="8">
        <v>840.60443299999997</v>
      </c>
      <c r="BJ688" s="8">
        <v>862.41021999999998</v>
      </c>
    </row>
    <row r="689" spans="1:62" ht="12.5" x14ac:dyDescent="0.25">
      <c r="E689" s="138" t="s">
        <v>1652</v>
      </c>
      <c r="K689" s="15"/>
      <c r="AE689" s="2"/>
      <c r="AG689" s="2"/>
      <c r="AH689" s="54"/>
      <c r="AI689" s="54"/>
      <c r="AJ689" s="54"/>
      <c r="AK689" s="54"/>
      <c r="AL689" s="54"/>
      <c r="AM689" s="19"/>
      <c r="AN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</row>
    <row r="690" spans="1:62" ht="12.5" x14ac:dyDescent="0.25">
      <c r="E690" s="138" t="s">
        <v>1747</v>
      </c>
      <c r="K690" s="15"/>
      <c r="AE690" s="2"/>
      <c r="AG690" s="2"/>
      <c r="AH690" s="54"/>
      <c r="AI690" s="54"/>
      <c r="AJ690" s="54"/>
      <c r="AK690" s="54"/>
      <c r="AL690" s="54"/>
      <c r="AM690" s="19"/>
      <c r="AN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</row>
    <row r="691" spans="1:62" x14ac:dyDescent="0.3">
      <c r="A691" s="2">
        <v>469</v>
      </c>
      <c r="B691" s="2">
        <v>475</v>
      </c>
      <c r="E691" t="s">
        <v>478</v>
      </c>
      <c r="AH691" s="14"/>
      <c r="AI691" s="14"/>
      <c r="AJ691" s="14"/>
      <c r="AK691" s="14"/>
      <c r="AL691" s="50"/>
    </row>
    <row r="692" spans="1:62" x14ac:dyDescent="0.3">
      <c r="A692" s="2">
        <v>471</v>
      </c>
      <c r="C692" s="2">
        <v>130</v>
      </c>
      <c r="E692" t="s">
        <v>1391</v>
      </c>
      <c r="AH692" s="14"/>
      <c r="AI692" s="14"/>
      <c r="AJ692" s="14"/>
      <c r="AK692" s="14"/>
      <c r="AL692" s="50"/>
    </row>
    <row r="693" spans="1:62" x14ac:dyDescent="0.3">
      <c r="A693" s="2">
        <v>473</v>
      </c>
      <c r="E693" t="s">
        <v>1441</v>
      </c>
      <c r="AH693" s="14"/>
      <c r="AI693" s="14"/>
      <c r="AJ693" s="14"/>
      <c r="AK693" s="14"/>
      <c r="AL693" s="50"/>
    </row>
    <row r="694" spans="1:62" x14ac:dyDescent="0.3">
      <c r="A694" s="2">
        <v>477</v>
      </c>
      <c r="E694" t="s">
        <v>1392</v>
      </c>
      <c r="AH694" s="14"/>
      <c r="AI694" s="14"/>
      <c r="AJ694" s="14"/>
      <c r="AK694" s="14"/>
      <c r="AL694" s="50"/>
    </row>
    <row r="695" spans="1:62" ht="12.5" x14ac:dyDescent="0.25">
      <c r="A695" s="2">
        <v>478</v>
      </c>
      <c r="B695" s="2">
        <v>322</v>
      </c>
      <c r="C695" s="2">
        <v>691</v>
      </c>
      <c r="E695" t="s">
        <v>293</v>
      </c>
      <c r="F695" t="s">
        <v>1242</v>
      </c>
      <c r="H695" s="2">
        <v>80000</v>
      </c>
      <c r="I695" s="2">
        <v>74.459999999999994</v>
      </c>
      <c r="J695" s="15">
        <v>2.6589999999999998</v>
      </c>
      <c r="K695" s="15">
        <v>2.2229999999999999</v>
      </c>
      <c r="AE695" s="2">
        <v>63.1</v>
      </c>
      <c r="AF695" s="2">
        <v>71.34</v>
      </c>
      <c r="AG695" s="2">
        <v>90.39</v>
      </c>
      <c r="AH695" s="2">
        <v>74.459999999999994</v>
      </c>
      <c r="AI695" s="14" t="s">
        <v>772</v>
      </c>
      <c r="AJ695" s="14" t="s">
        <v>772</v>
      </c>
      <c r="AK695" s="14" t="s">
        <v>772</v>
      </c>
      <c r="AL695" s="14" t="s">
        <v>772</v>
      </c>
      <c r="AM695" s="19">
        <v>8.6111111111111124E-2</v>
      </c>
      <c r="AN695" s="8">
        <f>(2+(4/60))*AH695</f>
        <v>153.88400000000001</v>
      </c>
    </row>
    <row r="696" spans="1:62" ht="12.5" x14ac:dyDescent="0.25">
      <c r="A696" s="2">
        <v>479</v>
      </c>
      <c r="E696" t="s">
        <v>1393</v>
      </c>
      <c r="K696" s="15"/>
      <c r="AE696" s="2"/>
      <c r="AG696" s="2"/>
      <c r="AH696" s="2"/>
      <c r="AI696" s="14"/>
      <c r="AJ696" s="14"/>
      <c r="AK696" s="14"/>
      <c r="AL696" s="14"/>
      <c r="AM696" s="19"/>
      <c r="AN696" s="8"/>
    </row>
    <row r="697" spans="1:62" ht="12.5" x14ac:dyDescent="0.25">
      <c r="A697" s="2">
        <v>481</v>
      </c>
      <c r="E697" t="s">
        <v>1445</v>
      </c>
      <c r="K697" s="15"/>
      <c r="AE697" s="2"/>
      <c r="AG697" s="2"/>
      <c r="AH697" s="2"/>
      <c r="AI697" s="14"/>
      <c r="AJ697" s="14"/>
      <c r="AK697" s="14"/>
      <c r="AL697" s="14"/>
      <c r="AM697" s="19"/>
      <c r="AN697" s="8"/>
    </row>
    <row r="698" spans="1:62" ht="12.5" x14ac:dyDescent="0.25">
      <c r="A698" s="2">
        <v>481</v>
      </c>
      <c r="E698" t="s">
        <v>1394</v>
      </c>
      <c r="K698" s="15"/>
      <c r="AE698" s="2"/>
      <c r="AG698" s="2"/>
      <c r="AH698" s="2"/>
      <c r="AI698" s="14"/>
      <c r="AJ698" s="14"/>
      <c r="AK698" s="14"/>
      <c r="AL698" s="14"/>
      <c r="AM698" s="19"/>
      <c r="AN698" s="8"/>
    </row>
    <row r="699" spans="1:62" ht="12.5" x14ac:dyDescent="0.25">
      <c r="A699" s="2">
        <v>540</v>
      </c>
      <c r="B699" s="2">
        <v>482</v>
      </c>
      <c r="C699" s="2">
        <v>1691</v>
      </c>
      <c r="E699" t="s">
        <v>1395</v>
      </c>
      <c r="K699" s="15"/>
      <c r="AE699" s="2"/>
      <c r="AG699" s="2"/>
      <c r="AH699" s="2"/>
      <c r="AI699" s="14"/>
      <c r="AJ699" s="14"/>
      <c r="AK699" s="14"/>
      <c r="AL699" s="14"/>
      <c r="AM699" s="19"/>
      <c r="AN699" s="8"/>
    </row>
    <row r="700" spans="1:62" ht="12.5" x14ac:dyDescent="0.25">
      <c r="A700" s="2">
        <v>483</v>
      </c>
      <c r="B700" s="2">
        <v>491</v>
      </c>
      <c r="E700" t="s">
        <v>496</v>
      </c>
      <c r="K700" s="15"/>
      <c r="AH700" s="14"/>
      <c r="AI700" s="14"/>
      <c r="AJ700" s="14"/>
      <c r="AK700" s="14"/>
      <c r="AL700" s="50"/>
    </row>
    <row r="701" spans="1:62" x14ac:dyDescent="0.3">
      <c r="A701" s="2">
        <v>523</v>
      </c>
      <c r="B701" s="2">
        <v>493</v>
      </c>
      <c r="C701" s="2">
        <v>700</v>
      </c>
      <c r="D701" s="2">
        <v>646</v>
      </c>
      <c r="E701" t="s">
        <v>396</v>
      </c>
      <c r="T701" s="97">
        <v>78.36</v>
      </c>
      <c r="U701" s="97">
        <v>73.73</v>
      </c>
      <c r="V701" s="97">
        <v>82.55</v>
      </c>
      <c r="W701" s="97">
        <v>90.25</v>
      </c>
      <c r="X701" s="97">
        <v>90.31</v>
      </c>
      <c r="Y701" s="97">
        <v>91.51</v>
      </c>
      <c r="AH701" s="14"/>
      <c r="AI701" s="14"/>
      <c r="AJ701" s="14"/>
      <c r="AK701" s="14"/>
      <c r="AL701" s="50"/>
    </row>
    <row r="702" spans="1:62" x14ac:dyDescent="0.3">
      <c r="A702" s="2">
        <v>487</v>
      </c>
      <c r="B702" s="2">
        <v>471</v>
      </c>
      <c r="C702" s="2">
        <v>2393</v>
      </c>
      <c r="E702" t="s">
        <v>373</v>
      </c>
      <c r="AE702" s="2">
        <v>25.22</v>
      </c>
      <c r="AF702" s="2" t="s">
        <v>772</v>
      </c>
      <c r="AG702" s="2" t="s">
        <v>772</v>
      </c>
      <c r="AH702" s="14" t="s">
        <v>772</v>
      </c>
      <c r="AI702" s="14" t="s">
        <v>772</v>
      </c>
      <c r="AJ702" s="14" t="s">
        <v>772</v>
      </c>
      <c r="AK702" s="14" t="s">
        <v>772</v>
      </c>
      <c r="AL702" s="54" t="s">
        <v>772</v>
      </c>
      <c r="AM702" s="19">
        <v>0.10972222222222222</v>
      </c>
      <c r="AN702" s="8">
        <f>(2+(38/60))*AE702</f>
        <v>66.412666666666667</v>
      </c>
    </row>
    <row r="703" spans="1:62" ht="12.5" x14ac:dyDescent="0.25">
      <c r="A703" s="2">
        <v>489</v>
      </c>
      <c r="B703" s="2">
        <v>490</v>
      </c>
      <c r="C703" s="2">
        <v>2271</v>
      </c>
      <c r="E703" t="s">
        <v>307</v>
      </c>
      <c r="G703" t="s">
        <v>1268</v>
      </c>
      <c r="I703" s="2">
        <v>34.28</v>
      </c>
      <c r="J703" s="15">
        <v>1.224</v>
      </c>
      <c r="K703" s="15">
        <v>0.930786</v>
      </c>
      <c r="AE703" s="2">
        <v>30.94</v>
      </c>
      <c r="AF703" s="2">
        <v>31.29</v>
      </c>
      <c r="AG703" s="2">
        <v>33.479999999999997</v>
      </c>
      <c r="AH703" s="2">
        <v>34.28</v>
      </c>
      <c r="AI703" s="14" t="s">
        <v>772</v>
      </c>
      <c r="AJ703" s="14" t="s">
        <v>772</v>
      </c>
      <c r="AK703" s="14" t="s">
        <v>772</v>
      </c>
      <c r="AL703" s="14" t="s">
        <v>772</v>
      </c>
      <c r="AM703" s="19">
        <v>9.0972222222222218E-2</v>
      </c>
      <c r="AN703" s="8">
        <f>(2+(11/60))*AH703</f>
        <v>74.844666666666669</v>
      </c>
    </row>
    <row r="704" spans="1:62" ht="12.5" x14ac:dyDescent="0.25">
      <c r="A704" s="2">
        <v>492</v>
      </c>
      <c r="E704" t="s">
        <v>1397</v>
      </c>
      <c r="K704" s="15"/>
      <c r="AE704" s="2"/>
      <c r="AG704" s="2"/>
      <c r="AH704" s="2"/>
      <c r="AI704" s="14"/>
      <c r="AJ704" s="14"/>
      <c r="AK704" s="14"/>
      <c r="AL704" s="14"/>
      <c r="AM704" s="19"/>
      <c r="AN704" s="8"/>
    </row>
    <row r="705" spans="1:63" x14ac:dyDescent="0.3">
      <c r="A705" s="2">
        <v>493</v>
      </c>
      <c r="B705" s="2">
        <v>416</v>
      </c>
      <c r="C705" s="2">
        <v>1699</v>
      </c>
      <c r="E705" t="s">
        <v>351</v>
      </c>
      <c r="G705" t="s">
        <v>1289</v>
      </c>
      <c r="I705" s="2">
        <v>31.55</v>
      </c>
      <c r="J705" s="15">
        <v>1.127</v>
      </c>
      <c r="K705" s="16">
        <v>1.0129999999999999</v>
      </c>
      <c r="AE705" s="2">
        <v>39.22</v>
      </c>
      <c r="AF705" s="2">
        <v>39.590000000000003</v>
      </c>
      <c r="AG705" s="2">
        <v>31.55</v>
      </c>
      <c r="AH705" s="14" t="s">
        <v>772</v>
      </c>
      <c r="AI705" s="14" t="s">
        <v>772</v>
      </c>
      <c r="AJ705" s="14" t="s">
        <v>772</v>
      </c>
      <c r="AK705" s="14" t="s">
        <v>772</v>
      </c>
      <c r="AL705" s="14" t="s">
        <v>772</v>
      </c>
      <c r="AM705" s="19">
        <v>3.7499999999999999E-2</v>
      </c>
      <c r="AN705" s="8">
        <f>((54/60))*AG705</f>
        <v>28.395</v>
      </c>
    </row>
    <row r="706" spans="1:63" x14ac:dyDescent="0.3">
      <c r="A706" s="2">
        <v>495</v>
      </c>
      <c r="E706" t="s">
        <v>1398</v>
      </c>
      <c r="AE706" s="2"/>
      <c r="AG706" s="2"/>
      <c r="AH706" s="14"/>
      <c r="AI706" s="14"/>
      <c r="AJ706" s="14"/>
      <c r="AK706" s="14"/>
      <c r="AL706" s="14"/>
      <c r="AM706" s="19"/>
      <c r="AN706" s="8"/>
    </row>
    <row r="707" spans="1:63" x14ac:dyDescent="0.3">
      <c r="A707" s="2">
        <v>496</v>
      </c>
      <c r="C707" s="2">
        <v>580</v>
      </c>
      <c r="E707" s="138" t="s">
        <v>1399</v>
      </c>
      <c r="AE707" s="2"/>
      <c r="AG707" s="2"/>
      <c r="AH707" s="14"/>
      <c r="AI707" s="14"/>
      <c r="AJ707" s="14"/>
      <c r="AK707" s="14"/>
      <c r="AL707" s="14"/>
      <c r="AM707" s="19"/>
      <c r="AN707" s="8"/>
    </row>
    <row r="708" spans="1:63" x14ac:dyDescent="0.3">
      <c r="E708" s="138" t="s">
        <v>1730</v>
      </c>
      <c r="AE708" s="2"/>
      <c r="AG708" s="2"/>
      <c r="AH708" s="14"/>
      <c r="AI708" s="14"/>
      <c r="AJ708" s="14"/>
      <c r="AK708" s="14"/>
      <c r="AL708" s="14"/>
      <c r="AM708" s="19"/>
      <c r="AN708" s="8"/>
    </row>
    <row r="709" spans="1:63" x14ac:dyDescent="0.3">
      <c r="A709" s="2">
        <v>497</v>
      </c>
      <c r="E709" t="s">
        <v>1400</v>
      </c>
      <c r="AE709" s="2"/>
      <c r="AG709" s="2"/>
      <c r="AH709" s="14"/>
      <c r="AI709" s="14"/>
      <c r="AJ709" s="14"/>
      <c r="AK709" s="14"/>
      <c r="AL709" s="14"/>
      <c r="AM709" s="19"/>
      <c r="AN709" s="8"/>
    </row>
    <row r="710" spans="1:63" x14ac:dyDescent="0.3">
      <c r="A710" s="2">
        <v>502</v>
      </c>
      <c r="C710" s="2">
        <v>718</v>
      </c>
      <c r="E710" t="s">
        <v>1401</v>
      </c>
      <c r="F710" t="s">
        <v>7</v>
      </c>
      <c r="AE710" s="2"/>
      <c r="AG710" s="2"/>
      <c r="AH710" s="14"/>
      <c r="AI710" s="14"/>
      <c r="AJ710" s="14"/>
      <c r="AK710" s="14"/>
      <c r="AL710" s="14"/>
      <c r="AM710" s="19"/>
      <c r="AN710" s="8"/>
    </row>
    <row r="711" spans="1:63" x14ac:dyDescent="0.3">
      <c r="A711" s="2">
        <v>504</v>
      </c>
      <c r="B711" s="2">
        <v>430</v>
      </c>
      <c r="E711" t="s">
        <v>430</v>
      </c>
      <c r="AH711" s="14"/>
      <c r="AI711" s="14"/>
      <c r="AJ711" s="14"/>
      <c r="AK711" s="14"/>
      <c r="AL711" s="50"/>
    </row>
    <row r="712" spans="1:63" x14ac:dyDescent="0.3">
      <c r="A712" s="2">
        <v>505</v>
      </c>
      <c r="E712" t="s">
        <v>1402</v>
      </c>
      <c r="AH712" s="14"/>
      <c r="AI712" s="14"/>
      <c r="AJ712" s="14"/>
      <c r="AK712" s="14"/>
      <c r="AL712" s="50"/>
    </row>
    <row r="713" spans="1:63" x14ac:dyDescent="0.3">
      <c r="A713" s="2">
        <v>507</v>
      </c>
      <c r="E713" t="s">
        <v>1403</v>
      </c>
      <c r="AH713" s="14"/>
      <c r="AI713" s="14"/>
      <c r="AJ713" s="14"/>
      <c r="AK713" s="14"/>
      <c r="AL713" s="50"/>
    </row>
    <row r="714" spans="1:63" x14ac:dyDescent="0.3">
      <c r="A714" s="2">
        <v>519</v>
      </c>
      <c r="C714" s="2">
        <v>934</v>
      </c>
      <c r="E714" t="s">
        <v>1404</v>
      </c>
      <c r="AH714" s="14"/>
      <c r="AI714" s="14"/>
      <c r="AJ714" s="14"/>
      <c r="AK714" s="14"/>
      <c r="AL714" s="50"/>
    </row>
    <row r="715" spans="1:63" ht="12.5" x14ac:dyDescent="0.25">
      <c r="A715" s="2">
        <v>521</v>
      </c>
      <c r="B715" s="2">
        <v>511</v>
      </c>
      <c r="C715" s="2">
        <v>2572</v>
      </c>
      <c r="E715" t="s">
        <v>277</v>
      </c>
      <c r="G715" t="s">
        <v>1236</v>
      </c>
      <c r="I715" s="2">
        <v>44.87</v>
      </c>
      <c r="J715" s="15">
        <v>1.6020000000000001</v>
      </c>
      <c r="K715" s="15">
        <v>1.399</v>
      </c>
      <c r="AE715" s="2">
        <v>27.88</v>
      </c>
      <c r="AF715" s="2">
        <v>38.53</v>
      </c>
      <c r="AG715" s="2">
        <v>42.92</v>
      </c>
      <c r="AH715" s="2">
        <v>44.87</v>
      </c>
      <c r="AI715" s="14" t="s">
        <v>772</v>
      </c>
      <c r="AJ715" s="14" t="s">
        <v>772</v>
      </c>
      <c r="AK715" s="14" t="s">
        <v>772</v>
      </c>
      <c r="AL715" s="14" t="s">
        <v>772</v>
      </c>
      <c r="AM715" s="19">
        <v>6.805555555555555E-2</v>
      </c>
      <c r="AN715" s="8">
        <f>(1+(27/60))*AH715</f>
        <v>65.061499999999995</v>
      </c>
    </row>
    <row r="716" spans="1:63" s="3" customFormat="1" x14ac:dyDescent="0.3">
      <c r="A716" s="4">
        <v>542</v>
      </c>
      <c r="B716" s="2">
        <v>522</v>
      </c>
      <c r="C716" s="4">
        <v>1508</v>
      </c>
      <c r="D716" s="4">
        <v>1070</v>
      </c>
      <c r="E716" s="3" t="s">
        <v>323</v>
      </c>
      <c r="F716" s="3" t="s">
        <v>6</v>
      </c>
      <c r="H716" s="4">
        <v>100000</v>
      </c>
      <c r="I716" s="4">
        <v>53.31</v>
      </c>
      <c r="J716" s="16">
        <v>1.9039999999999999</v>
      </c>
      <c r="K716" s="16">
        <v>1.468</v>
      </c>
      <c r="L716" s="4"/>
      <c r="M716" s="9"/>
      <c r="N716" s="9"/>
      <c r="O716" s="9"/>
      <c r="P716" s="45"/>
      <c r="Q716" s="45"/>
      <c r="R716" s="45"/>
      <c r="S716" s="45"/>
      <c r="T716" s="95">
        <v>40.299999999999997</v>
      </c>
      <c r="U716" s="95">
        <v>43.52</v>
      </c>
      <c r="V716" s="95">
        <v>54.7</v>
      </c>
      <c r="W716" s="95">
        <v>47.79</v>
      </c>
      <c r="X716" s="95">
        <v>43.3</v>
      </c>
      <c r="Y716" s="95">
        <v>43.31</v>
      </c>
      <c r="Z716" s="95"/>
      <c r="AA716" s="95"/>
      <c r="AB716" s="95"/>
      <c r="AC716" s="95"/>
      <c r="AD716" s="95"/>
      <c r="AE716" s="95">
        <v>42.66</v>
      </c>
      <c r="AF716" s="4">
        <v>45.8</v>
      </c>
      <c r="AG716" s="4">
        <v>54.8</v>
      </c>
      <c r="AH716" s="4">
        <v>53.31</v>
      </c>
      <c r="AI716" s="45" t="s">
        <v>772</v>
      </c>
      <c r="AJ716" s="45" t="s">
        <v>772</v>
      </c>
      <c r="AK716" s="45" t="s">
        <v>772</v>
      </c>
      <c r="AL716" s="45" t="s">
        <v>772</v>
      </c>
      <c r="AM716" s="22">
        <v>7.9861111111111105E-2</v>
      </c>
      <c r="AN716" s="46">
        <f>(1+(55/60))*AH716</f>
        <v>102.17749999999999</v>
      </c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</row>
    <row r="717" spans="1:63" ht="12.5" x14ac:dyDescent="0.25">
      <c r="A717" s="2">
        <v>350</v>
      </c>
      <c r="B717" s="2">
        <v>562</v>
      </c>
      <c r="C717" s="2">
        <v>1773</v>
      </c>
      <c r="D717" s="2">
        <v>737</v>
      </c>
      <c r="E717" t="s">
        <v>174</v>
      </c>
      <c r="F717" t="s">
        <v>6</v>
      </c>
      <c r="G717" t="s">
        <v>1303</v>
      </c>
      <c r="H717" s="2">
        <v>1000</v>
      </c>
      <c r="I717" s="2">
        <v>16.190000000000001</v>
      </c>
      <c r="J717" s="15">
        <v>0.57825300000000002</v>
      </c>
      <c r="K717" s="15">
        <v>0.40984500000000001</v>
      </c>
      <c r="AE717" s="2">
        <v>9.7639999999999993</v>
      </c>
      <c r="AF717" s="2">
        <v>34.79</v>
      </c>
      <c r="AG717" s="2">
        <v>64.400000000000006</v>
      </c>
      <c r="AH717" s="2">
        <v>16.190000000000001</v>
      </c>
      <c r="AI717" s="14" t="s">
        <v>772</v>
      </c>
      <c r="AJ717" s="2">
        <v>9.5009999999999994</v>
      </c>
      <c r="AK717" s="14" t="s">
        <v>772</v>
      </c>
      <c r="AL717" s="14" t="s">
        <v>772</v>
      </c>
      <c r="AM717" s="19">
        <v>0.11597222222222221</v>
      </c>
      <c r="AN717" s="8">
        <f>(2+(47/60))*AJ717</f>
        <v>26.444449999999996</v>
      </c>
    </row>
    <row r="718" spans="1:63" x14ac:dyDescent="0.3">
      <c r="A718" s="2">
        <v>524</v>
      </c>
      <c r="B718" s="2">
        <v>485</v>
      </c>
      <c r="C718" s="2">
        <v>2963</v>
      </c>
      <c r="E718" t="s">
        <v>384</v>
      </c>
      <c r="AE718" s="2">
        <v>24.9</v>
      </c>
      <c r="AF718" s="2" t="s">
        <v>772</v>
      </c>
      <c r="AG718" s="2" t="s">
        <v>772</v>
      </c>
      <c r="AH718" s="14" t="s">
        <v>772</v>
      </c>
      <c r="AI718" s="14" t="s">
        <v>772</v>
      </c>
      <c r="AJ718" s="14" t="s">
        <v>772</v>
      </c>
      <c r="AK718" s="14" t="s">
        <v>772</v>
      </c>
      <c r="AL718" s="54" t="s">
        <v>772</v>
      </c>
      <c r="AM718" s="19">
        <v>6.1805555555555558E-2</v>
      </c>
      <c r="AN718" s="8">
        <f>(1+(29/60))*AE718</f>
        <v>36.935000000000002</v>
      </c>
    </row>
    <row r="719" spans="1:63" x14ac:dyDescent="0.3">
      <c r="A719" s="2">
        <v>526</v>
      </c>
      <c r="B719" s="2">
        <v>514</v>
      </c>
      <c r="C719" s="2">
        <v>1665</v>
      </c>
      <c r="E719" t="s">
        <v>360</v>
      </c>
      <c r="G719" t="s">
        <v>1335</v>
      </c>
      <c r="AE719" s="2">
        <v>38.82</v>
      </c>
      <c r="AF719" s="2" t="s">
        <v>772</v>
      </c>
      <c r="AG719" s="2" t="s">
        <v>772</v>
      </c>
      <c r="AH719" s="14" t="s">
        <v>772</v>
      </c>
      <c r="AI719" s="14" t="s">
        <v>772</v>
      </c>
      <c r="AJ719" s="14" t="s">
        <v>772</v>
      </c>
      <c r="AK719" s="14" t="s">
        <v>772</v>
      </c>
      <c r="AL719" s="54" t="s">
        <v>772</v>
      </c>
      <c r="AM719" s="19">
        <v>2.7083333333333334E-2</v>
      </c>
      <c r="AN719" s="8">
        <f>(39/60)*AE719</f>
        <v>25.233000000000001</v>
      </c>
    </row>
    <row r="720" spans="1:63" x14ac:dyDescent="0.3">
      <c r="A720" s="2">
        <v>528</v>
      </c>
      <c r="E720" t="s">
        <v>1447</v>
      </c>
      <c r="AE720" s="2"/>
      <c r="AG720" s="2"/>
      <c r="AH720" s="14"/>
      <c r="AI720" s="14"/>
      <c r="AJ720" s="14"/>
      <c r="AK720" s="14"/>
      <c r="AL720" s="54"/>
      <c r="AM720" s="19"/>
      <c r="AN720" s="8"/>
    </row>
    <row r="721" spans="1:63" ht="12.5" x14ac:dyDescent="0.25">
      <c r="A721" s="2">
        <v>531</v>
      </c>
      <c r="B721" s="2">
        <v>466</v>
      </c>
      <c r="C721" s="2">
        <v>2691</v>
      </c>
      <c r="E721" t="s">
        <v>319</v>
      </c>
      <c r="G721" t="s">
        <v>1236</v>
      </c>
      <c r="I721" s="2">
        <v>30.78</v>
      </c>
      <c r="J721" s="15">
        <v>1.099</v>
      </c>
      <c r="K721" s="15">
        <v>0.90659599999999996</v>
      </c>
      <c r="AE721" s="2">
        <v>25.87</v>
      </c>
      <c r="AF721" s="2">
        <v>26.61</v>
      </c>
      <c r="AG721" s="2">
        <v>22.63</v>
      </c>
      <c r="AH721" s="2">
        <v>30.78</v>
      </c>
      <c r="AI721" s="14" t="s">
        <v>772</v>
      </c>
      <c r="AJ721" s="14" t="s">
        <v>772</v>
      </c>
      <c r="AK721" s="14" t="s">
        <v>772</v>
      </c>
      <c r="AL721" s="14" t="s">
        <v>772</v>
      </c>
      <c r="AM721" s="19">
        <v>0.11597222222222223</v>
      </c>
      <c r="AN721" s="8">
        <f>(2+(47/60))*AH721</f>
        <v>85.671000000000006</v>
      </c>
    </row>
    <row r="722" spans="1:63" ht="12.5" x14ac:dyDescent="0.25">
      <c r="A722" s="2">
        <v>533</v>
      </c>
      <c r="E722" t="s">
        <v>1451</v>
      </c>
      <c r="K722" s="15"/>
      <c r="AE722" s="2"/>
      <c r="AG722" s="2"/>
      <c r="AH722" s="2"/>
      <c r="AI722" s="14"/>
      <c r="AJ722" s="14"/>
      <c r="AK722" s="14"/>
      <c r="AL722" s="14"/>
      <c r="AM722" s="19"/>
      <c r="AN722" s="8"/>
    </row>
    <row r="723" spans="1:63" ht="12.5" x14ac:dyDescent="0.25">
      <c r="A723" s="2">
        <v>534</v>
      </c>
      <c r="E723" t="s">
        <v>1405</v>
      </c>
      <c r="K723" s="15"/>
      <c r="AE723" s="2"/>
      <c r="AG723" s="2"/>
      <c r="AH723" s="2"/>
      <c r="AI723" s="14"/>
      <c r="AJ723" s="14"/>
      <c r="AK723" s="14"/>
      <c r="AL723" s="14"/>
      <c r="AM723" s="19"/>
      <c r="AN723" s="8"/>
    </row>
    <row r="724" spans="1:63" x14ac:dyDescent="0.3">
      <c r="A724" s="2">
        <v>536</v>
      </c>
      <c r="B724" s="2">
        <v>403</v>
      </c>
      <c r="C724" s="2">
        <v>695</v>
      </c>
      <c r="E724" t="s">
        <v>331</v>
      </c>
      <c r="AE724" s="2">
        <v>56.5</v>
      </c>
      <c r="AF724" s="2">
        <v>94.89</v>
      </c>
      <c r="AG724" s="2">
        <v>75.13</v>
      </c>
      <c r="AH724" s="14" t="s">
        <v>772</v>
      </c>
      <c r="AI724" s="14" t="s">
        <v>772</v>
      </c>
      <c r="AJ724" s="14" t="s">
        <v>772</v>
      </c>
      <c r="AK724" s="14" t="s">
        <v>772</v>
      </c>
      <c r="AL724" s="14" t="s">
        <v>772</v>
      </c>
      <c r="AM724" s="19">
        <v>0.12013888888888889</v>
      </c>
      <c r="AN724" s="8">
        <f>(2+(53/60))*AG724</f>
        <v>216.62483333333333</v>
      </c>
    </row>
    <row r="725" spans="1:63" x14ac:dyDescent="0.3">
      <c r="A725" s="2">
        <v>537</v>
      </c>
      <c r="E725" t="s">
        <v>1406</v>
      </c>
      <c r="AE725" s="2"/>
      <c r="AG725" s="2"/>
      <c r="AH725" s="14"/>
      <c r="AI725" s="14"/>
      <c r="AJ725" s="14"/>
      <c r="AK725" s="14"/>
      <c r="AL725" s="14"/>
      <c r="AM725" s="19"/>
      <c r="AN725" s="8"/>
    </row>
    <row r="726" spans="1:63" ht="12.5" x14ac:dyDescent="0.25">
      <c r="A726" s="2">
        <v>540</v>
      </c>
      <c r="B726" s="2">
        <v>197</v>
      </c>
      <c r="C726" s="2">
        <v>1039</v>
      </c>
      <c r="E726" t="s">
        <v>255</v>
      </c>
      <c r="I726" s="2">
        <v>21.27</v>
      </c>
      <c r="J726" s="15">
        <v>0.75985400000000003</v>
      </c>
      <c r="K726" s="15">
        <v>0.51430399999999998</v>
      </c>
      <c r="AE726" s="2">
        <v>10.65</v>
      </c>
      <c r="AF726" s="2">
        <v>28.76</v>
      </c>
      <c r="AG726" s="2">
        <v>47.43</v>
      </c>
      <c r="AH726" s="54">
        <v>21.27</v>
      </c>
      <c r="AI726" s="54" t="s">
        <v>772</v>
      </c>
      <c r="AJ726" s="54">
        <v>10</v>
      </c>
      <c r="AK726" s="54" t="s">
        <v>772</v>
      </c>
      <c r="AL726" s="54" t="s">
        <v>772</v>
      </c>
      <c r="AM726" s="19">
        <v>0.11388888888888889</v>
      </c>
      <c r="AN726" s="8">
        <f>(2+(44/60))*AJ726</f>
        <v>27.333333333333336</v>
      </c>
    </row>
    <row r="727" spans="1:63" ht="12.5" x14ac:dyDescent="0.25">
      <c r="A727" s="2">
        <v>541</v>
      </c>
      <c r="E727" t="s">
        <v>1407</v>
      </c>
      <c r="K727" s="15"/>
      <c r="AE727" s="2"/>
      <c r="AG727" s="2"/>
      <c r="AH727" s="54"/>
      <c r="AI727" s="54"/>
      <c r="AJ727" s="54"/>
      <c r="AK727" s="54"/>
      <c r="AL727" s="54"/>
      <c r="AM727" s="19"/>
      <c r="AN727" s="8"/>
    </row>
    <row r="728" spans="1:63" ht="12.5" x14ac:dyDescent="0.25">
      <c r="A728" s="2">
        <v>544</v>
      </c>
      <c r="E728" t="s">
        <v>1458</v>
      </c>
      <c r="K728" s="15"/>
      <c r="AE728" s="2"/>
      <c r="AG728" s="2"/>
      <c r="AH728" s="54"/>
      <c r="AI728" s="54"/>
      <c r="AJ728" s="54"/>
      <c r="AK728" s="54"/>
      <c r="AL728" s="54"/>
      <c r="AM728" s="19"/>
      <c r="AN728" s="8"/>
    </row>
    <row r="729" spans="1:63" ht="12.5" x14ac:dyDescent="0.25">
      <c r="A729" s="2">
        <v>546</v>
      </c>
      <c r="B729" s="2">
        <v>447</v>
      </c>
      <c r="C729" s="2">
        <v>807</v>
      </c>
      <c r="E729" t="s">
        <v>262</v>
      </c>
      <c r="I729" s="2">
        <v>97.41</v>
      </c>
      <c r="J729" s="15">
        <v>3.4790000000000001</v>
      </c>
      <c r="K729" s="15">
        <v>3.1579999999999999</v>
      </c>
      <c r="AE729" s="2">
        <v>76.48</v>
      </c>
      <c r="AF729" s="2">
        <v>96.72</v>
      </c>
      <c r="AG729" s="2">
        <v>95.66</v>
      </c>
      <c r="AH729" s="2">
        <v>97.41</v>
      </c>
      <c r="AI729" s="14" t="s">
        <v>772</v>
      </c>
      <c r="AJ729" s="14" t="s">
        <v>772</v>
      </c>
      <c r="AK729" s="14" t="s">
        <v>772</v>
      </c>
      <c r="AL729" s="14" t="s">
        <v>772</v>
      </c>
      <c r="AM729" s="19">
        <v>6.0416666666666667E-2</v>
      </c>
      <c r="AN729" s="8">
        <f>(1+(27/60))*AH729</f>
        <v>141.24449999999999</v>
      </c>
    </row>
    <row r="730" spans="1:63" ht="12.5" x14ac:dyDescent="0.25">
      <c r="A730" s="2">
        <v>549</v>
      </c>
      <c r="E730" t="s">
        <v>1408</v>
      </c>
      <c r="K730" s="15"/>
      <c r="AE730" s="2"/>
      <c r="AG730" s="2"/>
      <c r="AH730" s="2"/>
      <c r="AI730" s="14"/>
      <c r="AJ730" s="14"/>
      <c r="AK730" s="14"/>
      <c r="AL730" s="14"/>
      <c r="AM730" s="19"/>
      <c r="AN730" s="8"/>
    </row>
    <row r="731" spans="1:63" ht="12.5" x14ac:dyDescent="0.25">
      <c r="A731" s="2">
        <v>551</v>
      </c>
      <c r="B731" s="2">
        <v>498</v>
      </c>
      <c r="C731" s="2">
        <v>679</v>
      </c>
      <c r="E731" t="s">
        <v>236</v>
      </c>
      <c r="I731" s="2">
        <v>90.16</v>
      </c>
      <c r="J731" s="15">
        <v>3.22</v>
      </c>
      <c r="K731" s="15">
        <v>2.94</v>
      </c>
      <c r="AE731" s="2">
        <v>64.11</v>
      </c>
      <c r="AF731" s="2">
        <v>86.95</v>
      </c>
      <c r="AG731" s="2">
        <v>96.28</v>
      </c>
      <c r="AH731" s="2">
        <v>90.16</v>
      </c>
      <c r="AI731" s="2" t="s">
        <v>772</v>
      </c>
      <c r="AJ731" s="2">
        <v>103.8</v>
      </c>
      <c r="AK731" s="2" t="s">
        <v>772</v>
      </c>
      <c r="AL731" s="2" t="s">
        <v>772</v>
      </c>
      <c r="AM731" s="19">
        <v>1.7361111111111112E-2</v>
      </c>
      <c r="AN731" s="8">
        <f>(25/60)*AJ731</f>
        <v>43.25</v>
      </c>
    </row>
    <row r="732" spans="1:63" ht="12.5" x14ac:dyDescent="0.25">
      <c r="A732" s="2">
        <v>553</v>
      </c>
      <c r="E732" t="s">
        <v>1446</v>
      </c>
      <c r="K732" s="15"/>
      <c r="AE732" s="2"/>
      <c r="AG732" s="2"/>
      <c r="AH732" s="2"/>
      <c r="AI732" s="2"/>
      <c r="AJ732" s="2"/>
      <c r="AK732" s="2"/>
      <c r="AL732" s="2"/>
      <c r="AM732" s="19"/>
      <c r="AN732" s="8"/>
    </row>
    <row r="733" spans="1:63" ht="12.5" x14ac:dyDescent="0.25">
      <c r="A733" s="2">
        <v>558</v>
      </c>
      <c r="E733" t="s">
        <v>501</v>
      </c>
      <c r="K733" s="15"/>
      <c r="AE733" s="2"/>
      <c r="AG733" s="2"/>
      <c r="AH733" s="2"/>
      <c r="AI733" s="2"/>
      <c r="AJ733" s="2"/>
      <c r="AK733" s="2"/>
      <c r="AL733" s="2"/>
      <c r="AM733" s="19"/>
      <c r="AN733" s="8"/>
    </row>
    <row r="734" spans="1:63" s="3" customFormat="1" x14ac:dyDescent="0.3">
      <c r="A734" s="4">
        <v>633</v>
      </c>
      <c r="B734" s="4">
        <v>561</v>
      </c>
      <c r="C734" s="4">
        <v>2487</v>
      </c>
      <c r="D734" s="4" t="s">
        <v>772</v>
      </c>
      <c r="E734" s="3" t="s">
        <v>1409</v>
      </c>
      <c r="H734" s="4"/>
      <c r="I734" s="4"/>
      <c r="J734" s="16"/>
      <c r="K734" s="16"/>
      <c r="L734" s="4"/>
      <c r="M734" s="9"/>
      <c r="N734" s="9"/>
      <c r="O734" s="9"/>
      <c r="P734" s="45"/>
      <c r="Q734" s="45"/>
      <c r="R734" s="45"/>
      <c r="S734" s="45"/>
      <c r="T734" s="95">
        <v>27.35</v>
      </c>
      <c r="U734" s="95">
        <v>28.74</v>
      </c>
      <c r="V734" s="95">
        <v>31.45</v>
      </c>
      <c r="W734" s="95">
        <v>33.65</v>
      </c>
      <c r="X734" s="95">
        <v>30.22</v>
      </c>
      <c r="Y734" s="95">
        <v>30.74</v>
      </c>
      <c r="Z734" s="9"/>
      <c r="AA734" s="9"/>
      <c r="AB734" s="9"/>
      <c r="AC734" s="9"/>
      <c r="AD734" s="9"/>
      <c r="AE734" s="4"/>
      <c r="AF734" s="4"/>
      <c r="AG734" s="4"/>
      <c r="AH734" s="4"/>
      <c r="AI734" s="4"/>
      <c r="AJ734" s="4"/>
      <c r="AK734" s="4"/>
      <c r="AL734" s="4"/>
      <c r="AM734" s="22"/>
      <c r="AN734" s="46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</row>
    <row r="735" spans="1:63" ht="12.5" x14ac:dyDescent="0.25">
      <c r="A735" s="2">
        <v>563</v>
      </c>
      <c r="E735" t="s">
        <v>1410</v>
      </c>
      <c r="K735" s="15"/>
      <c r="AE735" s="2"/>
      <c r="AG735" s="2"/>
      <c r="AH735" s="2"/>
      <c r="AI735" s="14"/>
      <c r="AJ735" s="2"/>
      <c r="AK735" s="14"/>
      <c r="AL735" s="14"/>
      <c r="AM735" s="19"/>
      <c r="AN735" s="8"/>
    </row>
    <row r="736" spans="1:63" ht="12.5" x14ac:dyDescent="0.25">
      <c r="A736" s="2">
        <v>564</v>
      </c>
      <c r="E736" t="s">
        <v>1411</v>
      </c>
      <c r="K736" s="15"/>
      <c r="AE736" s="2"/>
      <c r="AG736" s="2"/>
      <c r="AH736" s="2"/>
      <c r="AI736" s="14"/>
      <c r="AJ736" s="2"/>
      <c r="AK736" s="14"/>
      <c r="AL736" s="14"/>
      <c r="AM736" s="19"/>
      <c r="AN736" s="8"/>
    </row>
    <row r="737" spans="1:63" ht="12.5" x14ac:dyDescent="0.25">
      <c r="A737" s="2">
        <v>568</v>
      </c>
      <c r="E737" t="s">
        <v>1412</v>
      </c>
      <c r="K737" s="15"/>
      <c r="AE737" s="2"/>
      <c r="AG737" s="2"/>
      <c r="AH737" s="2"/>
      <c r="AI737" s="14"/>
      <c r="AJ737" s="2"/>
      <c r="AK737" s="14"/>
      <c r="AL737" s="14"/>
      <c r="AM737" s="19"/>
      <c r="AN737" s="8"/>
    </row>
    <row r="738" spans="1:63" ht="12.5" x14ac:dyDescent="0.25">
      <c r="A738" s="2">
        <v>571</v>
      </c>
      <c r="C738" s="2">
        <v>790</v>
      </c>
      <c r="E738" t="s">
        <v>1413</v>
      </c>
      <c r="F738" t="s">
        <v>7</v>
      </c>
      <c r="K738" s="15"/>
      <c r="AE738" s="2"/>
      <c r="AG738" s="2"/>
      <c r="AH738" s="2"/>
      <c r="AI738" s="14"/>
      <c r="AJ738" s="2"/>
      <c r="AK738" s="14"/>
      <c r="AL738" s="14"/>
      <c r="AM738" s="19"/>
      <c r="AN738" s="8"/>
    </row>
    <row r="739" spans="1:63" s="3" customFormat="1" x14ac:dyDescent="0.3">
      <c r="A739" s="4">
        <v>986</v>
      </c>
      <c r="B739" s="4">
        <v>572</v>
      </c>
      <c r="C739" s="4">
        <v>3907</v>
      </c>
      <c r="D739" s="4" t="s">
        <v>772</v>
      </c>
      <c r="E739" s="3" t="s">
        <v>1414</v>
      </c>
      <c r="H739" s="4"/>
      <c r="I739" s="4"/>
      <c r="J739" s="16"/>
      <c r="K739" s="16"/>
      <c r="L739" s="4"/>
      <c r="M739" s="9"/>
      <c r="N739" s="9"/>
      <c r="O739" s="9"/>
      <c r="P739" s="45"/>
      <c r="Q739" s="45"/>
      <c r="R739" s="45"/>
      <c r="S739" s="45"/>
      <c r="T739" s="95">
        <v>20.21</v>
      </c>
      <c r="U739" s="95">
        <v>25.14</v>
      </c>
      <c r="V739" s="95">
        <v>52.54</v>
      </c>
      <c r="W739" s="95">
        <v>52.37</v>
      </c>
      <c r="X739" s="95">
        <v>33.4</v>
      </c>
      <c r="Y739" s="95">
        <v>34.630000000000003</v>
      </c>
      <c r="Z739" s="9"/>
      <c r="AA739" s="9"/>
      <c r="AB739" s="9"/>
      <c r="AC739" s="9"/>
      <c r="AD739" s="9"/>
      <c r="AE739" s="4"/>
      <c r="AF739" s="4"/>
      <c r="AG739" s="4"/>
      <c r="AH739" s="4"/>
      <c r="AI739" s="45"/>
      <c r="AJ739" s="4"/>
      <c r="AK739" s="45"/>
      <c r="AL739" s="45"/>
      <c r="AM739" s="22"/>
      <c r="AN739" s="46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</row>
    <row r="740" spans="1:63" ht="12.5" x14ac:dyDescent="0.25">
      <c r="A740" s="2">
        <v>574</v>
      </c>
      <c r="E740" t="s">
        <v>1415</v>
      </c>
      <c r="K740" s="15"/>
      <c r="AE740" s="2"/>
      <c r="AG740" s="2"/>
      <c r="AH740" s="2"/>
      <c r="AI740" s="14"/>
      <c r="AJ740" s="2"/>
      <c r="AK740" s="14"/>
      <c r="AL740" s="14"/>
      <c r="AM740" s="19"/>
      <c r="AN740" s="8"/>
    </row>
    <row r="741" spans="1:63" x14ac:dyDescent="0.3">
      <c r="A741" s="2">
        <v>591</v>
      </c>
      <c r="B741" s="2">
        <v>576</v>
      </c>
      <c r="C741" s="2">
        <v>1424</v>
      </c>
      <c r="E741" t="s">
        <v>361</v>
      </c>
      <c r="G741" t="s">
        <v>1335</v>
      </c>
      <c r="AE741" s="2">
        <v>50.83</v>
      </c>
      <c r="AF741" s="2" t="s">
        <v>772</v>
      </c>
      <c r="AG741" s="2" t="s">
        <v>772</v>
      </c>
      <c r="AH741" s="14" t="s">
        <v>772</v>
      </c>
      <c r="AI741" s="14" t="s">
        <v>772</v>
      </c>
      <c r="AJ741" s="14" t="s">
        <v>772</v>
      </c>
      <c r="AK741" s="14" t="s">
        <v>772</v>
      </c>
      <c r="AL741" s="54" t="s">
        <v>772</v>
      </c>
      <c r="AM741" s="19">
        <v>3.3333333333333333E-2</v>
      </c>
      <c r="AN741" s="8">
        <f>(48/60)*AE741</f>
        <v>40.664000000000001</v>
      </c>
    </row>
    <row r="742" spans="1:63" x14ac:dyDescent="0.3">
      <c r="A742" s="2">
        <v>595</v>
      </c>
      <c r="E742" t="s">
        <v>1459</v>
      </c>
      <c r="AE742" s="2"/>
      <c r="AG742" s="2"/>
      <c r="AH742" s="14"/>
      <c r="AI742" s="14"/>
      <c r="AJ742" s="14"/>
      <c r="AK742" s="14"/>
      <c r="AL742" s="54"/>
      <c r="AM742" s="19"/>
      <c r="AN742" s="8"/>
    </row>
    <row r="743" spans="1:63" x14ac:dyDescent="0.3">
      <c r="A743" s="2">
        <v>597</v>
      </c>
      <c r="E743" t="s">
        <v>1448</v>
      </c>
      <c r="AE743" s="2"/>
      <c r="AG743" s="2"/>
      <c r="AH743" s="14"/>
      <c r="AI743" s="14"/>
      <c r="AJ743" s="14"/>
      <c r="AK743" s="14"/>
      <c r="AL743" s="54"/>
      <c r="AM743" s="19"/>
      <c r="AN743" s="8"/>
    </row>
    <row r="744" spans="1:63" s="3" customFormat="1" x14ac:dyDescent="0.3">
      <c r="A744" s="4">
        <v>652</v>
      </c>
      <c r="B744" s="4">
        <v>606</v>
      </c>
      <c r="C744" s="4">
        <v>3403</v>
      </c>
      <c r="D744" s="4" t="s">
        <v>772</v>
      </c>
      <c r="E744" s="3" t="s">
        <v>1449</v>
      </c>
      <c r="H744" s="4"/>
      <c r="I744" s="4"/>
      <c r="J744" s="16"/>
      <c r="K744" s="16"/>
      <c r="L744" s="4"/>
      <c r="M744" s="9"/>
      <c r="N744" s="9"/>
      <c r="O744" s="9"/>
      <c r="P744" s="45"/>
      <c r="Q744" s="45"/>
      <c r="R744" s="45"/>
      <c r="S744" s="45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4"/>
      <c r="AF744" s="4"/>
      <c r="AG744" s="4"/>
      <c r="AH744" s="45"/>
      <c r="AI744" s="45"/>
      <c r="AJ744" s="45"/>
      <c r="AK744" s="45"/>
      <c r="AL744" s="55"/>
      <c r="AM744" s="22"/>
      <c r="AN744" s="46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</row>
    <row r="745" spans="1:63" x14ac:dyDescent="0.3">
      <c r="A745" s="2">
        <v>610</v>
      </c>
      <c r="E745" t="s">
        <v>1440</v>
      </c>
      <c r="AE745" s="2"/>
      <c r="AG745" s="2"/>
      <c r="AH745" s="14"/>
      <c r="AI745" s="14"/>
      <c r="AJ745" s="14"/>
      <c r="AK745" s="14"/>
      <c r="AL745" s="54"/>
      <c r="AM745" s="19"/>
      <c r="AN745" s="8"/>
    </row>
    <row r="746" spans="1:63" x14ac:dyDescent="0.3">
      <c r="A746" s="2">
        <v>620</v>
      </c>
      <c r="E746" t="s">
        <v>1444</v>
      </c>
      <c r="AE746" s="2"/>
      <c r="AG746" s="2"/>
      <c r="AH746" s="14"/>
      <c r="AI746" s="14"/>
      <c r="AJ746" s="14"/>
      <c r="AK746" s="14"/>
      <c r="AL746" s="54"/>
      <c r="AM746" s="19"/>
      <c r="AN746" s="8"/>
    </row>
    <row r="747" spans="1:63" s="3" customFormat="1" x14ac:dyDescent="0.3">
      <c r="A747" s="4">
        <v>962</v>
      </c>
      <c r="B747" s="4">
        <v>640</v>
      </c>
      <c r="C747" s="4">
        <v>4029</v>
      </c>
      <c r="D747" s="4" t="s">
        <v>772</v>
      </c>
      <c r="E747" s="3" t="s">
        <v>506</v>
      </c>
      <c r="F747" s="3" t="s">
        <v>6</v>
      </c>
      <c r="H747" s="4">
        <v>265</v>
      </c>
      <c r="I747" s="4"/>
      <c r="J747" s="16"/>
      <c r="K747" s="16"/>
      <c r="L747" s="4"/>
      <c r="M747" s="9"/>
      <c r="N747" s="9"/>
      <c r="O747" s="9"/>
      <c r="P747" s="45"/>
      <c r="Q747" s="45"/>
      <c r="R747" s="45"/>
      <c r="S747" s="45"/>
      <c r="T747" s="95">
        <v>16.3</v>
      </c>
      <c r="U747" s="95">
        <v>14.11</v>
      </c>
      <c r="V747" s="95">
        <v>16.440000000000001</v>
      </c>
      <c r="W747" s="95">
        <v>19.690000000000001</v>
      </c>
      <c r="X747" s="95">
        <v>25.56</v>
      </c>
      <c r="Y747" s="95">
        <v>28.09</v>
      </c>
      <c r="Z747" s="9"/>
      <c r="AA747" s="9"/>
      <c r="AB747" s="9"/>
      <c r="AC747" s="9"/>
      <c r="AD747" s="9"/>
      <c r="AE747" s="9"/>
      <c r="AF747" s="4"/>
      <c r="AG747" s="9"/>
      <c r="AH747" s="45"/>
      <c r="AI747" s="45"/>
      <c r="AJ747" s="45"/>
      <c r="AK747" s="45"/>
      <c r="AL747" s="51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</row>
    <row r="748" spans="1:63" s="3" customFormat="1" x14ac:dyDescent="0.3">
      <c r="A748" s="4">
        <v>642</v>
      </c>
      <c r="B748" s="4"/>
      <c r="C748" s="4"/>
      <c r="D748" s="4"/>
      <c r="E748" t="s">
        <v>1454</v>
      </c>
      <c r="H748" s="4"/>
      <c r="I748" s="4"/>
      <c r="J748" s="16"/>
      <c r="K748" s="16"/>
      <c r="L748" s="4"/>
      <c r="M748" s="9"/>
      <c r="N748" s="9"/>
      <c r="O748" s="9"/>
      <c r="P748" s="45"/>
      <c r="Q748" s="45"/>
      <c r="R748" s="45"/>
      <c r="S748" s="45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4"/>
      <c r="AG748" s="9"/>
      <c r="AH748" s="45"/>
      <c r="AI748" s="45"/>
      <c r="AJ748" s="45"/>
      <c r="AK748" s="45"/>
      <c r="AL748" s="51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</row>
    <row r="749" spans="1:63" s="3" customFormat="1" x14ac:dyDescent="0.3">
      <c r="A749" s="4">
        <v>644</v>
      </c>
      <c r="B749" s="4"/>
      <c r="C749" s="4"/>
      <c r="D749" s="4"/>
      <c r="E749" s="3" t="s">
        <v>1452</v>
      </c>
      <c r="H749" s="4"/>
      <c r="I749" s="4"/>
      <c r="J749" s="16"/>
      <c r="K749" s="16"/>
      <c r="L749" s="4"/>
      <c r="M749" s="9"/>
      <c r="N749" s="9"/>
      <c r="O749" s="9"/>
      <c r="P749" s="45"/>
      <c r="Q749" s="45"/>
      <c r="R749" s="45"/>
      <c r="S749" s="45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4"/>
      <c r="AG749" s="9"/>
      <c r="AH749" s="45"/>
      <c r="AI749" s="45"/>
      <c r="AJ749" s="45"/>
      <c r="AK749" s="45"/>
      <c r="AL749" s="51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</row>
    <row r="750" spans="1:63" s="3" customFormat="1" x14ac:dyDescent="0.3">
      <c r="A750" s="2">
        <v>653</v>
      </c>
      <c r="B750" s="4"/>
      <c r="C750" s="4"/>
      <c r="D750" s="4"/>
      <c r="E750" t="s">
        <v>1453</v>
      </c>
      <c r="H750" s="4"/>
      <c r="I750" s="4"/>
      <c r="J750" s="16"/>
      <c r="K750" s="16"/>
      <c r="L750" s="4"/>
      <c r="M750" s="9"/>
      <c r="N750" s="9"/>
      <c r="O750" s="9"/>
      <c r="P750" s="45"/>
      <c r="Q750" s="45"/>
      <c r="R750" s="45"/>
      <c r="S750" s="45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4"/>
      <c r="AG750" s="9"/>
      <c r="AH750" s="45"/>
      <c r="AI750" s="45"/>
      <c r="AJ750" s="45"/>
      <c r="AK750" s="45"/>
      <c r="AL750" s="51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</row>
    <row r="751" spans="1:63" s="3" customFormat="1" x14ac:dyDescent="0.3">
      <c r="A751" s="2">
        <v>669</v>
      </c>
      <c r="B751" s="4"/>
      <c r="C751" s="4"/>
      <c r="D751" s="4"/>
      <c r="E751" t="s">
        <v>1457</v>
      </c>
      <c r="H751" s="4"/>
      <c r="I751" s="4"/>
      <c r="J751" s="16"/>
      <c r="K751" s="16"/>
      <c r="L751" s="4"/>
      <c r="M751" s="9"/>
      <c r="N751" s="9"/>
      <c r="O751" s="9"/>
      <c r="P751" s="45"/>
      <c r="Q751" s="45"/>
      <c r="R751" s="45"/>
      <c r="S751" s="45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4"/>
      <c r="AG751" s="9"/>
      <c r="AH751" s="45"/>
      <c r="AI751" s="45"/>
      <c r="AJ751" s="45"/>
      <c r="AK751" s="45"/>
      <c r="AL751" s="51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</row>
    <row r="752" spans="1:63" s="3" customFormat="1" x14ac:dyDescent="0.3">
      <c r="A752" s="2">
        <v>682</v>
      </c>
      <c r="B752" s="4"/>
      <c r="C752" s="2"/>
      <c r="D752" s="2"/>
      <c r="E752" t="s">
        <v>1455</v>
      </c>
      <c r="H752" s="4"/>
      <c r="I752" s="4"/>
      <c r="J752" s="16"/>
      <c r="K752" s="16"/>
      <c r="L752" s="4"/>
      <c r="M752" s="9"/>
      <c r="N752" s="9"/>
      <c r="O752" s="9"/>
      <c r="P752" s="45"/>
      <c r="Q752" s="45"/>
      <c r="R752" s="45"/>
      <c r="S752" s="45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4"/>
      <c r="AG752" s="9"/>
      <c r="AH752" s="45"/>
      <c r="AI752" s="45"/>
      <c r="AJ752" s="45"/>
      <c r="AK752" s="45"/>
      <c r="AL752" s="51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</row>
    <row r="753" spans="1:63" s="3" customFormat="1" x14ac:dyDescent="0.3">
      <c r="A753" s="2">
        <v>706</v>
      </c>
      <c r="B753" s="4"/>
      <c r="C753" s="2"/>
      <c r="D753" s="2"/>
      <c r="E753" t="s">
        <v>1466</v>
      </c>
      <c r="H753" s="4"/>
      <c r="I753" s="4"/>
      <c r="J753" s="16"/>
      <c r="K753" s="16"/>
      <c r="L753" s="4"/>
      <c r="M753" s="9"/>
      <c r="N753" s="9"/>
      <c r="O753" s="9"/>
      <c r="P753" s="45"/>
      <c r="Q753" s="45"/>
      <c r="R753" s="45"/>
      <c r="S753" s="45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4"/>
      <c r="AG753" s="9"/>
      <c r="AH753" s="45"/>
      <c r="AI753" s="45"/>
      <c r="AJ753" s="45"/>
      <c r="AK753" s="45"/>
      <c r="AL753" s="51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</row>
    <row r="754" spans="1:63" s="145" customFormat="1" x14ac:dyDescent="0.3">
      <c r="A754" s="144">
        <v>1046</v>
      </c>
      <c r="B754" s="144">
        <v>722</v>
      </c>
      <c r="C754" s="144">
        <v>940</v>
      </c>
      <c r="D754" s="144">
        <v>714</v>
      </c>
      <c r="E754" s="139" t="s">
        <v>575</v>
      </c>
      <c r="H754" s="144"/>
      <c r="I754" s="144">
        <v>97.66</v>
      </c>
      <c r="J754" s="146"/>
      <c r="K754" s="146"/>
      <c r="L754" s="144"/>
      <c r="M754" s="147"/>
      <c r="N754" s="147"/>
      <c r="O754" s="147"/>
      <c r="P754" s="148"/>
      <c r="Q754" s="148"/>
      <c r="R754" s="148"/>
      <c r="S754" s="148"/>
      <c r="T754" s="154">
        <v>70.09</v>
      </c>
      <c r="U754" s="154">
        <v>88.87</v>
      </c>
      <c r="V754" s="154">
        <v>78.25</v>
      </c>
      <c r="W754" s="154">
        <v>99.54</v>
      </c>
      <c r="X754" s="154">
        <v>103.8</v>
      </c>
      <c r="Y754" s="154">
        <v>152.80000000000001</v>
      </c>
      <c r="Z754" s="147"/>
      <c r="AA754" s="147"/>
      <c r="AB754" s="147"/>
      <c r="AC754" s="147"/>
      <c r="AD754" s="147"/>
      <c r="AE754" s="147"/>
      <c r="AF754" s="144"/>
      <c r="AG754" s="147"/>
      <c r="AH754" s="148"/>
      <c r="AI754" s="148"/>
      <c r="AJ754" s="148"/>
      <c r="AK754" s="148"/>
      <c r="AL754" s="150"/>
      <c r="AX754" s="147"/>
      <c r="AY754" s="147"/>
      <c r="AZ754" s="147"/>
      <c r="BA754" s="147"/>
      <c r="BB754" s="147"/>
      <c r="BC754" s="147"/>
      <c r="BD754" s="147"/>
      <c r="BE754" s="147"/>
      <c r="BF754" s="147"/>
      <c r="BG754" s="147"/>
      <c r="BH754" s="147"/>
      <c r="BI754" s="147"/>
      <c r="BJ754" s="147"/>
      <c r="BK754" s="147"/>
    </row>
    <row r="755" spans="1:63" x14ac:dyDescent="0.3">
      <c r="A755" s="2">
        <v>742</v>
      </c>
      <c r="B755" s="2">
        <v>625</v>
      </c>
      <c r="E755" t="s">
        <v>630</v>
      </c>
      <c r="I755" s="2">
        <v>19.7</v>
      </c>
      <c r="AH755" s="14"/>
      <c r="AI755" s="14"/>
      <c r="AJ755" s="14"/>
      <c r="AK755" s="14"/>
      <c r="AL755" s="50"/>
    </row>
    <row r="756" spans="1:63" s="145" customFormat="1" x14ac:dyDescent="0.3">
      <c r="A756" s="144">
        <v>2194</v>
      </c>
      <c r="B756" s="144">
        <v>798</v>
      </c>
      <c r="C756" s="144">
        <v>3908</v>
      </c>
      <c r="D756" s="144" t="s">
        <v>772</v>
      </c>
      <c r="E756" s="145" t="s">
        <v>1202</v>
      </c>
      <c r="H756" s="144"/>
      <c r="I756" s="144"/>
      <c r="J756" s="146"/>
      <c r="K756" s="146"/>
      <c r="L756" s="144"/>
      <c r="M756" s="147"/>
      <c r="N756" s="147"/>
      <c r="O756" s="147"/>
      <c r="P756" s="148"/>
      <c r="Q756" s="148"/>
      <c r="R756" s="148"/>
      <c r="S756" s="148"/>
      <c r="T756" s="154">
        <v>11.64</v>
      </c>
      <c r="U756" s="154">
        <v>14.29</v>
      </c>
      <c r="V756" s="154">
        <v>12.26</v>
      </c>
      <c r="W756" s="154">
        <v>15.3</v>
      </c>
      <c r="X756" s="154">
        <v>25.79</v>
      </c>
      <c r="Y756" s="154">
        <v>40.19</v>
      </c>
      <c r="Z756" s="147"/>
      <c r="AA756" s="147"/>
      <c r="AB756" s="147"/>
      <c r="AC756" s="147"/>
      <c r="AD756" s="147"/>
      <c r="AE756" s="147"/>
      <c r="AF756" s="144"/>
      <c r="AG756" s="147"/>
      <c r="AH756" s="148"/>
      <c r="AI756" s="148"/>
      <c r="AJ756" s="148"/>
      <c r="AK756" s="148"/>
      <c r="AL756" s="150"/>
      <c r="AX756" s="147"/>
      <c r="AY756" s="147"/>
      <c r="AZ756" s="147"/>
      <c r="BA756" s="147"/>
      <c r="BB756" s="147"/>
      <c r="BC756" s="147"/>
      <c r="BD756" s="147"/>
      <c r="BE756" s="147"/>
      <c r="BF756" s="147"/>
      <c r="BG756" s="147"/>
      <c r="BH756" s="147"/>
      <c r="BI756" s="147"/>
      <c r="BJ756" s="147"/>
      <c r="BK756" s="147"/>
    </row>
    <row r="757" spans="1:63" s="3" customFormat="1" x14ac:dyDescent="0.3">
      <c r="A757" s="2">
        <v>811</v>
      </c>
      <c r="B757" s="4"/>
      <c r="C757" s="4"/>
      <c r="D757" s="4"/>
      <c r="E757" t="s">
        <v>1469</v>
      </c>
      <c r="H757" s="4"/>
      <c r="I757" s="4"/>
      <c r="J757" s="16"/>
      <c r="K757" s="16"/>
      <c r="L757" s="4"/>
      <c r="M757" s="9"/>
      <c r="N757" s="9"/>
      <c r="O757" s="9"/>
      <c r="P757" s="45"/>
      <c r="Q757" s="45"/>
      <c r="R757" s="45"/>
      <c r="S757" s="45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4"/>
      <c r="AG757" s="9"/>
      <c r="AH757" s="45"/>
      <c r="AI757" s="45"/>
      <c r="AJ757" s="45"/>
      <c r="AK757" s="45"/>
      <c r="AL757" s="51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</row>
    <row r="758" spans="1:63" ht="12.5" x14ac:dyDescent="0.25">
      <c r="A758" s="2">
        <v>822</v>
      </c>
      <c r="E758" t="s">
        <v>1456</v>
      </c>
      <c r="K758" s="15"/>
      <c r="AH758" s="14"/>
      <c r="AI758" s="14"/>
      <c r="AJ758" s="14"/>
      <c r="AK758" s="14"/>
      <c r="AL758" s="50"/>
    </row>
    <row r="759" spans="1:63" s="145" customFormat="1" x14ac:dyDescent="0.3">
      <c r="A759" s="144">
        <v>1405</v>
      </c>
      <c r="B759" s="149">
        <v>824</v>
      </c>
      <c r="C759" s="144">
        <v>3661</v>
      </c>
      <c r="D759" s="144" t="s">
        <v>772</v>
      </c>
      <c r="E759" s="145" t="s">
        <v>388</v>
      </c>
      <c r="H759" s="144"/>
      <c r="I759" s="144"/>
      <c r="J759" s="146"/>
      <c r="K759" s="146"/>
      <c r="L759" s="144"/>
      <c r="M759" s="147"/>
      <c r="N759" s="147"/>
      <c r="O759" s="147"/>
      <c r="P759" s="148"/>
      <c r="Q759" s="148"/>
      <c r="R759" s="148"/>
      <c r="S759" s="148"/>
      <c r="T759" s="154">
        <v>19.16</v>
      </c>
      <c r="U759" s="154">
        <v>22.02</v>
      </c>
      <c r="V759" s="154">
        <v>27.67</v>
      </c>
      <c r="W759" s="154">
        <v>29.88</v>
      </c>
      <c r="X759" s="154">
        <v>31.51</v>
      </c>
      <c r="Y759" s="154">
        <v>35.380000000000003</v>
      </c>
      <c r="Z759" s="147"/>
      <c r="AA759" s="147"/>
      <c r="AB759" s="147"/>
      <c r="AC759" s="147"/>
      <c r="AD759" s="147"/>
      <c r="AE759" s="147"/>
      <c r="AF759" s="144"/>
      <c r="AG759" s="147"/>
      <c r="AH759" s="148"/>
      <c r="AI759" s="148"/>
      <c r="AJ759" s="148"/>
      <c r="AK759" s="148"/>
      <c r="AL759" s="150"/>
      <c r="AX759" s="147"/>
      <c r="AY759" s="147"/>
      <c r="AZ759" s="147"/>
      <c r="BA759" s="147"/>
      <c r="BB759" s="147"/>
      <c r="BC759" s="147"/>
      <c r="BD759" s="147"/>
      <c r="BE759" s="147"/>
      <c r="BF759" s="147"/>
      <c r="BG759" s="147"/>
      <c r="BH759" s="147"/>
      <c r="BI759" s="147"/>
      <c r="BJ759" s="147"/>
      <c r="BK759" s="147"/>
    </row>
    <row r="760" spans="1:63" s="145" customFormat="1" x14ac:dyDescent="0.3">
      <c r="A760" s="144">
        <v>744</v>
      </c>
      <c r="B760" s="144">
        <v>858</v>
      </c>
      <c r="C760" s="144">
        <v>2645</v>
      </c>
      <c r="D760" s="144" t="s">
        <v>772</v>
      </c>
      <c r="E760" s="145" t="s">
        <v>583</v>
      </c>
      <c r="F760" s="145" t="s">
        <v>6</v>
      </c>
      <c r="H760" s="144"/>
      <c r="I760" s="144">
        <v>21.86</v>
      </c>
      <c r="J760" s="146"/>
      <c r="K760" s="146"/>
      <c r="L760" s="144"/>
      <c r="M760" s="147"/>
      <c r="N760" s="147"/>
      <c r="O760" s="147"/>
      <c r="P760" s="148"/>
      <c r="Q760" s="148"/>
      <c r="R760" s="148"/>
      <c r="S760" s="148"/>
      <c r="T760" s="154">
        <v>18.04</v>
      </c>
      <c r="U760" s="154">
        <v>18.489999999999998</v>
      </c>
      <c r="V760" s="154">
        <v>19.39</v>
      </c>
      <c r="W760" s="154">
        <v>19.78</v>
      </c>
      <c r="X760" s="154">
        <v>19.98</v>
      </c>
      <c r="Y760" s="154">
        <v>20.81</v>
      </c>
      <c r="Z760" s="147"/>
      <c r="AA760" s="147"/>
      <c r="AB760" s="147"/>
      <c r="AC760" s="147"/>
      <c r="AD760" s="147"/>
      <c r="AE760" s="147"/>
      <c r="AF760" s="144"/>
      <c r="AG760" s="147"/>
      <c r="AH760" s="148"/>
      <c r="AI760" s="148"/>
      <c r="AJ760" s="148"/>
      <c r="AK760" s="148"/>
      <c r="AL760" s="150"/>
      <c r="AX760" s="147"/>
      <c r="AY760" s="147"/>
      <c r="AZ760" s="147"/>
      <c r="BA760" s="147"/>
      <c r="BB760" s="147"/>
      <c r="BC760" s="147"/>
      <c r="BD760" s="147"/>
      <c r="BE760" s="147"/>
      <c r="BF760" s="147"/>
      <c r="BG760" s="147"/>
      <c r="BH760" s="147"/>
      <c r="BI760" s="147"/>
      <c r="BJ760" s="147"/>
      <c r="BK760" s="147"/>
    </row>
    <row r="761" spans="1:63" s="145" customFormat="1" x14ac:dyDescent="0.3">
      <c r="A761" s="144">
        <v>375</v>
      </c>
      <c r="B761" s="149">
        <v>876</v>
      </c>
      <c r="C761" s="144">
        <v>1820</v>
      </c>
      <c r="D761" s="144" t="s">
        <v>772</v>
      </c>
      <c r="E761" s="145" t="s">
        <v>391</v>
      </c>
      <c r="H761" s="144"/>
      <c r="I761" s="144"/>
      <c r="J761" s="146"/>
      <c r="K761" s="146"/>
      <c r="L761" s="144"/>
      <c r="M761" s="147"/>
      <c r="N761" s="147"/>
      <c r="O761" s="147"/>
      <c r="P761" s="148"/>
      <c r="Q761" s="148"/>
      <c r="R761" s="148"/>
      <c r="S761" s="148"/>
      <c r="T761" s="154">
        <v>39.85</v>
      </c>
      <c r="U761" s="154">
        <v>48.6</v>
      </c>
      <c r="V761" s="154">
        <v>50.1</v>
      </c>
      <c r="W761" s="154">
        <v>42.73</v>
      </c>
      <c r="X761" s="154">
        <v>21.59</v>
      </c>
      <c r="Y761" s="154">
        <v>19.850000000000001</v>
      </c>
      <c r="Z761" s="147"/>
      <c r="AA761" s="147"/>
      <c r="AB761" s="147"/>
      <c r="AC761" s="147"/>
      <c r="AD761" s="147"/>
      <c r="AE761" s="147"/>
      <c r="AF761" s="144"/>
      <c r="AG761" s="147"/>
      <c r="AH761" s="148"/>
      <c r="AI761" s="148"/>
      <c r="AJ761" s="148"/>
      <c r="AK761" s="148"/>
      <c r="AL761" s="150"/>
      <c r="AX761" s="147"/>
      <c r="AY761" s="147"/>
      <c r="AZ761" s="147"/>
      <c r="BA761" s="147"/>
      <c r="BB761" s="147"/>
      <c r="BC761" s="147"/>
      <c r="BD761" s="147"/>
      <c r="BE761" s="147"/>
      <c r="BF761" s="147"/>
      <c r="BG761" s="147"/>
      <c r="BH761" s="147"/>
      <c r="BI761" s="147"/>
      <c r="BJ761" s="147"/>
      <c r="BK761" s="147"/>
    </row>
    <row r="762" spans="1:63" ht="12.5" x14ac:dyDescent="0.25">
      <c r="A762" s="2">
        <v>891</v>
      </c>
      <c r="E762" t="s">
        <v>1468</v>
      </c>
      <c r="K762" s="15"/>
      <c r="AH762" s="14"/>
      <c r="AI762" s="14"/>
      <c r="AJ762" s="14"/>
      <c r="AK762" s="14"/>
      <c r="AL762" s="50"/>
    </row>
    <row r="763" spans="1:63" s="145" customFormat="1" x14ac:dyDescent="0.3">
      <c r="A763" s="144">
        <v>1534</v>
      </c>
      <c r="B763" s="144">
        <v>906</v>
      </c>
      <c r="C763" s="144">
        <v>436</v>
      </c>
      <c r="D763" s="144">
        <v>373</v>
      </c>
      <c r="E763" s="145" t="s">
        <v>597</v>
      </c>
      <c r="H763" s="144"/>
      <c r="I763" s="144">
        <v>149</v>
      </c>
      <c r="J763" s="146"/>
      <c r="K763" s="146"/>
      <c r="L763" s="144"/>
      <c r="M763" s="147"/>
      <c r="N763" s="147"/>
      <c r="O763" s="147"/>
      <c r="P763" s="148"/>
      <c r="Q763" s="148"/>
      <c r="R763" s="148"/>
      <c r="S763" s="148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9"/>
      <c r="AG763" s="147"/>
      <c r="AH763" s="148"/>
      <c r="AI763" s="148"/>
      <c r="AJ763" s="148"/>
      <c r="AK763" s="148"/>
      <c r="AL763" s="150"/>
      <c r="AX763" s="147"/>
      <c r="AY763" s="147"/>
      <c r="AZ763" s="147"/>
      <c r="BA763" s="147"/>
      <c r="BB763" s="147"/>
      <c r="BC763" s="147"/>
      <c r="BD763" s="147"/>
      <c r="BE763" s="147"/>
      <c r="BF763" s="147"/>
      <c r="BG763" s="147"/>
      <c r="BH763" s="147"/>
      <c r="BI763" s="147"/>
      <c r="BJ763" s="147"/>
      <c r="BK763" s="147"/>
    </row>
    <row r="764" spans="1:63" s="3" customFormat="1" x14ac:dyDescent="0.3">
      <c r="A764" s="4">
        <v>910</v>
      </c>
      <c r="B764" s="4"/>
      <c r="C764" s="4"/>
      <c r="D764" s="4"/>
      <c r="E764" s="3" t="s">
        <v>1450</v>
      </c>
      <c r="H764" s="4"/>
      <c r="I764" s="4"/>
      <c r="J764" s="16"/>
      <c r="K764" s="16"/>
      <c r="L764" s="4"/>
      <c r="M764" s="9"/>
      <c r="N764" s="9"/>
      <c r="O764" s="9"/>
      <c r="P764" s="45"/>
      <c r="Q764" s="45"/>
      <c r="R764" s="45"/>
      <c r="S764" s="45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2"/>
      <c r="AG764" s="9"/>
      <c r="AH764" s="45"/>
      <c r="AI764" s="45"/>
      <c r="AJ764" s="45"/>
      <c r="AK764" s="45"/>
      <c r="AL764" s="51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</row>
    <row r="765" spans="1:63" ht="12.5" x14ac:dyDescent="0.25">
      <c r="A765" s="2">
        <v>997</v>
      </c>
      <c r="E765" t="s">
        <v>1467</v>
      </c>
      <c r="K765" s="15"/>
      <c r="AH765" s="14"/>
      <c r="AI765" s="14"/>
      <c r="AJ765" s="14"/>
      <c r="AK765" s="14"/>
      <c r="AL765" s="50"/>
    </row>
    <row r="766" spans="1:63" ht="12.5" x14ac:dyDescent="0.25">
      <c r="A766" s="2">
        <v>1152</v>
      </c>
      <c r="B766" s="2">
        <v>61</v>
      </c>
      <c r="C766" s="2">
        <v>5477</v>
      </c>
      <c r="E766" t="s">
        <v>69</v>
      </c>
      <c r="F766" t="s">
        <v>6</v>
      </c>
      <c r="H766" s="2">
        <v>500</v>
      </c>
      <c r="I766" s="2">
        <v>181.1</v>
      </c>
      <c r="J766" s="15">
        <v>6.47</v>
      </c>
      <c r="K766" s="15">
        <v>3.0150000000000001</v>
      </c>
      <c r="AE766" s="2">
        <v>11.57</v>
      </c>
      <c r="AF766" s="2">
        <v>165.2</v>
      </c>
      <c r="AG766" s="2">
        <v>169.9</v>
      </c>
      <c r="AH766" s="2">
        <v>181.1</v>
      </c>
      <c r="AI766" s="2" t="s">
        <v>772</v>
      </c>
      <c r="AJ766" s="2">
        <v>181.7</v>
      </c>
      <c r="AK766" s="2" t="s">
        <v>772</v>
      </c>
      <c r="AL766" s="2" t="s">
        <v>772</v>
      </c>
      <c r="AM766" s="19">
        <v>7.8472222222222221E-2</v>
      </c>
      <c r="AN766" s="8">
        <f>(1+(53/60))*AJ766</f>
        <v>342.20166666666665</v>
      </c>
      <c r="AX766" s="8">
        <v>147.00608700000001</v>
      </c>
      <c r="AY766" s="8">
        <v>146.08440300000001</v>
      </c>
      <c r="AZ766" s="8">
        <v>151.20167699999999</v>
      </c>
      <c r="BA766" s="8">
        <v>146.795852</v>
      </c>
      <c r="BB766" s="8">
        <v>172.667125</v>
      </c>
      <c r="BC766" s="8">
        <v>19.971360000000001</v>
      </c>
      <c r="BD766" s="8">
        <v>142.32711399999999</v>
      </c>
      <c r="BE766" s="8">
        <v>140.030303</v>
      </c>
      <c r="BF766" s="8">
        <v>196.883747</v>
      </c>
      <c r="BG766" s="8">
        <v>166.41912500000001</v>
      </c>
      <c r="BH766" s="8">
        <v>18.953330000000001</v>
      </c>
      <c r="BI766" s="8">
        <v>18.72428</v>
      </c>
      <c r="BJ766" s="8">
        <v>23.106853000000001</v>
      </c>
    </row>
    <row r="767" spans="1:63" s="145" customFormat="1" x14ac:dyDescent="0.3">
      <c r="A767" s="144">
        <v>2445</v>
      </c>
      <c r="B767" s="144">
        <v>1963</v>
      </c>
      <c r="C767" s="144">
        <v>6853</v>
      </c>
      <c r="D767" s="144">
        <v>6354</v>
      </c>
      <c r="E767" s="145" t="s">
        <v>596</v>
      </c>
      <c r="H767" s="144"/>
      <c r="I767" s="144">
        <v>9.9039999999999999</v>
      </c>
      <c r="J767" s="146">
        <v>0.295076</v>
      </c>
      <c r="K767" s="146">
        <v>0.23366999999999999</v>
      </c>
      <c r="L767" s="144">
        <v>4.6609999999999996</v>
      </c>
      <c r="M767" s="147"/>
      <c r="N767" s="147"/>
      <c r="O767" s="147"/>
      <c r="P767" s="148"/>
      <c r="Q767" s="148"/>
      <c r="R767" s="148"/>
      <c r="S767" s="148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51">
        <v>11.16</v>
      </c>
      <c r="AF767" s="151" t="s">
        <v>772</v>
      </c>
      <c r="AG767" s="151" t="s">
        <v>772</v>
      </c>
      <c r="AH767" s="151" t="s">
        <v>772</v>
      </c>
      <c r="AI767" s="151" t="s">
        <v>772</v>
      </c>
      <c r="AJ767" s="151" t="s">
        <v>772</v>
      </c>
      <c r="AK767" s="151" t="s">
        <v>772</v>
      </c>
      <c r="AL767" s="151" t="s">
        <v>772</v>
      </c>
      <c r="AM767" s="152">
        <v>0.10277777777777777</v>
      </c>
      <c r="AN767" s="153">
        <f>(2+(28/60))*AE767</f>
        <v>27.528000000000002</v>
      </c>
      <c r="AX767" s="147"/>
      <c r="AY767" s="147"/>
      <c r="AZ767" s="147"/>
      <c r="BA767" s="147"/>
      <c r="BB767" s="147"/>
      <c r="BC767" s="147"/>
      <c r="BD767" s="147"/>
      <c r="BE767" s="147"/>
      <c r="BF767" s="147"/>
      <c r="BG767" s="147"/>
      <c r="BH767" s="147"/>
      <c r="BI767" s="147"/>
      <c r="BJ767" s="147"/>
      <c r="BK767" s="147"/>
    </row>
    <row r="768" spans="1:63" s="145" customFormat="1" x14ac:dyDescent="0.3">
      <c r="A768" s="144">
        <v>3568</v>
      </c>
      <c r="B768" s="144">
        <v>4069</v>
      </c>
      <c r="C768" s="144">
        <v>14857</v>
      </c>
      <c r="D768" s="144">
        <v>17258</v>
      </c>
      <c r="E768" s="145" t="s">
        <v>1470</v>
      </c>
      <c r="H768" s="144"/>
      <c r="I768" s="144"/>
      <c r="J768" s="146"/>
      <c r="K768" s="146"/>
      <c r="L768" s="144"/>
      <c r="M768" s="147"/>
      <c r="N768" s="147"/>
      <c r="O768" s="147"/>
      <c r="P768" s="148"/>
      <c r="Q768" s="148"/>
      <c r="R768" s="148"/>
      <c r="S768" s="148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51">
        <v>3.2519999999999998</v>
      </c>
      <c r="AF768" s="151" t="s">
        <v>772</v>
      </c>
      <c r="AG768" s="151" t="s">
        <v>772</v>
      </c>
      <c r="AH768" s="151" t="s">
        <v>772</v>
      </c>
      <c r="AI768" s="151" t="s">
        <v>772</v>
      </c>
      <c r="AJ768" s="151" t="s">
        <v>772</v>
      </c>
      <c r="AK768" s="151" t="s">
        <v>772</v>
      </c>
      <c r="AL768" s="151" t="s">
        <v>772</v>
      </c>
      <c r="AM768" s="152">
        <v>0.1736111111111111</v>
      </c>
      <c r="AN768" s="153">
        <f>(4+(10/60))*AE768</f>
        <v>13.55</v>
      </c>
      <c r="AX768" s="147"/>
      <c r="AY768" s="147"/>
      <c r="AZ768" s="147"/>
      <c r="BA768" s="147"/>
      <c r="BB768" s="147"/>
      <c r="BC768" s="147"/>
      <c r="BD768" s="147"/>
      <c r="BE768" s="147"/>
      <c r="BF768" s="147"/>
      <c r="BG768" s="147"/>
      <c r="BH768" s="147"/>
      <c r="BI768" s="147"/>
      <c r="BJ768" s="147"/>
      <c r="BK768" s="147"/>
    </row>
    <row r="769" spans="1:63" ht="12.5" x14ac:dyDescent="0.25">
      <c r="A769" s="2">
        <v>4901</v>
      </c>
      <c r="B769" s="2">
        <v>5647</v>
      </c>
      <c r="C769" s="2">
        <v>3716</v>
      </c>
      <c r="E769" t="s">
        <v>938</v>
      </c>
      <c r="I769" s="96">
        <v>8.4960000000000004</v>
      </c>
      <c r="K769" s="15"/>
      <c r="O769" s="1">
        <f>AG769/AI769-1</f>
        <v>0.37829566854990593</v>
      </c>
      <c r="AE769" s="98">
        <v>13.24</v>
      </c>
      <c r="AF769" s="99" t="s">
        <v>772</v>
      </c>
      <c r="AG769" s="99">
        <v>11.71</v>
      </c>
      <c r="AH769" s="99" t="s">
        <v>772</v>
      </c>
      <c r="AI769" s="99">
        <v>8.4960000000000004</v>
      </c>
      <c r="AJ769" s="99" t="s">
        <v>772</v>
      </c>
      <c r="AK769" s="99" t="s">
        <v>772</v>
      </c>
      <c r="AL769" s="99" t="s">
        <v>772</v>
      </c>
      <c r="AM769" s="19">
        <v>0.21388888888888888</v>
      </c>
      <c r="AX769" s="8">
        <v>13.24</v>
      </c>
    </row>
    <row r="770" spans="1:63" ht="12.5" x14ac:dyDescent="0.25">
      <c r="A770" s="2">
        <v>7108</v>
      </c>
      <c r="B770" s="2">
        <v>4732</v>
      </c>
      <c r="C770" s="2">
        <v>11116</v>
      </c>
      <c r="E770" t="s">
        <v>869</v>
      </c>
      <c r="I770" s="14">
        <v>6.3339999999999996</v>
      </c>
      <c r="K770" s="15"/>
      <c r="L770" s="15"/>
      <c r="AE770" s="1">
        <v>4.7409999999999997</v>
      </c>
      <c r="AG770" s="1">
        <v>5.9790000000000001</v>
      </c>
      <c r="AH770" s="14"/>
      <c r="AI770" s="14">
        <v>6.3339999999999996</v>
      </c>
      <c r="AJ770" s="14"/>
      <c r="AK770" s="14"/>
      <c r="AL770" s="50"/>
      <c r="AM770" s="19">
        <v>0.1361111111111111</v>
      </c>
    </row>
    <row r="771" spans="1:63" s="145" customFormat="1" x14ac:dyDescent="0.3">
      <c r="A771" s="144">
        <v>1367</v>
      </c>
      <c r="B771" s="144" t="s">
        <v>772</v>
      </c>
      <c r="C771" s="144">
        <v>5071</v>
      </c>
      <c r="D771" s="144" t="s">
        <v>772</v>
      </c>
      <c r="E771" s="145" t="s">
        <v>1471</v>
      </c>
      <c r="H771" s="144"/>
      <c r="I771" s="144"/>
      <c r="J771" s="146"/>
      <c r="K771" s="146"/>
      <c r="L771" s="144"/>
      <c r="M771" s="147"/>
      <c r="N771" s="147"/>
      <c r="O771" s="147"/>
      <c r="P771" s="148"/>
      <c r="Q771" s="148"/>
      <c r="R771" s="148"/>
      <c r="S771" s="148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4"/>
      <c r="AF771" s="144"/>
      <c r="AG771" s="144"/>
      <c r="AH771" s="148"/>
      <c r="AI771" s="148"/>
      <c r="AJ771" s="148"/>
      <c r="AK771" s="148"/>
      <c r="AL771" s="155"/>
      <c r="AM771" s="152"/>
      <c r="AN771" s="153"/>
      <c r="AX771" s="147"/>
      <c r="AY771" s="147"/>
      <c r="AZ771" s="147"/>
      <c r="BA771" s="147"/>
      <c r="BB771" s="147"/>
      <c r="BC771" s="147"/>
      <c r="BD771" s="147"/>
      <c r="BE771" s="147"/>
      <c r="BF771" s="147"/>
      <c r="BG771" s="147"/>
      <c r="BH771" s="147"/>
      <c r="BI771" s="147"/>
      <c r="BJ771" s="147"/>
      <c r="BK771" s="147"/>
    </row>
    <row r="772" spans="1:63" s="145" customFormat="1" x14ac:dyDescent="0.3">
      <c r="A772" s="144">
        <v>9479</v>
      </c>
      <c r="B772" s="144" t="s">
        <v>772</v>
      </c>
      <c r="C772" s="144">
        <v>44288</v>
      </c>
      <c r="D772" s="144" t="s">
        <v>772</v>
      </c>
      <c r="E772" s="145" t="s">
        <v>1472</v>
      </c>
      <c r="H772" s="144"/>
      <c r="I772" s="144"/>
      <c r="J772" s="146"/>
      <c r="K772" s="146"/>
      <c r="L772" s="144"/>
      <c r="M772" s="147"/>
      <c r="N772" s="147"/>
      <c r="O772" s="147"/>
      <c r="P772" s="148"/>
      <c r="Q772" s="148"/>
      <c r="R772" s="148"/>
      <c r="S772" s="148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4"/>
      <c r="AF772" s="144"/>
      <c r="AG772" s="144"/>
      <c r="AH772" s="148"/>
      <c r="AI772" s="148"/>
      <c r="AJ772" s="148"/>
      <c r="AK772" s="148"/>
      <c r="AL772" s="155"/>
      <c r="AM772" s="152"/>
      <c r="AN772" s="153"/>
      <c r="AX772" s="147"/>
      <c r="AY772" s="147"/>
      <c r="AZ772" s="147"/>
      <c r="BA772" s="147"/>
      <c r="BB772" s="147"/>
      <c r="BC772" s="147"/>
      <c r="BD772" s="147"/>
      <c r="BE772" s="147"/>
      <c r="BF772" s="147"/>
      <c r="BG772" s="147"/>
      <c r="BH772" s="147"/>
      <c r="BI772" s="147"/>
      <c r="BJ772" s="147"/>
      <c r="BK772" s="147"/>
    </row>
    <row r="773" spans="1:63" s="5" customFormat="1" x14ac:dyDescent="0.3">
      <c r="A773" s="6">
        <v>16</v>
      </c>
      <c r="B773" s="6">
        <v>24</v>
      </c>
      <c r="C773" s="6" t="s">
        <v>772</v>
      </c>
      <c r="D773" s="6">
        <v>30</v>
      </c>
      <c r="E773" s="5" t="s">
        <v>36</v>
      </c>
      <c r="F773" s="5" t="s">
        <v>7</v>
      </c>
      <c r="H773" s="6">
        <v>2000000</v>
      </c>
      <c r="I773" s="6">
        <v>1071</v>
      </c>
      <c r="J773" s="56">
        <v>38.270000000000003</v>
      </c>
      <c r="K773" s="56">
        <v>26.3</v>
      </c>
      <c r="L773" s="6"/>
      <c r="M773" s="7"/>
      <c r="N773" s="7"/>
      <c r="O773" s="7"/>
      <c r="P773" s="49"/>
      <c r="Q773" s="49"/>
      <c r="R773" s="49"/>
      <c r="S773" s="49"/>
      <c r="T773" s="7"/>
      <c r="U773" s="7"/>
      <c r="V773" s="7"/>
      <c r="W773" s="7"/>
      <c r="X773" s="7"/>
      <c r="Y773" s="6">
        <v>1764</v>
      </c>
      <c r="Z773" s="6">
        <v>1538</v>
      </c>
      <c r="AA773" s="6">
        <v>1780</v>
      </c>
      <c r="AB773" s="6">
        <v>1908</v>
      </c>
      <c r="AC773" s="6">
        <v>1775</v>
      </c>
      <c r="AD773" s="6">
        <v>1559</v>
      </c>
      <c r="AE773" s="6">
        <v>1118</v>
      </c>
      <c r="AF773" s="6">
        <v>922.4</v>
      </c>
      <c r="AG773" s="6">
        <v>1207</v>
      </c>
      <c r="AH773" s="6">
        <v>918</v>
      </c>
      <c r="AI773" s="6" t="s">
        <v>772</v>
      </c>
      <c r="AJ773" s="6">
        <v>912.3</v>
      </c>
      <c r="AK773" s="6" t="s">
        <v>772</v>
      </c>
      <c r="AL773" s="6" t="s">
        <v>772</v>
      </c>
      <c r="AM773" s="52">
        <v>9.2361111111111116E-2</v>
      </c>
      <c r="AN773" s="62">
        <f>(2+(13/60))*AJ773</f>
        <v>2022.2650000000001</v>
      </c>
      <c r="AX773" s="53">
        <v>1689.9765159999999</v>
      </c>
      <c r="AY773" s="53">
        <v>1477.3823689999999</v>
      </c>
      <c r="AZ773" s="53">
        <v>1708.7419359999999</v>
      </c>
      <c r="BA773" s="53">
        <v>1721.521362</v>
      </c>
      <c r="BB773" s="53">
        <v>1656.1159560000001</v>
      </c>
      <c r="BC773" s="53">
        <v>1425.6828700000001</v>
      </c>
      <c r="BD773" s="53">
        <v>1416.573388</v>
      </c>
      <c r="BE773" s="53">
        <v>1502.377782</v>
      </c>
      <c r="BF773" s="53">
        <v>1666.19604</v>
      </c>
      <c r="BG773" s="53">
        <v>1660.424446</v>
      </c>
      <c r="BH773" s="53">
        <v>1798.4774279999999</v>
      </c>
      <c r="BI773" s="53">
        <v>1613.011968</v>
      </c>
      <c r="BJ773" s="53">
        <v>1594.410809</v>
      </c>
      <c r="BK773" s="7"/>
    </row>
    <row r="774" spans="1:63" ht="12.5" x14ac:dyDescent="0.25">
      <c r="A774" s="2">
        <v>21092</v>
      </c>
      <c r="B774" s="2">
        <v>3282</v>
      </c>
      <c r="C774" s="2">
        <v>33</v>
      </c>
      <c r="E774" t="s">
        <v>1223</v>
      </c>
      <c r="I774" s="2">
        <v>957.5</v>
      </c>
      <c r="J774" s="15">
        <v>34.19</v>
      </c>
      <c r="K774" s="15">
        <v>25.31</v>
      </c>
      <c r="AE774" s="2">
        <v>310.10000000000002</v>
      </c>
      <c r="AF774" s="2">
        <v>945.5</v>
      </c>
      <c r="AG774" s="2">
        <v>892.8</v>
      </c>
      <c r="AH774" s="2">
        <v>957.5</v>
      </c>
      <c r="AI774" s="2" t="s">
        <v>772</v>
      </c>
      <c r="AJ774" s="2" t="s">
        <v>772</v>
      </c>
      <c r="AK774" s="2" t="s">
        <v>772</v>
      </c>
      <c r="AL774" s="2" t="s">
        <v>772</v>
      </c>
      <c r="AM774" s="19">
        <v>5.6250000000000001E-2</v>
      </c>
      <c r="AN774" s="8">
        <f>(1+(21/60))*AH774</f>
        <v>1292.625</v>
      </c>
    </row>
    <row r="775" spans="1:63" s="5" customFormat="1" x14ac:dyDescent="0.3">
      <c r="A775" s="6">
        <v>5599</v>
      </c>
      <c r="B775" s="2">
        <v>60</v>
      </c>
      <c r="C775" s="6">
        <v>380</v>
      </c>
      <c r="D775" s="6"/>
      <c r="E775" s="140" t="s">
        <v>124</v>
      </c>
      <c r="F775" s="5" t="s">
        <v>533</v>
      </c>
      <c r="H775" s="6">
        <v>30480</v>
      </c>
      <c r="I775" s="6">
        <v>116.5</v>
      </c>
      <c r="J775" s="17">
        <v>4.1639999999999997</v>
      </c>
      <c r="K775" s="17">
        <v>2.552</v>
      </c>
      <c r="L775" s="6"/>
      <c r="M775" s="7"/>
      <c r="N775" s="7"/>
      <c r="O775" s="7"/>
      <c r="P775" s="49"/>
      <c r="Q775" s="49"/>
      <c r="R775" s="49"/>
      <c r="S775" s="49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6">
        <v>8.8810000000000002</v>
      </c>
      <c r="AF775" s="6">
        <v>128.1</v>
      </c>
      <c r="AG775" s="6">
        <v>109.9</v>
      </c>
      <c r="AH775" s="6">
        <v>116.5</v>
      </c>
      <c r="AI775" s="49" t="s">
        <v>772</v>
      </c>
      <c r="AJ775" s="6">
        <v>118.7</v>
      </c>
      <c r="AK775" s="6" t="s">
        <v>772</v>
      </c>
      <c r="AL775" s="6" t="s">
        <v>772</v>
      </c>
      <c r="AM775" s="52">
        <v>0.19097222222222221</v>
      </c>
      <c r="AN775" s="53">
        <f>(4+(35/60))*AJ775</f>
        <v>544.04166666666663</v>
      </c>
      <c r="AS775"/>
      <c r="AT775"/>
      <c r="AU775"/>
      <c r="AX775" s="8">
        <v>106.192201</v>
      </c>
      <c r="AY775" s="8">
        <v>103.36802900000001</v>
      </c>
      <c r="AZ775" s="8">
        <v>109.769625</v>
      </c>
      <c r="BA775" s="8">
        <v>99.814751999999999</v>
      </c>
      <c r="BB775" s="8">
        <v>97.856289000000004</v>
      </c>
      <c r="BC775" s="8">
        <v>93.128262000000007</v>
      </c>
      <c r="BD775" s="8">
        <v>113.265535</v>
      </c>
      <c r="BE775" s="8">
        <v>127.227411</v>
      </c>
      <c r="BF775" s="8">
        <v>204.18946299999999</v>
      </c>
      <c r="BG775" s="8">
        <v>222.25219899999999</v>
      </c>
      <c r="BH775" s="8">
        <v>247.26208199999999</v>
      </c>
      <c r="BI775" s="8">
        <v>254.25969000000001</v>
      </c>
      <c r="BJ775" s="8">
        <v>264.50171599999999</v>
      </c>
      <c r="BK775" s="7"/>
    </row>
    <row r="776" spans="1:63" ht="12.5" x14ac:dyDescent="0.25">
      <c r="A776" s="2">
        <v>2031</v>
      </c>
      <c r="B776" s="2">
        <v>39</v>
      </c>
      <c r="C776" s="2">
        <v>82</v>
      </c>
      <c r="E776" s="138" t="s">
        <v>1239</v>
      </c>
      <c r="I776" s="2">
        <v>505</v>
      </c>
      <c r="J776" s="15">
        <v>18.03</v>
      </c>
      <c r="K776" s="15">
        <v>10.56</v>
      </c>
      <c r="AE776" s="2">
        <v>156.4</v>
      </c>
      <c r="AF776" s="2">
        <v>481.7</v>
      </c>
      <c r="AG776" s="2">
        <v>498.4</v>
      </c>
      <c r="AH776" s="2">
        <v>505</v>
      </c>
      <c r="AI776" s="14" t="s">
        <v>772</v>
      </c>
      <c r="AJ776" s="14" t="s">
        <v>772</v>
      </c>
      <c r="AK776" s="14" t="s">
        <v>772</v>
      </c>
      <c r="AL776" s="14" t="s">
        <v>772</v>
      </c>
      <c r="AM776" s="19">
        <v>3.2638888888888891E-2</v>
      </c>
      <c r="AN776" s="8">
        <f>(47/60)*AH776</f>
        <v>395.58333333333331</v>
      </c>
    </row>
    <row r="777" spans="1:63" ht="12.5" x14ac:dyDescent="0.25">
      <c r="A777" s="2">
        <v>738</v>
      </c>
      <c r="B777" s="2">
        <v>57</v>
      </c>
      <c r="C777" s="2">
        <v>101</v>
      </c>
      <c r="E777" s="138" t="s">
        <v>905</v>
      </c>
      <c r="G777" t="s">
        <v>1256</v>
      </c>
      <c r="I777" s="2">
        <v>223.9</v>
      </c>
      <c r="J777" s="15">
        <v>7.9989999999999997</v>
      </c>
      <c r="K777" s="15">
        <v>4.6280000000000001</v>
      </c>
      <c r="AE777" s="2">
        <v>187</v>
      </c>
      <c r="AF777" s="2">
        <v>205.9</v>
      </c>
      <c r="AG777" s="2">
        <v>217.7</v>
      </c>
      <c r="AH777" s="2">
        <v>223.9</v>
      </c>
      <c r="AI777" s="2" t="s">
        <v>772</v>
      </c>
      <c r="AJ777" s="2" t="s">
        <v>772</v>
      </c>
      <c r="AK777" s="2" t="s">
        <v>772</v>
      </c>
      <c r="AL777" s="2" t="s">
        <v>772</v>
      </c>
      <c r="AM777" s="19">
        <v>0.35138888888888892</v>
      </c>
      <c r="AN777" s="8">
        <f>(8+(26/30))*AH777</f>
        <v>1985.2466666666669</v>
      </c>
      <c r="AX777" s="8">
        <v>258.37993599999999</v>
      </c>
      <c r="AY777" s="8">
        <v>241.021152</v>
      </c>
      <c r="AZ777" s="8">
        <v>270.30766599999998</v>
      </c>
      <c r="BA777" s="8">
        <v>245.750619</v>
      </c>
      <c r="BB777" s="8">
        <v>237.86867599999999</v>
      </c>
      <c r="BC777" s="8">
        <v>210.486672</v>
      </c>
      <c r="BD777" s="8">
        <v>240.063241</v>
      </c>
      <c r="BE777" s="8">
        <v>245.445652</v>
      </c>
      <c r="BF777" s="8">
        <v>266.51462299999997</v>
      </c>
      <c r="BG777" s="8">
        <v>266.14104800000001</v>
      </c>
      <c r="BH777" s="8">
        <v>300.90450199999998</v>
      </c>
      <c r="BI777" s="8">
        <v>263.21287899999999</v>
      </c>
      <c r="BJ777" s="8">
        <v>251.83457100000001</v>
      </c>
    </row>
    <row r="778" spans="1:63" ht="12.5" x14ac:dyDescent="0.25">
      <c r="A778" s="2">
        <v>8907</v>
      </c>
      <c r="B778" s="2">
        <v>59</v>
      </c>
      <c r="C778" s="2">
        <v>136</v>
      </c>
      <c r="E778" t="s">
        <v>1287</v>
      </c>
      <c r="I778" s="2">
        <v>157.19999999999999</v>
      </c>
      <c r="J778" s="15">
        <v>5.6150000000000002</v>
      </c>
      <c r="K778" s="15">
        <v>3.49</v>
      </c>
      <c r="AE778" s="2">
        <v>46.14</v>
      </c>
      <c r="AF778" s="2">
        <v>72.66</v>
      </c>
      <c r="AG778" s="2">
        <v>157.19999999999999</v>
      </c>
      <c r="AH778" s="2" t="s">
        <v>772</v>
      </c>
      <c r="AI778" s="2" t="s">
        <v>772</v>
      </c>
      <c r="AJ778" s="2" t="s">
        <v>772</v>
      </c>
      <c r="AK778" s="2" t="s">
        <v>772</v>
      </c>
      <c r="AL778" s="2" t="s">
        <v>772</v>
      </c>
      <c r="AM778" s="19">
        <v>0.31597222222222221</v>
      </c>
      <c r="AN778" s="8">
        <f>(7+(35/60))*AG778</f>
        <v>1192.0999999999999</v>
      </c>
      <c r="AX778" s="8">
        <v>38.865037000000001</v>
      </c>
      <c r="AY778" s="8">
        <v>30.654482999999999</v>
      </c>
      <c r="AZ778" s="8">
        <v>41.941941999999997</v>
      </c>
      <c r="BA778" s="8">
        <v>34.580320999999998</v>
      </c>
      <c r="BB778" s="8">
        <v>33.132060000000003</v>
      </c>
      <c r="BC778" s="8">
        <v>38.281266000000002</v>
      </c>
      <c r="BD778" s="8">
        <v>27.968533999999998</v>
      </c>
      <c r="BE778" s="8">
        <v>28.621979</v>
      </c>
      <c r="BF778" s="8">
        <v>34.349792000000001</v>
      </c>
      <c r="BG778" s="8">
        <v>33.915819999999997</v>
      </c>
      <c r="BH778" s="8">
        <v>40.822899</v>
      </c>
      <c r="BI778" s="8">
        <v>43.749751000000003</v>
      </c>
      <c r="BJ778" s="8">
        <v>33.636378000000001</v>
      </c>
    </row>
    <row r="779" spans="1:63" x14ac:dyDescent="0.3">
      <c r="A779" s="2">
        <v>572</v>
      </c>
      <c r="B779" s="2">
        <v>103</v>
      </c>
      <c r="C779" s="2">
        <v>167</v>
      </c>
      <c r="E779" t="s">
        <v>325</v>
      </c>
      <c r="I779" s="2">
        <v>283.3</v>
      </c>
      <c r="J779" s="15">
        <v>10.11</v>
      </c>
      <c r="K779" s="16">
        <v>9.0280000000000005</v>
      </c>
      <c r="AE779" s="2">
        <v>364.6</v>
      </c>
      <c r="AF779" s="2">
        <v>428.9</v>
      </c>
      <c r="AG779" s="2">
        <v>283.3</v>
      </c>
      <c r="AH779" s="14" t="s">
        <v>772</v>
      </c>
      <c r="AI779" s="14" t="s">
        <v>772</v>
      </c>
      <c r="AJ779" s="14" t="s">
        <v>772</v>
      </c>
      <c r="AK779" s="14" t="s">
        <v>772</v>
      </c>
      <c r="AL779" s="54" t="s">
        <v>772</v>
      </c>
      <c r="AM779" s="19">
        <v>1.3888888888888888E-2</v>
      </c>
      <c r="AN779" s="8">
        <f>(20/60)*AG779</f>
        <v>94.433333333333337</v>
      </c>
      <c r="AX779" s="8">
        <v>2257.3749520000001</v>
      </c>
      <c r="AY779" s="8">
        <v>1738.694113</v>
      </c>
      <c r="AZ779" s="8">
        <v>2156.9070390000002</v>
      </c>
      <c r="BA779" s="8">
        <v>2388.9022420000001</v>
      </c>
      <c r="BB779" s="8">
        <v>2476.4790269999999</v>
      </c>
      <c r="BC779" s="8">
        <v>2370.1993160000002</v>
      </c>
      <c r="BD779" s="8">
        <v>2307.2208409999998</v>
      </c>
      <c r="BE779" s="8">
        <v>2441.173288</v>
      </c>
      <c r="BF779" s="8">
        <v>2533.6185599999999</v>
      </c>
      <c r="BG779" s="8">
        <v>2885.704389</v>
      </c>
      <c r="BH779" s="8">
        <v>2555.279372</v>
      </c>
      <c r="BI779" s="8">
        <v>2543.0102280000001</v>
      </c>
      <c r="BJ779" s="8">
        <v>2634.3966489999998</v>
      </c>
    </row>
    <row r="780" spans="1:63" ht="12.5" x14ac:dyDescent="0.25">
      <c r="A780" s="2">
        <v>215</v>
      </c>
      <c r="B780" s="2">
        <v>221</v>
      </c>
      <c r="C780" s="2">
        <v>243</v>
      </c>
      <c r="E780" t="s">
        <v>181</v>
      </c>
      <c r="F780" t="s">
        <v>695</v>
      </c>
      <c r="H780" s="2">
        <v>0</v>
      </c>
      <c r="I780" s="2">
        <v>174</v>
      </c>
      <c r="J780" s="15">
        <v>6.2149999999999999</v>
      </c>
      <c r="K780" s="15">
        <v>2.5489999999999999</v>
      </c>
      <c r="AE780" s="2">
        <v>0.65076800000000001</v>
      </c>
      <c r="AF780" s="2">
        <v>58.32</v>
      </c>
      <c r="AG780" s="2">
        <v>148.5</v>
      </c>
      <c r="AH780" s="2">
        <v>174</v>
      </c>
      <c r="AI780" s="14" t="s">
        <v>772</v>
      </c>
      <c r="AJ780" s="2">
        <v>176.7</v>
      </c>
      <c r="AK780" s="14" t="s">
        <v>772</v>
      </c>
      <c r="AL780" s="14" t="s">
        <v>772</v>
      </c>
      <c r="AM780" s="19">
        <v>0.76527777777777783</v>
      </c>
      <c r="AN780" s="8">
        <f>(18+(22/60))*AJ780</f>
        <v>3245.39</v>
      </c>
      <c r="AX780" s="8">
        <v>2464.3061750000002</v>
      </c>
      <c r="AY780" s="8">
        <v>1898.371979</v>
      </c>
      <c r="AZ780" s="8">
        <v>2392.2286389999999</v>
      </c>
      <c r="BA780" s="8">
        <v>2856.227359</v>
      </c>
      <c r="BB780" s="8">
        <v>2172.723841</v>
      </c>
      <c r="BC780" s="8">
        <v>2114.3393209999999</v>
      </c>
      <c r="BD780" s="8">
        <v>2251.6762789999998</v>
      </c>
      <c r="BE780" s="8">
        <v>1434.9331609999999</v>
      </c>
      <c r="BF780" s="8">
        <v>2289.0212689999998</v>
      </c>
      <c r="BG780" s="8">
        <v>3242.0873630000001</v>
      </c>
      <c r="BH780" s="8">
        <v>2395.29612</v>
      </c>
      <c r="BI780" s="8">
        <v>2307.5561910000001</v>
      </c>
      <c r="BJ780" s="8">
        <v>2005.8505869999999</v>
      </c>
    </row>
    <row r="781" spans="1:63" x14ac:dyDescent="0.3">
      <c r="A781" s="2">
        <v>491</v>
      </c>
      <c r="B781" s="6">
        <v>696</v>
      </c>
      <c r="C781" s="2">
        <v>261</v>
      </c>
      <c r="E781" s="138" t="s">
        <v>362</v>
      </c>
      <c r="G781" t="s">
        <v>1336</v>
      </c>
      <c r="K781" s="15"/>
      <c r="AE781" s="2">
        <v>96.76</v>
      </c>
      <c r="AF781" s="2" t="s">
        <v>772</v>
      </c>
      <c r="AG781" s="2" t="s">
        <v>772</v>
      </c>
      <c r="AH781" s="14" t="s">
        <v>772</v>
      </c>
      <c r="AI781" s="14" t="s">
        <v>772</v>
      </c>
      <c r="AJ781" s="14" t="s">
        <v>772</v>
      </c>
      <c r="AK781" s="14" t="s">
        <v>772</v>
      </c>
      <c r="AL781" s="54" t="s">
        <v>772</v>
      </c>
      <c r="AM781" s="19">
        <v>0.73333333333333328</v>
      </c>
      <c r="AN781" s="8">
        <f>(17+(36/60))*AE781</f>
        <v>1702.9760000000003</v>
      </c>
    </row>
    <row r="782" spans="1:63" s="3" customFormat="1" x14ac:dyDescent="0.3">
      <c r="A782" s="4" t="s">
        <v>772</v>
      </c>
      <c r="B782" s="61" t="s">
        <v>772</v>
      </c>
      <c r="C782" s="4">
        <v>377</v>
      </c>
      <c r="D782" s="4">
        <v>266</v>
      </c>
      <c r="E782" s="3" t="s">
        <v>1420</v>
      </c>
      <c r="H782" s="4"/>
      <c r="I782" s="4"/>
      <c r="J782" s="16"/>
      <c r="K782" s="16"/>
      <c r="L782" s="4"/>
      <c r="M782" s="9"/>
      <c r="N782" s="9"/>
      <c r="O782" s="9"/>
      <c r="P782" s="45"/>
      <c r="Q782" s="45"/>
      <c r="R782" s="45"/>
      <c r="S782" s="45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4"/>
      <c r="AF782" s="4"/>
      <c r="AG782" s="4"/>
      <c r="AH782" s="45"/>
      <c r="AI782" s="45"/>
      <c r="AJ782" s="45"/>
      <c r="AK782" s="45"/>
      <c r="AL782" s="55"/>
      <c r="AM782" s="22"/>
      <c r="AN782" s="46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</row>
    <row r="783" spans="1:63" ht="12.5" x14ac:dyDescent="0.25">
      <c r="A783" s="2">
        <v>514</v>
      </c>
      <c r="B783" s="2">
        <v>232</v>
      </c>
      <c r="C783" s="2">
        <v>266</v>
      </c>
      <c r="E783" s="138" t="s">
        <v>1304</v>
      </c>
      <c r="I783" s="2">
        <v>85.49</v>
      </c>
      <c r="J783" s="15">
        <v>3.0529999999999999</v>
      </c>
      <c r="K783" s="15">
        <v>2.3919999999999999</v>
      </c>
      <c r="AE783" s="2">
        <v>96.26</v>
      </c>
      <c r="AF783" s="2">
        <v>101.2</v>
      </c>
      <c r="AG783" s="2">
        <v>85.49</v>
      </c>
      <c r="AH783" s="2" t="s">
        <v>772</v>
      </c>
      <c r="AI783" s="2" t="s">
        <v>772</v>
      </c>
      <c r="AJ783" s="2" t="s">
        <v>772</v>
      </c>
      <c r="AK783" s="2" t="s">
        <v>772</v>
      </c>
      <c r="AL783" s="2" t="s">
        <v>772</v>
      </c>
      <c r="AM783" s="19">
        <v>0.2638888888888889</v>
      </c>
      <c r="AN783" s="8">
        <f>(6+(20/60))*AG783</f>
        <v>541.43666666666661</v>
      </c>
      <c r="AX783" s="8">
        <v>87.466854999999995</v>
      </c>
      <c r="AY783" s="8">
        <v>82.430024000000003</v>
      </c>
      <c r="AZ783" s="8">
        <v>100.277935</v>
      </c>
      <c r="BA783" s="8">
        <v>72.691682999999998</v>
      </c>
      <c r="BB783" s="8">
        <v>61.535238999999997</v>
      </c>
      <c r="BC783" s="8">
        <v>52.510981000000001</v>
      </c>
      <c r="BD783" s="8">
        <v>73.661755999999997</v>
      </c>
      <c r="BE783" s="8">
        <v>81.647508999999999</v>
      </c>
      <c r="BF783" s="8">
        <v>72.832466999999994</v>
      </c>
      <c r="BG783" s="8">
        <v>71.519317999999998</v>
      </c>
      <c r="BH783" s="8">
        <v>72.353177000000002</v>
      </c>
      <c r="BI783" s="8">
        <v>64.438208000000003</v>
      </c>
      <c r="BJ783" s="8">
        <v>90.260311000000002</v>
      </c>
    </row>
    <row r="784" spans="1:63" ht="12.5" x14ac:dyDescent="0.25">
      <c r="C784" s="2">
        <v>300</v>
      </c>
      <c r="E784" s="138" t="s">
        <v>1418</v>
      </c>
      <c r="K784" s="15"/>
      <c r="AE784" s="2"/>
      <c r="AG784" s="2"/>
      <c r="AH784" s="2"/>
      <c r="AI784" s="2"/>
      <c r="AJ784" s="2"/>
      <c r="AK784" s="2"/>
      <c r="AL784" s="2"/>
      <c r="AM784" s="19"/>
      <c r="AN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</row>
    <row r="785" spans="1:63" ht="12.5" x14ac:dyDescent="0.25">
      <c r="A785" s="2">
        <v>165</v>
      </c>
      <c r="B785" s="2">
        <v>273</v>
      </c>
      <c r="C785" s="2">
        <v>340</v>
      </c>
      <c r="E785" t="s">
        <v>195</v>
      </c>
      <c r="F785" t="s">
        <v>700</v>
      </c>
      <c r="G785" t="s">
        <v>1294</v>
      </c>
      <c r="H785" s="2">
        <v>3000</v>
      </c>
      <c r="I785" s="2">
        <v>40.89</v>
      </c>
      <c r="J785" s="15">
        <v>1.46</v>
      </c>
      <c r="K785" s="15">
        <v>0.75080100000000005</v>
      </c>
      <c r="AE785" s="2">
        <v>41.06</v>
      </c>
      <c r="AF785" s="2">
        <v>32.44</v>
      </c>
      <c r="AG785" s="2">
        <v>96.34</v>
      </c>
      <c r="AH785" s="2">
        <v>40.89</v>
      </c>
      <c r="AI785" s="14" t="s">
        <v>772</v>
      </c>
      <c r="AJ785" s="2">
        <v>52.43</v>
      </c>
      <c r="AK785" s="14" t="s">
        <v>772</v>
      </c>
      <c r="AL785" s="14" t="s">
        <v>772</v>
      </c>
      <c r="AM785" s="19">
        <v>0.36388888888888887</v>
      </c>
      <c r="AN785" s="8">
        <f>(8+(44/60))*AJ785</f>
        <v>457.88866666666661</v>
      </c>
    </row>
    <row r="786" spans="1:63" s="3" customFormat="1" x14ac:dyDescent="0.3">
      <c r="A786" s="4" t="s">
        <v>772</v>
      </c>
      <c r="B786" s="4" t="s">
        <v>772</v>
      </c>
      <c r="C786" s="4">
        <v>468</v>
      </c>
      <c r="D786" s="4">
        <v>359</v>
      </c>
      <c r="E786" s="3" t="s">
        <v>1421</v>
      </c>
      <c r="H786" s="4"/>
      <c r="I786" s="4"/>
      <c r="J786" s="16"/>
      <c r="K786" s="16"/>
      <c r="L786" s="4"/>
      <c r="M786" s="9"/>
      <c r="N786" s="9"/>
      <c r="O786" s="9"/>
      <c r="P786" s="45"/>
      <c r="Q786" s="45"/>
      <c r="R786" s="45"/>
      <c r="S786" s="45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4"/>
      <c r="AF786" s="4"/>
      <c r="AG786" s="4"/>
      <c r="AH786" s="4"/>
      <c r="AI786" s="45"/>
      <c r="AJ786" s="4"/>
      <c r="AK786" s="45"/>
      <c r="AL786" s="45"/>
      <c r="AM786" s="22"/>
      <c r="AN786" s="46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</row>
    <row r="787" spans="1:63" s="3" customFormat="1" x14ac:dyDescent="0.3">
      <c r="A787" s="4"/>
      <c r="B787" s="4"/>
      <c r="C787" s="4">
        <v>367</v>
      </c>
      <c r="D787" s="4"/>
      <c r="E787" s="3" t="s">
        <v>1422</v>
      </c>
      <c r="H787" s="4"/>
      <c r="I787" s="4"/>
      <c r="J787" s="16"/>
      <c r="K787" s="16"/>
      <c r="L787" s="4"/>
      <c r="M787" s="9"/>
      <c r="N787" s="9"/>
      <c r="O787" s="9"/>
      <c r="P787" s="45"/>
      <c r="Q787" s="45"/>
      <c r="R787" s="45"/>
      <c r="S787" s="45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4"/>
      <c r="AF787" s="4"/>
      <c r="AG787" s="4"/>
      <c r="AH787" s="4"/>
      <c r="AI787" s="45"/>
      <c r="AJ787" s="4"/>
      <c r="AK787" s="45"/>
      <c r="AL787" s="45"/>
      <c r="AM787" s="22"/>
      <c r="AN787" s="46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</row>
    <row r="788" spans="1:63" s="3" customFormat="1" x14ac:dyDescent="0.3">
      <c r="A788" s="4"/>
      <c r="B788" s="4"/>
      <c r="C788" s="4">
        <v>368</v>
      </c>
      <c r="D788" s="4"/>
      <c r="E788" s="3" t="s">
        <v>1423</v>
      </c>
      <c r="H788" s="4"/>
      <c r="I788" s="4"/>
      <c r="J788" s="16"/>
      <c r="K788" s="16"/>
      <c r="L788" s="4"/>
      <c r="M788" s="9"/>
      <c r="N788" s="9"/>
      <c r="O788" s="9"/>
      <c r="P788" s="45"/>
      <c r="Q788" s="45"/>
      <c r="R788" s="45"/>
      <c r="S788" s="45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4"/>
      <c r="AF788" s="4"/>
      <c r="AG788" s="4"/>
      <c r="AH788" s="4"/>
      <c r="AI788" s="45"/>
      <c r="AJ788" s="4"/>
      <c r="AK788" s="45"/>
      <c r="AL788" s="45"/>
      <c r="AM788" s="22"/>
      <c r="AN788" s="46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</row>
    <row r="789" spans="1:63" ht="12.5" x14ac:dyDescent="0.25">
      <c r="C789" s="2">
        <v>374</v>
      </c>
      <c r="E789" s="138" t="s">
        <v>1419</v>
      </c>
      <c r="K789" s="15"/>
      <c r="AE789" s="2"/>
      <c r="AG789" s="2"/>
      <c r="AH789" s="2"/>
      <c r="AI789" s="14"/>
      <c r="AJ789" s="2"/>
      <c r="AK789" s="14"/>
      <c r="AL789" s="14"/>
      <c r="AM789" s="19"/>
      <c r="AN789" s="8"/>
    </row>
    <row r="790" spans="1:63" ht="12.5" x14ac:dyDescent="0.25">
      <c r="E790" s="138" t="s">
        <v>1780</v>
      </c>
      <c r="K790" s="15"/>
      <c r="AE790" s="2"/>
      <c r="AG790" s="2"/>
      <c r="AH790" s="2"/>
      <c r="AI790" s="14"/>
      <c r="AJ790" s="2"/>
      <c r="AK790" s="14"/>
      <c r="AL790" s="14"/>
      <c r="AM790" s="19"/>
      <c r="AN790" s="8"/>
    </row>
    <row r="791" spans="1:63" ht="12.5" x14ac:dyDescent="0.25">
      <c r="A791" s="2" t="s">
        <v>772</v>
      </c>
      <c r="B791" s="2" t="s">
        <v>772</v>
      </c>
      <c r="C791" s="2">
        <v>390</v>
      </c>
      <c r="D791" s="2">
        <v>383</v>
      </c>
      <c r="E791" s="138" t="s">
        <v>1416</v>
      </c>
      <c r="K791" s="15"/>
      <c r="AE791" s="2"/>
      <c r="AG791" s="2"/>
      <c r="AH791" s="2"/>
      <c r="AI791" s="14"/>
      <c r="AJ791" s="2"/>
      <c r="AK791" s="14"/>
      <c r="AL791" s="14"/>
      <c r="AM791" s="19"/>
      <c r="AN791" s="8"/>
    </row>
    <row r="792" spans="1:63" x14ac:dyDescent="0.3">
      <c r="C792" s="4">
        <v>514</v>
      </c>
      <c r="D792" s="4">
        <v>395</v>
      </c>
      <c r="E792" s="3" t="s">
        <v>1424</v>
      </c>
      <c r="K792" s="15"/>
      <c r="AE792" s="2"/>
      <c r="AG792" s="2"/>
      <c r="AH792" s="2"/>
      <c r="AI792" s="14"/>
      <c r="AJ792" s="2"/>
      <c r="AK792" s="14"/>
      <c r="AL792" s="14"/>
      <c r="AM792" s="19"/>
      <c r="AN792" s="8"/>
    </row>
    <row r="793" spans="1:63" s="3" customFormat="1" x14ac:dyDescent="0.3">
      <c r="A793" s="4">
        <v>420</v>
      </c>
      <c r="B793" s="4">
        <v>4266</v>
      </c>
      <c r="C793" s="4">
        <v>338</v>
      </c>
      <c r="D793" s="4">
        <v>2400</v>
      </c>
      <c r="E793" s="139" t="s">
        <v>906</v>
      </c>
      <c r="H793" s="4"/>
      <c r="I793" s="45">
        <v>21.07</v>
      </c>
      <c r="J793" s="16"/>
      <c r="K793" s="16"/>
      <c r="L793" s="4"/>
      <c r="M793" s="9"/>
      <c r="N793" s="9"/>
      <c r="O793" s="9">
        <f>AG793/AI793-1</f>
        <v>0.8058851447555766</v>
      </c>
      <c r="P793" s="45"/>
      <c r="Q793" s="45"/>
      <c r="R793" s="45"/>
      <c r="S793" s="45"/>
      <c r="T793" s="9">
        <v>129.4</v>
      </c>
      <c r="U793" s="9">
        <v>126.7</v>
      </c>
      <c r="V793" s="9">
        <v>113</v>
      </c>
      <c r="W793" s="9">
        <v>123.9</v>
      </c>
      <c r="X793" s="9">
        <v>110.4</v>
      </c>
      <c r="Y793" s="9">
        <v>99.51</v>
      </c>
      <c r="Z793" s="9"/>
      <c r="AA793" s="9"/>
      <c r="AB793" s="9"/>
      <c r="AC793" s="9"/>
      <c r="AD793" s="9"/>
      <c r="AE793" s="9"/>
      <c r="AF793" s="4"/>
      <c r="AG793" s="16">
        <v>38.049999999999997</v>
      </c>
      <c r="AH793" s="16"/>
      <c r="AI793" s="16">
        <v>21.07</v>
      </c>
      <c r="AJ793" s="45"/>
      <c r="AK793" s="45"/>
      <c r="AL793" s="51"/>
      <c r="AM793" s="22">
        <v>0.33333333333333331</v>
      </c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</row>
    <row r="794" spans="1:63" ht="12.5" x14ac:dyDescent="0.25">
      <c r="A794" s="2">
        <v>185</v>
      </c>
      <c r="B794" s="2">
        <v>397</v>
      </c>
      <c r="C794" s="2">
        <v>402</v>
      </c>
      <c r="E794" s="138" t="s">
        <v>211</v>
      </c>
      <c r="F794" t="s">
        <v>703</v>
      </c>
      <c r="G794" t="s">
        <v>1314</v>
      </c>
      <c r="H794" s="2">
        <v>100</v>
      </c>
      <c r="I794" s="2">
        <v>131.4</v>
      </c>
      <c r="J794" s="15">
        <v>4.6929999999999996</v>
      </c>
      <c r="K794" s="15">
        <v>2.5499999999999998</v>
      </c>
      <c r="AE794" s="2">
        <v>90.19</v>
      </c>
      <c r="AF794" s="2">
        <v>126.4</v>
      </c>
      <c r="AG794" s="2">
        <v>115.6</v>
      </c>
      <c r="AH794" s="2">
        <v>131.4</v>
      </c>
      <c r="AI794" s="2" t="s">
        <v>772</v>
      </c>
      <c r="AJ794" s="2">
        <v>165</v>
      </c>
      <c r="AK794" s="2" t="s">
        <v>772</v>
      </c>
      <c r="AL794" s="2" t="s">
        <v>772</v>
      </c>
      <c r="AM794" s="19">
        <v>0.24166666666666667</v>
      </c>
      <c r="AN794" s="8">
        <f>(5+(48/60))*AJ794</f>
        <v>957</v>
      </c>
      <c r="AX794" s="54">
        <v>91.753</v>
      </c>
      <c r="AY794" s="54">
        <v>96.531000000000006</v>
      </c>
      <c r="AZ794" s="54">
        <v>88.542000000000002</v>
      </c>
      <c r="BA794" s="54">
        <v>94.876999999999995</v>
      </c>
      <c r="BB794" s="54">
        <v>94.262</v>
      </c>
      <c r="BC794" s="54">
        <v>104.8</v>
      </c>
      <c r="BD794" s="54">
        <v>113.4</v>
      </c>
      <c r="BE794" s="54">
        <v>127</v>
      </c>
      <c r="BF794" s="54">
        <v>60.773000000000003</v>
      </c>
      <c r="BG794" s="54">
        <v>79.558000000000007</v>
      </c>
      <c r="BH794" s="54">
        <v>63.726999999999997</v>
      </c>
      <c r="BI794" s="54">
        <v>34.871000000000002</v>
      </c>
      <c r="BJ794" s="54">
        <v>14.757999999999999</v>
      </c>
    </row>
    <row r="795" spans="1:63" ht="12.5" x14ac:dyDescent="0.25">
      <c r="E795" s="138" t="s">
        <v>1617</v>
      </c>
      <c r="K795" s="15"/>
      <c r="AE795" s="2"/>
      <c r="AG795" s="2"/>
      <c r="AH795" s="2"/>
      <c r="AI795" s="2"/>
      <c r="AJ795" s="2"/>
      <c r="AK795" s="2"/>
      <c r="AL795" s="2"/>
      <c r="AM795" s="19"/>
      <c r="AN795" s="8"/>
      <c r="AX795" s="54"/>
      <c r="AY795" s="54"/>
      <c r="AZ795" s="54"/>
      <c r="BA795" s="54"/>
      <c r="BB795" s="54"/>
      <c r="BC795" s="54"/>
      <c r="BD795" s="54"/>
      <c r="BE795" s="54"/>
      <c r="BF795" s="54"/>
      <c r="BG795" s="54"/>
      <c r="BH795" s="54"/>
      <c r="BI795" s="54"/>
      <c r="BJ795" s="54"/>
    </row>
    <row r="796" spans="1:63" ht="12.5" x14ac:dyDescent="0.25">
      <c r="E796" s="138" t="s">
        <v>1618</v>
      </c>
      <c r="K796" s="15"/>
      <c r="AE796" s="2"/>
      <c r="AG796" s="2"/>
      <c r="AH796" s="2"/>
      <c r="AI796" s="2"/>
      <c r="AJ796" s="2"/>
      <c r="AK796" s="2"/>
      <c r="AL796" s="2"/>
      <c r="AM796" s="19"/>
      <c r="AN796" s="8"/>
      <c r="AX796" s="54"/>
      <c r="AY796" s="54"/>
      <c r="AZ796" s="54"/>
      <c r="BA796" s="54"/>
      <c r="BB796" s="54"/>
      <c r="BC796" s="54"/>
      <c r="BD796" s="54"/>
      <c r="BE796" s="54"/>
      <c r="BF796" s="54"/>
      <c r="BG796" s="54"/>
      <c r="BH796" s="54"/>
      <c r="BI796" s="54"/>
      <c r="BJ796" s="54"/>
    </row>
    <row r="797" spans="1:63" ht="12.5" x14ac:dyDescent="0.25">
      <c r="E797" s="138" t="s">
        <v>1781</v>
      </c>
      <c r="K797" s="15"/>
      <c r="AE797" s="2"/>
      <c r="AG797" s="2"/>
      <c r="AH797" s="2"/>
      <c r="AI797" s="2"/>
      <c r="AJ797" s="2"/>
      <c r="AK797" s="2"/>
      <c r="AL797" s="2"/>
      <c r="AM797" s="19"/>
      <c r="AN797" s="8"/>
      <c r="AX797" s="54"/>
      <c r="AY797" s="54"/>
      <c r="AZ797" s="54"/>
      <c r="BA797" s="54"/>
      <c r="BB797" s="54"/>
      <c r="BC797" s="54"/>
      <c r="BD797" s="54"/>
      <c r="BE797" s="54"/>
      <c r="BF797" s="54"/>
      <c r="BG797" s="54"/>
      <c r="BH797" s="54"/>
      <c r="BI797" s="54"/>
      <c r="BJ797" s="54"/>
    </row>
    <row r="798" spans="1:63" ht="12.5" x14ac:dyDescent="0.25">
      <c r="E798" s="138" t="s">
        <v>1782</v>
      </c>
      <c r="K798" s="15"/>
      <c r="AE798" s="2"/>
      <c r="AG798" s="2"/>
      <c r="AH798" s="2"/>
      <c r="AI798" s="2"/>
      <c r="AJ798" s="2"/>
      <c r="AK798" s="2"/>
      <c r="AL798" s="2"/>
      <c r="AM798" s="19"/>
      <c r="AN798" s="8"/>
      <c r="AX798" s="54"/>
      <c r="AY798" s="54"/>
      <c r="AZ798" s="54"/>
      <c r="BA798" s="54"/>
      <c r="BB798" s="54"/>
      <c r="BC798" s="54"/>
      <c r="BD798" s="54"/>
      <c r="BE798" s="54"/>
      <c r="BF798" s="54"/>
      <c r="BG798" s="54"/>
      <c r="BH798" s="54"/>
      <c r="BI798" s="54"/>
      <c r="BJ798" s="54"/>
    </row>
    <row r="799" spans="1:63" ht="12.5" x14ac:dyDescent="0.25">
      <c r="E799" s="138" t="s">
        <v>1783</v>
      </c>
      <c r="K799" s="15"/>
      <c r="AE799" s="2"/>
      <c r="AG799" s="2"/>
      <c r="AH799" s="2"/>
      <c r="AI799" s="2"/>
      <c r="AJ799" s="2"/>
      <c r="AK799" s="2"/>
      <c r="AL799" s="2"/>
      <c r="AM799" s="19"/>
      <c r="AN799" s="8"/>
      <c r="AX799" s="54"/>
      <c r="AY799" s="54"/>
      <c r="AZ799" s="54"/>
      <c r="BA799" s="54"/>
      <c r="BB799" s="54"/>
      <c r="BC799" s="54"/>
      <c r="BD799" s="54"/>
      <c r="BE799" s="54"/>
      <c r="BF799" s="54"/>
      <c r="BG799" s="54"/>
      <c r="BH799" s="54"/>
      <c r="BI799" s="54"/>
      <c r="BJ799" s="54"/>
    </row>
    <row r="800" spans="1:63" ht="12.5" x14ac:dyDescent="0.25">
      <c r="E800" s="138" t="s">
        <v>1750</v>
      </c>
      <c r="K800" s="15"/>
      <c r="AE800" s="2"/>
      <c r="AG800" s="2"/>
      <c r="AH800" s="2"/>
      <c r="AI800" s="2"/>
      <c r="AJ800" s="2"/>
      <c r="AK800" s="2"/>
      <c r="AL800" s="2"/>
      <c r="AM800" s="19"/>
      <c r="AN800" s="8"/>
      <c r="AX800" s="54"/>
      <c r="AY800" s="54"/>
      <c r="AZ800" s="54"/>
      <c r="BA800" s="54"/>
      <c r="BB800" s="54"/>
      <c r="BC800" s="54"/>
      <c r="BD800" s="54"/>
      <c r="BE800" s="54"/>
      <c r="BF800" s="54"/>
      <c r="BG800" s="54"/>
      <c r="BH800" s="54"/>
      <c r="BI800" s="54"/>
      <c r="BJ800" s="54"/>
    </row>
    <row r="801" spans="1:62" ht="12.5" x14ac:dyDescent="0.25">
      <c r="E801" s="138" t="s">
        <v>1751</v>
      </c>
      <c r="K801" s="15"/>
      <c r="AE801" s="2"/>
      <c r="AG801" s="2"/>
      <c r="AH801" s="2"/>
      <c r="AI801" s="2"/>
      <c r="AJ801" s="2"/>
      <c r="AK801" s="2"/>
      <c r="AL801" s="2"/>
      <c r="AM801" s="19"/>
      <c r="AN801" s="8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  <c r="BI801" s="54"/>
      <c r="BJ801" s="54"/>
    </row>
    <row r="802" spans="1:62" ht="12.5" x14ac:dyDescent="0.25">
      <c r="E802" s="138" t="s">
        <v>1752</v>
      </c>
      <c r="K802" s="15"/>
      <c r="AE802" s="2"/>
      <c r="AG802" s="2"/>
      <c r="AH802" s="2"/>
      <c r="AI802" s="2"/>
      <c r="AJ802" s="2"/>
      <c r="AK802" s="2"/>
      <c r="AL802" s="2"/>
      <c r="AM802" s="19"/>
      <c r="AN802" s="8"/>
      <c r="AX802" s="54"/>
      <c r="AY802" s="54"/>
      <c r="AZ802" s="54"/>
      <c r="BA802" s="54"/>
      <c r="BB802" s="54"/>
      <c r="BC802" s="54"/>
      <c r="BD802" s="54"/>
      <c r="BE802" s="54"/>
      <c r="BF802" s="54"/>
      <c r="BG802" s="54"/>
      <c r="BH802" s="54"/>
      <c r="BI802" s="54"/>
      <c r="BJ802" s="54"/>
    </row>
    <row r="803" spans="1:62" ht="12.5" x14ac:dyDescent="0.25">
      <c r="E803" s="138" t="s">
        <v>1775</v>
      </c>
      <c r="K803" s="15"/>
      <c r="AE803" s="2"/>
      <c r="AG803" s="2"/>
      <c r="AH803" s="2"/>
      <c r="AI803" s="2"/>
      <c r="AJ803" s="2"/>
      <c r="AK803" s="2"/>
      <c r="AL803" s="2"/>
      <c r="AM803" s="19"/>
      <c r="AN803" s="8"/>
      <c r="AX803" s="54"/>
      <c r="AY803" s="54"/>
      <c r="AZ803" s="54"/>
      <c r="BA803" s="54"/>
      <c r="BB803" s="54"/>
      <c r="BC803" s="54"/>
      <c r="BD803" s="54"/>
      <c r="BE803" s="54"/>
      <c r="BF803" s="54"/>
      <c r="BG803" s="54"/>
      <c r="BH803" s="54"/>
      <c r="BI803" s="54"/>
      <c r="BJ803" s="54"/>
    </row>
    <row r="804" spans="1:62" ht="12.5" x14ac:dyDescent="0.25">
      <c r="E804" s="138" t="s">
        <v>1619</v>
      </c>
      <c r="K804" s="15"/>
      <c r="AE804" s="2"/>
      <c r="AG804" s="2"/>
      <c r="AH804" s="2"/>
      <c r="AI804" s="2"/>
      <c r="AJ804" s="2"/>
      <c r="AK804" s="2"/>
      <c r="AL804" s="2"/>
      <c r="AM804" s="19"/>
      <c r="AN804" s="8"/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54"/>
      <c r="BJ804" s="54"/>
    </row>
    <row r="805" spans="1:62" ht="12.5" x14ac:dyDescent="0.25">
      <c r="E805" s="138" t="s">
        <v>1666</v>
      </c>
      <c r="K805" s="15"/>
      <c r="AE805" s="2"/>
      <c r="AG805" s="2"/>
      <c r="AH805" s="2"/>
      <c r="AI805" s="2"/>
      <c r="AJ805" s="2"/>
      <c r="AK805" s="2"/>
      <c r="AL805" s="2"/>
      <c r="AM805" s="19"/>
      <c r="AN805" s="8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54"/>
      <c r="BJ805" s="54"/>
    </row>
    <row r="806" spans="1:62" ht="12.5" x14ac:dyDescent="0.25">
      <c r="E806" s="138" t="s">
        <v>1667</v>
      </c>
      <c r="K806" s="15"/>
      <c r="AE806" s="2"/>
      <c r="AG806" s="2"/>
      <c r="AH806" s="2"/>
      <c r="AI806" s="2"/>
      <c r="AJ806" s="2"/>
      <c r="AK806" s="2"/>
      <c r="AL806" s="2"/>
      <c r="AM806" s="19"/>
      <c r="AN806" s="8"/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  <c r="BI806" s="54"/>
      <c r="BJ806" s="54"/>
    </row>
    <row r="807" spans="1:62" ht="12.5" x14ac:dyDescent="0.25">
      <c r="E807" s="138" t="s">
        <v>1668</v>
      </c>
      <c r="K807" s="15"/>
      <c r="AE807" s="2"/>
      <c r="AG807" s="2"/>
      <c r="AH807" s="2"/>
      <c r="AI807" s="2"/>
      <c r="AJ807" s="2"/>
      <c r="AK807" s="2"/>
      <c r="AL807" s="2"/>
      <c r="AM807" s="19"/>
      <c r="AN807" s="8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  <c r="BI807" s="54"/>
      <c r="BJ807" s="54"/>
    </row>
    <row r="808" spans="1:62" ht="12.5" x14ac:dyDescent="0.25">
      <c r="A808" s="2">
        <v>204</v>
      </c>
      <c r="B808" s="2">
        <v>361</v>
      </c>
      <c r="C808" s="2">
        <v>407</v>
      </c>
      <c r="E808" t="s">
        <v>148</v>
      </c>
      <c r="F808" t="s">
        <v>696</v>
      </c>
      <c r="H808" s="2">
        <v>1000</v>
      </c>
      <c r="I808" s="2">
        <v>114.4</v>
      </c>
      <c r="J808" s="15">
        <v>4.0880000000000001</v>
      </c>
      <c r="K808" s="15">
        <v>3.202</v>
      </c>
      <c r="AE808" s="2">
        <v>0.79500000000000004</v>
      </c>
      <c r="AF808" s="2">
        <v>13.8</v>
      </c>
      <c r="AG808" s="2">
        <v>121.7</v>
      </c>
      <c r="AH808" s="2">
        <v>114.4</v>
      </c>
      <c r="AI808" s="14" t="s">
        <v>772</v>
      </c>
      <c r="AJ808" s="2">
        <v>113.1</v>
      </c>
      <c r="AK808" s="14" t="s">
        <v>772</v>
      </c>
      <c r="AL808" s="14" t="s">
        <v>772</v>
      </c>
      <c r="AM808" s="19">
        <v>0.125</v>
      </c>
      <c r="AN808" s="8">
        <f>3*AJ808</f>
        <v>339.29999999999995</v>
      </c>
    </row>
    <row r="809" spans="1:62" x14ac:dyDescent="0.3">
      <c r="A809" s="2">
        <v>6896</v>
      </c>
      <c r="B809" s="2">
        <v>5999</v>
      </c>
      <c r="C809" s="2">
        <v>640</v>
      </c>
      <c r="D809" s="2">
        <v>409</v>
      </c>
      <c r="E809" t="s">
        <v>576</v>
      </c>
      <c r="I809" s="14">
        <v>51.9</v>
      </c>
      <c r="AH809" s="14"/>
      <c r="AI809" s="14">
        <v>51.9</v>
      </c>
      <c r="AJ809" s="14"/>
      <c r="AK809" s="14"/>
      <c r="AL809" s="50"/>
      <c r="AM809" s="19">
        <v>0.38125000000000003</v>
      </c>
    </row>
    <row r="810" spans="1:62" ht="12.5" x14ac:dyDescent="0.25">
      <c r="A810" s="2">
        <v>122</v>
      </c>
      <c r="B810" s="2">
        <v>329</v>
      </c>
      <c r="C810" s="2">
        <v>435</v>
      </c>
      <c r="E810" t="s">
        <v>197</v>
      </c>
      <c r="F810" t="s">
        <v>6</v>
      </c>
      <c r="G810" t="s">
        <v>1313</v>
      </c>
      <c r="H810" s="2">
        <v>0</v>
      </c>
      <c r="I810" s="2">
        <v>44.14</v>
      </c>
      <c r="J810" s="15">
        <v>0.82471099999999997</v>
      </c>
      <c r="K810" s="15">
        <v>0.57424699999999995</v>
      </c>
      <c r="L810" s="2">
        <v>12.55</v>
      </c>
      <c r="AE810" s="2">
        <v>16.760000000000002</v>
      </c>
      <c r="AF810" s="2">
        <v>118.6</v>
      </c>
      <c r="AG810" s="2">
        <v>102.8</v>
      </c>
      <c r="AH810" s="2">
        <v>38.57</v>
      </c>
      <c r="AI810" s="14" t="s">
        <v>772</v>
      </c>
      <c r="AJ810" s="2">
        <v>19.78</v>
      </c>
      <c r="AK810" s="14" t="s">
        <v>772</v>
      </c>
      <c r="AL810" s="14" t="s">
        <v>772</v>
      </c>
      <c r="AM810" s="19">
        <v>0.12013888888888889</v>
      </c>
      <c r="AN810" s="8">
        <f>(2+(53/60))*AJ810</f>
        <v>57.032333333333334</v>
      </c>
    </row>
    <row r="811" spans="1:62" ht="12.5" x14ac:dyDescent="0.25">
      <c r="A811" s="2">
        <v>475</v>
      </c>
      <c r="B811" s="2">
        <v>362</v>
      </c>
      <c r="C811" s="2">
        <v>495</v>
      </c>
      <c r="E811" t="s">
        <v>304</v>
      </c>
      <c r="I811" s="2">
        <v>113</v>
      </c>
      <c r="J811" s="15">
        <v>4.0380000000000003</v>
      </c>
      <c r="K811" s="15">
        <v>3.5830000000000002</v>
      </c>
      <c r="AE811" s="2">
        <v>155.30000000000001</v>
      </c>
      <c r="AF811" s="2">
        <v>94.58</v>
      </c>
      <c r="AG811" s="2">
        <v>117.8</v>
      </c>
      <c r="AH811" s="2">
        <v>113</v>
      </c>
      <c r="AI811" s="14" t="s">
        <v>772</v>
      </c>
      <c r="AJ811" s="14" t="s">
        <v>772</v>
      </c>
      <c r="AK811" s="14" t="s">
        <v>772</v>
      </c>
      <c r="AL811" s="14" t="s">
        <v>772</v>
      </c>
      <c r="AM811" s="19">
        <v>2.2222222222222223E-2</v>
      </c>
      <c r="AN811" s="8">
        <f>(32/60)*AH811</f>
        <v>60.266666666666666</v>
      </c>
    </row>
    <row r="812" spans="1:62" ht="12.5" x14ac:dyDescent="0.25">
      <c r="A812" s="2" t="s">
        <v>772</v>
      </c>
      <c r="B812" s="2" t="s">
        <v>772</v>
      </c>
      <c r="C812" s="2">
        <v>369</v>
      </c>
      <c r="D812" s="2">
        <v>583</v>
      </c>
      <c r="E812" s="138" t="s">
        <v>1417</v>
      </c>
      <c r="K812" s="15"/>
      <c r="AE812" s="2"/>
      <c r="AG812" s="2"/>
      <c r="AH812" s="2"/>
      <c r="AI812" s="14"/>
      <c r="AJ812" s="14"/>
      <c r="AK812" s="14"/>
      <c r="AL812" s="14"/>
      <c r="AM812" s="19"/>
      <c r="AN812" s="8"/>
    </row>
    <row r="813" spans="1:62" x14ac:dyDescent="0.3">
      <c r="A813" s="2">
        <v>171</v>
      </c>
      <c r="B813" s="2">
        <v>656</v>
      </c>
      <c r="C813" s="2">
        <v>592</v>
      </c>
      <c r="E813" t="s">
        <v>332</v>
      </c>
      <c r="I813" s="2">
        <v>60.2</v>
      </c>
      <c r="J813" s="15">
        <v>2.15</v>
      </c>
      <c r="K813" s="16">
        <v>1.159</v>
      </c>
      <c r="AE813" s="2">
        <v>19.77</v>
      </c>
      <c r="AF813" s="2">
        <v>17.62</v>
      </c>
      <c r="AG813" s="2">
        <v>60.2</v>
      </c>
      <c r="AH813" s="2" t="s">
        <v>772</v>
      </c>
      <c r="AI813" s="2" t="s">
        <v>772</v>
      </c>
      <c r="AJ813" s="2" t="s">
        <v>772</v>
      </c>
      <c r="AK813" s="2" t="s">
        <v>772</v>
      </c>
      <c r="AL813" s="2" t="s">
        <v>772</v>
      </c>
      <c r="AM813" s="19">
        <v>0.3347222222222222</v>
      </c>
      <c r="AN813" s="8">
        <f>(8+(2/60))*AG813</f>
        <v>483.60666666666668</v>
      </c>
    </row>
    <row r="814" spans="1:62" x14ac:dyDescent="0.3">
      <c r="C814" s="2">
        <v>596</v>
      </c>
      <c r="E814" t="s">
        <v>1431</v>
      </c>
      <c r="AE814" s="2"/>
      <c r="AG814" s="2"/>
      <c r="AH814" s="2"/>
      <c r="AI814" s="2"/>
      <c r="AJ814" s="2"/>
      <c r="AK814" s="2"/>
      <c r="AL814" s="2"/>
      <c r="AM814" s="19"/>
      <c r="AN814" s="8"/>
    </row>
    <row r="815" spans="1:62" x14ac:dyDescent="0.3">
      <c r="C815" s="2">
        <v>631</v>
      </c>
      <c r="E815" t="s">
        <v>1427</v>
      </c>
      <c r="AE815" s="2"/>
      <c r="AG815" s="2"/>
      <c r="AH815" s="2"/>
      <c r="AI815" s="2"/>
      <c r="AJ815" s="2"/>
      <c r="AK815" s="2"/>
      <c r="AL815" s="2"/>
      <c r="AM815" s="19"/>
      <c r="AN815" s="8"/>
    </row>
    <row r="816" spans="1:62" x14ac:dyDescent="0.3">
      <c r="A816" s="2">
        <v>184</v>
      </c>
      <c r="B816" s="4">
        <v>742</v>
      </c>
      <c r="C816" s="2">
        <v>631</v>
      </c>
      <c r="E816" t="s">
        <v>252</v>
      </c>
      <c r="F816" t="s">
        <v>707</v>
      </c>
      <c r="H816" s="2">
        <v>1160</v>
      </c>
      <c r="I816" s="2">
        <v>20.97</v>
      </c>
      <c r="J816" s="15">
        <v>0.74927600000000005</v>
      </c>
      <c r="K816" s="15">
        <v>0.51495400000000002</v>
      </c>
      <c r="AE816" s="2">
        <v>18.440000000000001</v>
      </c>
      <c r="AF816" s="2">
        <v>17.88</v>
      </c>
      <c r="AG816" s="2">
        <v>56.6</v>
      </c>
      <c r="AH816" s="54">
        <v>20.97</v>
      </c>
      <c r="AI816" s="54" t="s">
        <v>772</v>
      </c>
      <c r="AJ816" s="54">
        <v>24.63</v>
      </c>
      <c r="AK816" s="54" t="s">
        <v>772</v>
      </c>
      <c r="AL816" s="54" t="s">
        <v>772</v>
      </c>
      <c r="AM816" s="19">
        <v>0.45763888888888887</v>
      </c>
      <c r="AN816" s="8">
        <f>(10+(59/60))*AJ816</f>
        <v>270.51949999999999</v>
      </c>
    </row>
    <row r="817" spans="1:63" ht="12.5" x14ac:dyDescent="0.25">
      <c r="A817" s="2">
        <v>169</v>
      </c>
      <c r="B817" s="2" t="s">
        <v>772</v>
      </c>
      <c r="C817" s="2">
        <v>652</v>
      </c>
      <c r="E817" t="s">
        <v>206</v>
      </c>
      <c r="F817" t="s">
        <v>702</v>
      </c>
      <c r="G817" t="s">
        <v>1282</v>
      </c>
      <c r="H817" s="2">
        <v>3430</v>
      </c>
      <c r="I817" s="2">
        <v>15.65</v>
      </c>
      <c r="J817" s="15">
        <v>0.55903899999999995</v>
      </c>
      <c r="K817" s="15">
        <v>0.33919300000000002</v>
      </c>
      <c r="AE817" s="2">
        <v>7.7720000000000002</v>
      </c>
      <c r="AF817" s="2">
        <v>30.86</v>
      </c>
      <c r="AG817" s="2">
        <v>60.92</v>
      </c>
      <c r="AH817" s="2">
        <v>15.65</v>
      </c>
      <c r="AI817" s="14" t="s">
        <v>772</v>
      </c>
      <c r="AJ817" s="2">
        <v>10.82</v>
      </c>
      <c r="AK817" s="14" t="s">
        <v>772</v>
      </c>
      <c r="AL817" s="14" t="s">
        <v>772</v>
      </c>
      <c r="AM817" s="19">
        <v>0.35625000000000001</v>
      </c>
      <c r="AN817" s="8">
        <f>(8+(33/60))*AJ817</f>
        <v>92.51100000000001</v>
      </c>
    </row>
    <row r="818" spans="1:63" ht="12.5" x14ac:dyDescent="0.25">
      <c r="C818" s="2">
        <v>683</v>
      </c>
      <c r="E818" t="s">
        <v>1428</v>
      </c>
      <c r="K818" s="15"/>
      <c r="AE818" s="2"/>
      <c r="AG818" s="2"/>
      <c r="AH818" s="2"/>
      <c r="AI818" s="14"/>
      <c r="AJ818" s="2"/>
      <c r="AK818" s="14"/>
      <c r="AL818" s="14"/>
      <c r="AM818" s="19"/>
      <c r="AN818" s="8"/>
    </row>
    <row r="819" spans="1:63" ht="12.5" x14ac:dyDescent="0.25">
      <c r="C819" s="2">
        <v>704</v>
      </c>
      <c r="D819" s="2">
        <v>695</v>
      </c>
      <c r="E819" t="s">
        <v>1433</v>
      </c>
      <c r="K819" s="15"/>
      <c r="AE819" s="2"/>
      <c r="AG819" s="2"/>
      <c r="AH819" s="2"/>
      <c r="AI819" s="14"/>
      <c r="AJ819" s="2"/>
      <c r="AK819" s="14"/>
      <c r="AL819" s="14"/>
      <c r="AM819" s="19"/>
      <c r="AN819" s="8"/>
    </row>
    <row r="820" spans="1:63" ht="12.5" x14ac:dyDescent="0.25">
      <c r="A820" s="2">
        <v>326</v>
      </c>
      <c r="B820" s="2">
        <v>626</v>
      </c>
      <c r="C820" s="2">
        <v>710</v>
      </c>
      <c r="E820" t="s">
        <v>347</v>
      </c>
      <c r="I820" s="2">
        <v>84.53</v>
      </c>
      <c r="J820" s="15">
        <v>2.504</v>
      </c>
      <c r="K820" s="15">
        <v>2.1749999999999998</v>
      </c>
      <c r="AE820" s="2">
        <v>39.85</v>
      </c>
      <c r="AF820" s="2">
        <v>55.32</v>
      </c>
      <c r="AG820" s="2">
        <v>70.13</v>
      </c>
      <c r="AH820" s="14" t="s">
        <v>772</v>
      </c>
      <c r="AI820" s="14" t="s">
        <v>772</v>
      </c>
      <c r="AJ820" s="14" t="s">
        <v>772</v>
      </c>
      <c r="AK820" s="14" t="s">
        <v>772</v>
      </c>
      <c r="AL820" s="14" t="s">
        <v>772</v>
      </c>
      <c r="AM820" s="19">
        <v>0.1076388888888889</v>
      </c>
      <c r="AN820" s="8">
        <f>(2+(35/60))*AG820</f>
        <v>181.16916666666665</v>
      </c>
    </row>
    <row r="821" spans="1:63" ht="12.5" x14ac:dyDescent="0.25">
      <c r="C821" s="2">
        <v>752</v>
      </c>
      <c r="E821" t="s">
        <v>1430</v>
      </c>
      <c r="K821" s="15"/>
      <c r="AE821" s="2"/>
      <c r="AG821" s="2"/>
      <c r="AH821" s="14"/>
      <c r="AI821" s="14"/>
      <c r="AJ821" s="14"/>
      <c r="AK821" s="14"/>
      <c r="AL821" s="14"/>
      <c r="AM821" s="19"/>
      <c r="AN821" s="8"/>
    </row>
    <row r="822" spans="1:63" ht="12.5" x14ac:dyDescent="0.25">
      <c r="C822" s="2">
        <v>775</v>
      </c>
      <c r="E822" t="s">
        <v>1460</v>
      </c>
      <c r="K822" s="15"/>
      <c r="AE822" s="2"/>
      <c r="AG822" s="2"/>
      <c r="AH822" s="14"/>
      <c r="AI822" s="14"/>
      <c r="AJ822" s="14"/>
      <c r="AK822" s="14"/>
      <c r="AL822" s="14"/>
      <c r="AM822" s="19"/>
      <c r="AN822" s="8"/>
    </row>
    <row r="823" spans="1:63" ht="12.5" x14ac:dyDescent="0.25">
      <c r="C823" s="2">
        <v>791</v>
      </c>
      <c r="E823" t="s">
        <v>1429</v>
      </c>
      <c r="K823" s="15"/>
      <c r="AE823" s="2"/>
      <c r="AG823" s="2"/>
      <c r="AH823" s="14"/>
      <c r="AI823" s="14"/>
      <c r="AJ823" s="14"/>
      <c r="AK823" s="14"/>
      <c r="AL823" s="14"/>
      <c r="AM823" s="19"/>
      <c r="AN823" s="8"/>
    </row>
    <row r="824" spans="1:63" ht="12.5" x14ac:dyDescent="0.25">
      <c r="A824" s="2">
        <v>548</v>
      </c>
      <c r="B824" s="2" t="s">
        <v>772</v>
      </c>
      <c r="C824" s="2">
        <v>799</v>
      </c>
      <c r="E824" t="s">
        <v>356</v>
      </c>
      <c r="F824" t="s">
        <v>1233</v>
      </c>
      <c r="H824" s="2">
        <v>0</v>
      </c>
      <c r="I824" s="2">
        <v>69.55</v>
      </c>
      <c r="J824" s="15">
        <v>2.484</v>
      </c>
      <c r="K824" s="15">
        <v>2.1949999999999998</v>
      </c>
      <c r="AE824" s="2">
        <v>27.42</v>
      </c>
      <c r="AF824" s="2">
        <v>69.86</v>
      </c>
      <c r="AG824" s="2">
        <v>69.55</v>
      </c>
      <c r="AH824" s="14" t="s">
        <v>772</v>
      </c>
      <c r="AI824" s="14" t="s">
        <v>772</v>
      </c>
      <c r="AJ824" s="14" t="s">
        <v>772</v>
      </c>
      <c r="AK824" s="14" t="s">
        <v>772</v>
      </c>
      <c r="AL824" s="54" t="s">
        <v>772</v>
      </c>
      <c r="AM824" s="19">
        <v>6.805555555555555E-2</v>
      </c>
      <c r="AN824" s="8">
        <f>(1+(38/60))*AG824</f>
        <v>113.59833333333333</v>
      </c>
    </row>
    <row r="825" spans="1:63" s="3" customFormat="1" x14ac:dyDescent="0.3">
      <c r="A825" s="4" t="s">
        <v>772</v>
      </c>
      <c r="B825" s="4" t="s">
        <v>772</v>
      </c>
      <c r="C825" s="4">
        <v>1303</v>
      </c>
      <c r="D825" s="4">
        <v>818</v>
      </c>
      <c r="E825" s="3" t="s">
        <v>1425</v>
      </c>
      <c r="H825" s="4"/>
      <c r="I825" s="4"/>
      <c r="J825" s="16"/>
      <c r="K825" s="16"/>
      <c r="L825" s="4"/>
      <c r="M825" s="9"/>
      <c r="N825" s="9"/>
      <c r="O825" s="9"/>
      <c r="P825" s="45"/>
      <c r="Q825" s="45"/>
      <c r="R825" s="45"/>
      <c r="S825" s="45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4"/>
      <c r="AF825" s="4"/>
      <c r="AG825" s="4"/>
      <c r="AH825" s="45"/>
      <c r="AI825" s="45"/>
      <c r="AJ825" s="45"/>
      <c r="AK825" s="45"/>
      <c r="AL825" s="55"/>
      <c r="AM825" s="22"/>
      <c r="AN825" s="46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</row>
    <row r="826" spans="1:63" s="3" customFormat="1" x14ac:dyDescent="0.3">
      <c r="A826" s="4"/>
      <c r="B826" s="4"/>
      <c r="C826" s="2">
        <v>838</v>
      </c>
      <c r="D826" s="2"/>
      <c r="E826" t="s">
        <v>1464</v>
      </c>
      <c r="H826" s="4"/>
      <c r="I826" s="4"/>
      <c r="J826" s="16"/>
      <c r="K826" s="16"/>
      <c r="L826" s="4"/>
      <c r="M826" s="9"/>
      <c r="N826" s="9"/>
      <c r="O826" s="9"/>
      <c r="P826" s="45"/>
      <c r="Q826" s="45"/>
      <c r="R826" s="45"/>
      <c r="S826" s="45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4"/>
      <c r="AF826" s="4"/>
      <c r="AG826" s="4"/>
      <c r="AH826" s="45"/>
      <c r="AI826" s="45"/>
      <c r="AJ826" s="45"/>
      <c r="AK826" s="45"/>
      <c r="AL826" s="55"/>
      <c r="AM826" s="22"/>
      <c r="AN826" s="46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</row>
    <row r="827" spans="1:63" s="3" customFormat="1" x14ac:dyDescent="0.3">
      <c r="A827" s="4" t="s">
        <v>772</v>
      </c>
      <c r="B827" s="4" t="s">
        <v>772</v>
      </c>
      <c r="C827" s="4">
        <v>923</v>
      </c>
      <c r="D827" s="4">
        <v>885</v>
      </c>
      <c r="E827" s="3" t="s">
        <v>1432</v>
      </c>
      <c r="H827" s="4"/>
      <c r="I827" s="4"/>
      <c r="J827" s="16"/>
      <c r="K827" s="16"/>
      <c r="L827" s="4"/>
      <c r="M827" s="9"/>
      <c r="N827" s="9"/>
      <c r="O827" s="9"/>
      <c r="P827" s="45"/>
      <c r="Q827" s="45"/>
      <c r="R827" s="45"/>
      <c r="S827" s="45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4"/>
      <c r="AF827" s="4"/>
      <c r="AG827" s="4"/>
      <c r="AH827" s="45"/>
      <c r="AI827" s="45"/>
      <c r="AJ827" s="45"/>
      <c r="AK827" s="45"/>
      <c r="AL827" s="55"/>
      <c r="AM827" s="22"/>
      <c r="AN827" s="46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</row>
    <row r="828" spans="1:63" s="3" customFormat="1" x14ac:dyDescent="0.3">
      <c r="A828" s="4"/>
      <c r="B828" s="4"/>
      <c r="C828" s="2">
        <v>895</v>
      </c>
      <c r="D828" s="2"/>
      <c r="E828" t="s">
        <v>1463</v>
      </c>
      <c r="H828" s="4"/>
      <c r="I828" s="4"/>
      <c r="J828" s="16"/>
      <c r="K828" s="16"/>
      <c r="L828" s="4"/>
      <c r="M828" s="9"/>
      <c r="N828" s="9"/>
      <c r="O828" s="9"/>
      <c r="P828" s="45"/>
      <c r="Q828" s="45"/>
      <c r="R828" s="45"/>
      <c r="S828" s="45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4"/>
      <c r="AF828" s="4"/>
      <c r="AG828" s="4"/>
      <c r="AH828" s="45"/>
      <c r="AI828" s="45"/>
      <c r="AJ828" s="45"/>
      <c r="AK828" s="45"/>
      <c r="AL828" s="55"/>
      <c r="AM828" s="22"/>
      <c r="AN828" s="46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</row>
    <row r="829" spans="1:63" ht="12.5" x14ac:dyDescent="0.25">
      <c r="A829" s="2">
        <v>206</v>
      </c>
      <c r="B829" s="2">
        <v>765</v>
      </c>
      <c r="C829" s="2">
        <v>902</v>
      </c>
      <c r="E829" t="s">
        <v>264</v>
      </c>
      <c r="I829" s="2">
        <v>16.64</v>
      </c>
      <c r="J829" s="15">
        <v>0.59441699999999997</v>
      </c>
      <c r="K829" s="15">
        <v>0.44917699999999999</v>
      </c>
      <c r="AE829" s="2">
        <v>15.03</v>
      </c>
      <c r="AF829" s="2">
        <v>20.25</v>
      </c>
      <c r="AG829" s="2">
        <v>35.54</v>
      </c>
      <c r="AH829" s="2">
        <v>16.64</v>
      </c>
      <c r="AI829" s="14" t="s">
        <v>772</v>
      </c>
      <c r="AJ829" s="14" t="s">
        <v>772</v>
      </c>
      <c r="AK829" s="14" t="s">
        <v>772</v>
      </c>
      <c r="AL829" s="14" t="s">
        <v>772</v>
      </c>
      <c r="AM829" s="19">
        <v>0.21527777777777779</v>
      </c>
      <c r="AN829" s="8">
        <f>(5+(10/60))*AH829</f>
        <v>85.973333333333343</v>
      </c>
    </row>
    <row r="830" spans="1:63" ht="12.5" x14ac:dyDescent="0.25">
      <c r="C830" s="2">
        <v>906</v>
      </c>
      <c r="E830" t="s">
        <v>1434</v>
      </c>
      <c r="K830" s="15"/>
      <c r="AE830" s="2"/>
      <c r="AG830" s="2"/>
      <c r="AH830" s="2"/>
      <c r="AI830" s="14"/>
      <c r="AJ830" s="14"/>
      <c r="AK830" s="14"/>
      <c r="AL830" s="14"/>
      <c r="AM830" s="19"/>
      <c r="AN830" s="8"/>
    </row>
    <row r="831" spans="1:63" ht="12.5" x14ac:dyDescent="0.25">
      <c r="C831" s="2">
        <v>918</v>
      </c>
      <c r="E831" t="s">
        <v>1438</v>
      </c>
      <c r="K831" s="15"/>
      <c r="AE831" s="2"/>
      <c r="AG831" s="2"/>
      <c r="AH831" s="2"/>
      <c r="AI831" s="14"/>
      <c r="AJ831" s="14"/>
      <c r="AK831" s="14"/>
      <c r="AL831" s="14"/>
      <c r="AM831" s="19"/>
      <c r="AN831" s="8"/>
    </row>
    <row r="832" spans="1:63" ht="12.5" x14ac:dyDescent="0.25">
      <c r="C832" s="2">
        <v>918</v>
      </c>
      <c r="E832" t="s">
        <v>1461</v>
      </c>
      <c r="K832" s="15"/>
      <c r="AE832" s="2"/>
      <c r="AG832" s="2"/>
      <c r="AH832" s="2"/>
      <c r="AI832" s="14"/>
      <c r="AJ832" s="14"/>
      <c r="AK832" s="14"/>
      <c r="AL832" s="14"/>
      <c r="AM832" s="19"/>
      <c r="AN832" s="8"/>
    </row>
    <row r="833" spans="1:63" ht="12.5" x14ac:dyDescent="0.25">
      <c r="C833" s="2">
        <v>927</v>
      </c>
      <c r="E833" t="s">
        <v>1465</v>
      </c>
      <c r="K833" s="15"/>
      <c r="AE833" s="2"/>
      <c r="AG833" s="2"/>
      <c r="AH833" s="2"/>
      <c r="AI833" s="14"/>
      <c r="AJ833" s="14"/>
      <c r="AK833" s="14"/>
      <c r="AL833" s="14"/>
      <c r="AM833" s="19"/>
      <c r="AN833" s="8"/>
    </row>
    <row r="834" spans="1:63" s="3" customFormat="1" x14ac:dyDescent="0.3">
      <c r="A834" s="4" t="s">
        <v>772</v>
      </c>
      <c r="B834" s="4" t="s">
        <v>772</v>
      </c>
      <c r="C834" s="4">
        <v>1723</v>
      </c>
      <c r="D834" s="4">
        <v>945</v>
      </c>
      <c r="E834" s="3" t="s">
        <v>1185</v>
      </c>
      <c r="H834" s="4"/>
      <c r="I834" s="4"/>
      <c r="J834" s="16"/>
      <c r="K834" s="16"/>
      <c r="L834" s="4"/>
      <c r="M834" s="9"/>
      <c r="N834" s="9"/>
      <c r="O834" s="9"/>
      <c r="P834" s="45"/>
      <c r="Q834" s="45"/>
      <c r="R834" s="45"/>
      <c r="S834" s="45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4"/>
      <c r="AF834" s="4"/>
      <c r="AG834" s="4"/>
      <c r="AH834" s="4"/>
      <c r="AI834" s="45"/>
      <c r="AJ834" s="45"/>
      <c r="AK834" s="45"/>
      <c r="AL834" s="45"/>
      <c r="AM834" s="22"/>
      <c r="AN834" s="46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</row>
    <row r="835" spans="1:63" ht="12.5" x14ac:dyDescent="0.25">
      <c r="C835" s="2">
        <v>948</v>
      </c>
      <c r="E835" t="s">
        <v>1435</v>
      </c>
      <c r="K835" s="15"/>
      <c r="AE835" s="2"/>
      <c r="AG835" s="2"/>
      <c r="AH835" s="2"/>
      <c r="AI835" s="14"/>
      <c r="AJ835" s="14"/>
      <c r="AK835" s="14"/>
      <c r="AL835" s="14"/>
      <c r="AM835" s="19"/>
      <c r="AN835" s="8"/>
    </row>
    <row r="836" spans="1:63" ht="12.5" x14ac:dyDescent="0.25">
      <c r="C836" s="2">
        <v>951</v>
      </c>
      <c r="E836" t="s">
        <v>1462</v>
      </c>
      <c r="K836" s="15"/>
      <c r="AE836" s="2"/>
      <c r="AG836" s="2"/>
      <c r="AH836" s="2"/>
      <c r="AI836" s="14"/>
      <c r="AJ836" s="14"/>
      <c r="AK836" s="14"/>
      <c r="AL836" s="14"/>
      <c r="AM836" s="19"/>
      <c r="AN836" s="8"/>
    </row>
    <row r="837" spans="1:63" s="3" customFormat="1" x14ac:dyDescent="0.3">
      <c r="A837" s="4">
        <v>2232</v>
      </c>
      <c r="B837" s="4" t="s">
        <v>772</v>
      </c>
      <c r="C837" s="4">
        <v>2549</v>
      </c>
      <c r="D837" s="4" t="s">
        <v>772</v>
      </c>
      <c r="E837" s="3" t="s">
        <v>1485</v>
      </c>
      <c r="H837" s="4"/>
      <c r="I837" s="4"/>
      <c r="J837" s="16"/>
      <c r="K837" s="16"/>
      <c r="L837" s="4"/>
      <c r="M837" s="9"/>
      <c r="N837" s="9"/>
      <c r="O837" s="9"/>
      <c r="P837" s="45"/>
      <c r="Q837" s="45"/>
      <c r="R837" s="45"/>
      <c r="S837" s="45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4"/>
      <c r="AF837" s="4"/>
      <c r="AG837" s="4"/>
      <c r="AH837" s="4"/>
      <c r="AI837" s="45"/>
      <c r="AJ837" s="45"/>
      <c r="AK837" s="45"/>
      <c r="AL837" s="45"/>
      <c r="AM837" s="22"/>
      <c r="AN837" s="46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</row>
    <row r="838" spans="1:63" ht="12.5" x14ac:dyDescent="0.25">
      <c r="C838" s="2">
        <v>967</v>
      </c>
      <c r="E838" s="138" t="s">
        <v>1426</v>
      </c>
      <c r="K838" s="15"/>
      <c r="AE838" s="2"/>
      <c r="AG838" s="2"/>
      <c r="AH838" s="2"/>
      <c r="AI838" s="14"/>
      <c r="AJ838" s="14"/>
      <c r="AK838" s="14"/>
      <c r="AL838" s="14"/>
      <c r="AM838" s="19"/>
      <c r="AN838" s="8"/>
    </row>
    <row r="839" spans="1:63" ht="12.5" x14ac:dyDescent="0.25">
      <c r="C839" s="2">
        <v>993</v>
      </c>
      <c r="E839" t="s">
        <v>1437</v>
      </c>
      <c r="K839" s="15"/>
      <c r="AE839" s="2"/>
      <c r="AG839" s="2"/>
      <c r="AH839" s="2"/>
      <c r="AI839" s="14"/>
      <c r="AJ839" s="14"/>
      <c r="AK839" s="14"/>
      <c r="AL839" s="14"/>
      <c r="AM839" s="19"/>
      <c r="AN839" s="8"/>
    </row>
    <row r="840" spans="1:63" ht="12.5" x14ac:dyDescent="0.25">
      <c r="C840" s="2">
        <v>994</v>
      </c>
      <c r="E840" t="s">
        <v>1436</v>
      </c>
      <c r="K840" s="15"/>
      <c r="AE840" s="2"/>
      <c r="AG840" s="2"/>
      <c r="AH840" s="2"/>
      <c r="AI840" s="14"/>
      <c r="AJ840" s="14"/>
      <c r="AK840" s="14"/>
      <c r="AL840" s="14"/>
      <c r="AM840" s="19"/>
      <c r="AN840" s="8"/>
    </row>
    <row r="841" spans="1:63" ht="12.5" x14ac:dyDescent="0.25">
      <c r="C841" s="2">
        <v>998</v>
      </c>
      <c r="E841" t="s">
        <v>1439</v>
      </c>
      <c r="K841" s="15"/>
      <c r="AE841" s="2"/>
      <c r="AG841" s="2"/>
      <c r="AH841" s="2"/>
      <c r="AI841" s="14"/>
      <c r="AJ841" s="14"/>
      <c r="AK841" s="14"/>
      <c r="AL841" s="14"/>
      <c r="AM841" s="19"/>
      <c r="AN841" s="8"/>
    </row>
    <row r="842" spans="1:63" ht="12.5" x14ac:dyDescent="0.25">
      <c r="B842" s="2">
        <v>1226</v>
      </c>
      <c r="E842" t="s">
        <v>1334</v>
      </c>
      <c r="K842" s="15"/>
      <c r="AE842" s="2">
        <v>30.5</v>
      </c>
      <c r="AG842" s="2"/>
      <c r="AH842" s="2"/>
      <c r="AI842" s="14"/>
      <c r="AJ842" s="2"/>
      <c r="AK842" s="14"/>
      <c r="AL842" s="14"/>
      <c r="AM842" s="19"/>
      <c r="AN842" s="8"/>
    </row>
    <row r="843" spans="1:63" ht="12.5" x14ac:dyDescent="0.25">
      <c r="A843" s="2">
        <v>4977</v>
      </c>
      <c r="B843" s="2">
        <v>1038</v>
      </c>
      <c r="C843" s="2">
        <v>1064</v>
      </c>
      <c r="E843" t="s">
        <v>157</v>
      </c>
      <c r="I843" s="2">
        <v>699.7</v>
      </c>
      <c r="J843" s="15">
        <v>24.99</v>
      </c>
      <c r="K843" s="15">
        <v>21.46</v>
      </c>
      <c r="AE843" s="2">
        <v>33.79</v>
      </c>
      <c r="AF843" s="2">
        <v>47.6</v>
      </c>
      <c r="AG843" s="2">
        <v>58.86</v>
      </c>
      <c r="AH843" s="2">
        <v>699.7</v>
      </c>
      <c r="AI843" s="14" t="s">
        <v>772</v>
      </c>
      <c r="AJ843" s="2" t="s">
        <v>772</v>
      </c>
      <c r="AK843" s="14" t="s">
        <v>772</v>
      </c>
      <c r="AL843" s="14" t="s">
        <v>772</v>
      </c>
      <c r="AM843" s="19">
        <v>5.0694444444444452E-2</v>
      </c>
      <c r="AN843" s="8">
        <f>(1+(13/60))*AH843</f>
        <v>851.30166666666685</v>
      </c>
    </row>
    <row r="844" spans="1:63" ht="12.5" x14ac:dyDescent="0.25">
      <c r="A844" s="2">
        <v>368</v>
      </c>
      <c r="B844" s="2">
        <v>816</v>
      </c>
      <c r="C844" s="2">
        <v>1132</v>
      </c>
      <c r="E844" t="s">
        <v>284</v>
      </c>
      <c r="F844" t="s">
        <v>540</v>
      </c>
      <c r="G844" t="s">
        <v>1283</v>
      </c>
      <c r="H844" s="2">
        <v>0</v>
      </c>
      <c r="I844" s="2">
        <v>45.02</v>
      </c>
      <c r="J844" s="15">
        <v>1.607</v>
      </c>
      <c r="K844" s="15">
        <v>1.444</v>
      </c>
      <c r="AE844" s="2">
        <v>23.37</v>
      </c>
      <c r="AF844" s="2">
        <v>42.89</v>
      </c>
      <c r="AG844" s="2">
        <v>52.37</v>
      </c>
      <c r="AH844" s="2">
        <v>45.02</v>
      </c>
      <c r="AI844" s="14" t="s">
        <v>772</v>
      </c>
      <c r="AJ844" s="14" t="s">
        <v>772</v>
      </c>
      <c r="AK844" s="14" t="s">
        <v>772</v>
      </c>
      <c r="AL844" s="14" t="s">
        <v>772</v>
      </c>
      <c r="AM844" s="19">
        <v>7.7083333333333337E-2</v>
      </c>
      <c r="AN844" s="8">
        <f>(1+(51/60))*AH844</f>
        <v>83.287000000000006</v>
      </c>
    </row>
    <row r="845" spans="1:63" ht="12.5" x14ac:dyDescent="0.25">
      <c r="A845" s="2">
        <v>372</v>
      </c>
      <c r="B845" s="2">
        <v>38</v>
      </c>
      <c r="C845" s="2">
        <v>1157</v>
      </c>
      <c r="E845" t="s">
        <v>271</v>
      </c>
      <c r="I845" s="2">
        <v>49.78</v>
      </c>
      <c r="J845" s="15">
        <v>1.778</v>
      </c>
      <c r="K845" s="15">
        <v>1.613</v>
      </c>
      <c r="AE845" s="2">
        <v>26.62</v>
      </c>
      <c r="AF845" s="2">
        <v>60.6</v>
      </c>
      <c r="AG845" s="2">
        <v>50.89</v>
      </c>
      <c r="AH845" s="2">
        <v>49.78</v>
      </c>
      <c r="AI845" s="14" t="s">
        <v>772</v>
      </c>
      <c r="AJ845" s="14" t="s">
        <v>772</v>
      </c>
      <c r="AK845" s="14" t="s">
        <v>772</v>
      </c>
      <c r="AL845" s="14" t="s">
        <v>772</v>
      </c>
      <c r="AM845" s="19">
        <v>5.2777777777777778E-2</v>
      </c>
      <c r="AN845" s="8">
        <f>(1+(16/60))*AH845</f>
        <v>63.054666666666662</v>
      </c>
    </row>
    <row r="846" spans="1:63" x14ac:dyDescent="0.3">
      <c r="A846" s="2">
        <v>650</v>
      </c>
      <c r="B846" s="4">
        <v>1123</v>
      </c>
      <c r="C846" s="2">
        <v>1164</v>
      </c>
      <c r="E846" t="s">
        <v>316</v>
      </c>
      <c r="F846" t="s">
        <v>0</v>
      </c>
      <c r="H846" s="2">
        <v>1000000</v>
      </c>
      <c r="I846" s="2">
        <v>76.150000000000006</v>
      </c>
      <c r="J846" s="15">
        <v>2.7189999999999999</v>
      </c>
      <c r="K846" s="15">
        <v>1.8149999999999999</v>
      </c>
      <c r="AE846" s="2">
        <v>182.9</v>
      </c>
      <c r="AF846" s="2">
        <v>68.61</v>
      </c>
      <c r="AG846" s="2">
        <v>72.599999999999994</v>
      </c>
      <c r="AH846" s="2">
        <v>76.150000000000006</v>
      </c>
      <c r="AI846" s="14" t="s">
        <v>772</v>
      </c>
      <c r="AJ846" s="14" t="s">
        <v>772</v>
      </c>
      <c r="AK846" s="14" t="s">
        <v>772</v>
      </c>
      <c r="AL846" s="14" t="s">
        <v>772</v>
      </c>
      <c r="AM846" s="19">
        <v>2.0833333333333332E-2</v>
      </c>
      <c r="AN846" s="8">
        <f>AH846*0.5</f>
        <v>38.075000000000003</v>
      </c>
    </row>
    <row r="847" spans="1:63" x14ac:dyDescent="0.3">
      <c r="A847" s="2">
        <v>5298</v>
      </c>
      <c r="B847" s="2">
        <v>1087</v>
      </c>
      <c r="C847" s="2">
        <v>1195</v>
      </c>
      <c r="E847" t="s">
        <v>1265</v>
      </c>
      <c r="K847" s="15"/>
      <c r="L847" s="4"/>
      <c r="AE847" s="2">
        <v>76.239999999999995</v>
      </c>
      <c r="AF847" s="2">
        <v>36.979999999999997</v>
      </c>
      <c r="AG847" s="2">
        <v>53.91</v>
      </c>
      <c r="AH847" s="2" t="s">
        <v>772</v>
      </c>
      <c r="AI847" s="2" t="s">
        <v>772</v>
      </c>
      <c r="AJ847" s="2" t="s">
        <v>772</v>
      </c>
      <c r="AK847" s="2" t="s">
        <v>772</v>
      </c>
      <c r="AL847" s="2" t="s">
        <v>772</v>
      </c>
      <c r="AM847" s="19">
        <v>7.2916666666666671E-2</v>
      </c>
      <c r="AN847" s="8">
        <f>(1+(45/60))*AG847</f>
        <v>94.342500000000001</v>
      </c>
    </row>
    <row r="848" spans="1:63" ht="12.5" x14ac:dyDescent="0.25">
      <c r="A848" s="2">
        <v>582</v>
      </c>
      <c r="B848" s="2" t="s">
        <v>772</v>
      </c>
      <c r="C848" s="2">
        <v>1211</v>
      </c>
      <c r="E848" t="s">
        <v>238</v>
      </c>
      <c r="F848" t="s">
        <v>562</v>
      </c>
      <c r="H848" s="2">
        <v>66370</v>
      </c>
      <c r="I848" s="2">
        <v>53.81</v>
      </c>
      <c r="J848" s="15">
        <v>1.921</v>
      </c>
      <c r="K848" s="15">
        <v>1.4570000000000001</v>
      </c>
      <c r="AE848" s="2">
        <v>35.1</v>
      </c>
      <c r="AF848" s="2">
        <v>38.89</v>
      </c>
      <c r="AG848" s="2">
        <v>37.61</v>
      </c>
      <c r="AH848" s="54">
        <v>53.81</v>
      </c>
      <c r="AI848" s="54" t="s">
        <v>772</v>
      </c>
      <c r="AJ848" s="54">
        <v>78.05</v>
      </c>
      <c r="AK848" s="54" t="s">
        <v>772</v>
      </c>
      <c r="AL848" s="54" t="s">
        <v>772</v>
      </c>
      <c r="AM848" s="19">
        <v>0.32569444444444445</v>
      </c>
      <c r="AN848" s="8">
        <f>(7+(49/60))*AJ848</f>
        <v>610.09083333333331</v>
      </c>
    </row>
    <row r="849" spans="1:40" ht="12.5" x14ac:dyDescent="0.25">
      <c r="A849" s="2">
        <v>835</v>
      </c>
      <c r="B849" s="2">
        <v>1303</v>
      </c>
      <c r="C849" s="2">
        <v>2667</v>
      </c>
      <c r="E849" t="s">
        <v>340</v>
      </c>
      <c r="I849" s="2">
        <v>34.44</v>
      </c>
      <c r="J849" s="15">
        <v>1.23</v>
      </c>
      <c r="K849" s="15">
        <v>1.048</v>
      </c>
      <c r="AE849" s="2">
        <v>25.82</v>
      </c>
      <c r="AF849" s="2">
        <v>37.19</v>
      </c>
      <c r="AG849" s="2">
        <v>34.44</v>
      </c>
      <c r="AH849" s="14" t="s">
        <v>772</v>
      </c>
      <c r="AI849" s="14" t="s">
        <v>772</v>
      </c>
      <c r="AJ849" s="14" t="s">
        <v>772</v>
      </c>
      <c r="AK849" s="14" t="s">
        <v>772</v>
      </c>
      <c r="AL849" s="14" t="s">
        <v>772</v>
      </c>
      <c r="AM849" s="19">
        <v>6.6666666666666666E-2</v>
      </c>
      <c r="AN849" s="8">
        <f>(2+(7/60))*AG849</f>
        <v>72.897999999999996</v>
      </c>
    </row>
    <row r="850" spans="1:40" ht="12.5" x14ac:dyDescent="0.25">
      <c r="A850" s="2">
        <v>17357</v>
      </c>
      <c r="B850" s="2">
        <v>291</v>
      </c>
      <c r="C850" s="2">
        <v>57771</v>
      </c>
      <c r="E850" t="s">
        <v>176</v>
      </c>
      <c r="G850" t="s">
        <v>1236</v>
      </c>
      <c r="I850" s="2">
        <v>63.58</v>
      </c>
      <c r="J850" s="15">
        <v>1.6850000000000001</v>
      </c>
      <c r="K850" s="15">
        <v>1.552</v>
      </c>
      <c r="L850" s="2">
        <v>39.81</v>
      </c>
      <c r="AE850" s="2">
        <v>1.262</v>
      </c>
      <c r="AF850" s="2">
        <v>19.29</v>
      </c>
      <c r="AG850" s="2">
        <v>41.9</v>
      </c>
      <c r="AH850" s="2">
        <v>47.16</v>
      </c>
      <c r="AI850" s="14" t="s">
        <v>772</v>
      </c>
      <c r="AJ850" s="2">
        <v>65.3</v>
      </c>
      <c r="AK850" s="14" t="s">
        <v>772</v>
      </c>
      <c r="AL850" s="14" t="s">
        <v>772</v>
      </c>
      <c r="AM850" s="19">
        <v>3.1944444444444442E-2</v>
      </c>
      <c r="AN850" s="8">
        <f>(1+(13/60))*AJ850</f>
        <v>79.448333333333338</v>
      </c>
    </row>
    <row r="851" spans="1:40" x14ac:dyDescent="0.3">
      <c r="A851" s="2">
        <v>1047</v>
      </c>
      <c r="B851" s="4">
        <v>411</v>
      </c>
      <c r="C851" s="2">
        <v>2225</v>
      </c>
      <c r="E851" t="s">
        <v>235</v>
      </c>
      <c r="F851" t="s">
        <v>1233</v>
      </c>
      <c r="G851" t="s">
        <v>1233</v>
      </c>
      <c r="H851" s="2">
        <v>0</v>
      </c>
      <c r="I851" s="2">
        <v>29.85</v>
      </c>
      <c r="J851" s="15">
        <v>1.0660000000000001</v>
      </c>
      <c r="K851" s="15">
        <v>0.95082100000000003</v>
      </c>
      <c r="AE851" s="2">
        <v>26.06</v>
      </c>
      <c r="AF851" s="2">
        <v>35.19</v>
      </c>
      <c r="AG851" s="2">
        <v>33.67</v>
      </c>
      <c r="AH851" s="2">
        <v>29.85</v>
      </c>
      <c r="AI851" s="2" t="s">
        <v>772</v>
      </c>
      <c r="AJ851" s="2">
        <v>34.020000000000003</v>
      </c>
      <c r="AK851" s="2" t="s">
        <v>772</v>
      </c>
      <c r="AL851" s="2" t="s">
        <v>772</v>
      </c>
      <c r="AM851" s="19">
        <v>6.6666666666666666E-2</v>
      </c>
      <c r="AN851" s="8">
        <f>(1+(36/60))*AJ851</f>
        <v>54.432000000000009</v>
      </c>
    </row>
    <row r="852" spans="1:40" ht="12.5" x14ac:dyDescent="0.25">
      <c r="A852" s="2">
        <v>2930</v>
      </c>
      <c r="B852" s="2">
        <v>420</v>
      </c>
      <c r="C852" s="2">
        <v>2083</v>
      </c>
      <c r="E852" t="s">
        <v>270</v>
      </c>
      <c r="G852" s="2">
        <v>403</v>
      </c>
      <c r="I852" s="2">
        <v>160.4</v>
      </c>
      <c r="J852" s="15">
        <v>5.73</v>
      </c>
      <c r="K852" s="15">
        <v>3.0960000000000001</v>
      </c>
      <c r="AE852" s="2">
        <v>57.09</v>
      </c>
      <c r="AF852" s="2">
        <v>41.53</v>
      </c>
      <c r="AG852" s="2">
        <v>59.52</v>
      </c>
      <c r="AH852" s="2">
        <v>160.4</v>
      </c>
      <c r="AI852" s="14" t="s">
        <v>772</v>
      </c>
      <c r="AJ852" s="14" t="s">
        <v>772</v>
      </c>
      <c r="AK852" s="14" t="s">
        <v>772</v>
      </c>
      <c r="AL852" s="14" t="s">
        <v>772</v>
      </c>
      <c r="AM852" s="19">
        <v>6.9444444444444448E-2</v>
      </c>
      <c r="AN852" s="8">
        <f>(1+(46/60))*AH852</f>
        <v>283.37333333333333</v>
      </c>
    </row>
    <row r="853" spans="1:40" x14ac:dyDescent="0.3">
      <c r="A853" s="2">
        <v>1276</v>
      </c>
      <c r="B853" s="2">
        <v>338</v>
      </c>
      <c r="C853" s="2">
        <v>3351</v>
      </c>
      <c r="E853" t="s">
        <v>338</v>
      </c>
      <c r="F853" t="s">
        <v>6</v>
      </c>
      <c r="G853" s="2" t="s">
        <v>1268</v>
      </c>
      <c r="I853" s="2">
        <v>28.76</v>
      </c>
      <c r="J853" s="15">
        <v>1.0269999999999999</v>
      </c>
      <c r="K853" s="16">
        <v>0.74551100000000003</v>
      </c>
      <c r="AE853" s="2">
        <v>19</v>
      </c>
      <c r="AF853" s="2">
        <v>37.93</v>
      </c>
      <c r="AG853" s="2">
        <v>28.76</v>
      </c>
      <c r="AH853" s="14" t="s">
        <v>772</v>
      </c>
      <c r="AI853" s="14" t="s">
        <v>772</v>
      </c>
      <c r="AJ853" s="14" t="s">
        <v>772</v>
      </c>
      <c r="AK853" s="14" t="s">
        <v>772</v>
      </c>
      <c r="AL853" s="14" t="s">
        <v>772</v>
      </c>
      <c r="AM853" s="19">
        <v>0.11597222222222223</v>
      </c>
      <c r="AN853" s="8">
        <f>(2+(47/60))*AG853</f>
        <v>80.048666666666662</v>
      </c>
    </row>
    <row r="854" spans="1:40" ht="12.5" x14ac:dyDescent="0.25">
      <c r="A854" s="2">
        <v>718</v>
      </c>
      <c r="B854" s="2">
        <v>335</v>
      </c>
      <c r="C854" s="2">
        <v>3720</v>
      </c>
      <c r="E854" t="s">
        <v>234</v>
      </c>
      <c r="F854" t="s">
        <v>538</v>
      </c>
      <c r="G854" t="s">
        <v>1268</v>
      </c>
      <c r="H854" s="2">
        <v>178000</v>
      </c>
      <c r="I854" s="2">
        <v>28.6</v>
      </c>
      <c r="J854" s="15">
        <v>1.0209999999999999</v>
      </c>
      <c r="K854" s="15">
        <v>0.74318200000000001</v>
      </c>
      <c r="AE854" s="2">
        <v>21.4</v>
      </c>
      <c r="AF854" s="2">
        <v>42.37</v>
      </c>
      <c r="AG854" s="2">
        <v>38.380000000000003</v>
      </c>
      <c r="AH854" s="2">
        <v>28.6</v>
      </c>
      <c r="AI854" s="2" t="s">
        <v>772</v>
      </c>
      <c r="AJ854" s="2">
        <v>23.54</v>
      </c>
      <c r="AK854" s="2" t="s">
        <v>772</v>
      </c>
      <c r="AL854" s="2" t="s">
        <v>772</v>
      </c>
      <c r="AM854" s="19">
        <v>9.0972222222222218E-2</v>
      </c>
      <c r="AN854" s="8">
        <f>(2+(11/60))*AJ854</f>
        <v>51.395666666666656</v>
      </c>
    </row>
    <row r="855" spans="1:40" ht="12.5" x14ac:dyDescent="0.25">
      <c r="A855" s="2">
        <v>795</v>
      </c>
      <c r="B855" s="2">
        <v>336</v>
      </c>
      <c r="C855" s="2">
        <v>4529</v>
      </c>
      <c r="E855" t="s">
        <v>249</v>
      </c>
      <c r="G855" t="s">
        <v>1279</v>
      </c>
      <c r="I855" s="2">
        <v>38.99</v>
      </c>
      <c r="J855" s="15">
        <v>1.3919999999999999</v>
      </c>
      <c r="K855" s="15">
        <v>0.91042699999999999</v>
      </c>
      <c r="AE855" s="2">
        <v>16.149999999999999</v>
      </c>
      <c r="AF855" s="2">
        <v>36.08</v>
      </c>
      <c r="AG855" s="2">
        <v>33.92</v>
      </c>
      <c r="AH855" s="54">
        <v>38.99</v>
      </c>
      <c r="AI855" s="54" t="s">
        <v>772</v>
      </c>
      <c r="AJ855" s="54">
        <v>38.130000000000003</v>
      </c>
      <c r="AK855" s="54" t="s">
        <v>772</v>
      </c>
      <c r="AL855" s="54" t="s">
        <v>772</v>
      </c>
      <c r="AM855" s="19">
        <v>0.12847222222222224</v>
      </c>
      <c r="AN855" s="8">
        <f>(3+(5/60))*AJ855</f>
        <v>117.56750000000001</v>
      </c>
    </row>
    <row r="856" spans="1:40" ht="12.5" x14ac:dyDescent="0.25">
      <c r="A856" s="2">
        <v>748</v>
      </c>
      <c r="B856" s="2">
        <v>526</v>
      </c>
      <c r="C856" s="2">
        <v>3490</v>
      </c>
      <c r="E856" t="s">
        <v>343</v>
      </c>
      <c r="F856" t="s">
        <v>6</v>
      </c>
      <c r="G856" t="s">
        <v>1311</v>
      </c>
      <c r="I856" s="2">
        <v>28.32</v>
      </c>
      <c r="J856" s="15">
        <v>1.0109999999999999</v>
      </c>
      <c r="K856" s="15">
        <v>0.47144599999999998</v>
      </c>
      <c r="AE856" s="2">
        <v>17.79</v>
      </c>
      <c r="AF856" s="2">
        <v>29.15</v>
      </c>
      <c r="AG856" s="2">
        <v>28.32</v>
      </c>
      <c r="AH856" s="14" t="s">
        <v>772</v>
      </c>
      <c r="AI856" s="14" t="s">
        <v>772</v>
      </c>
      <c r="AJ856" s="14" t="s">
        <v>772</v>
      </c>
      <c r="AK856" s="14" t="s">
        <v>772</v>
      </c>
      <c r="AL856" s="14" t="s">
        <v>772</v>
      </c>
      <c r="AM856" s="19">
        <v>0.27500000000000002</v>
      </c>
      <c r="AN856" s="8">
        <f>(6+(36/60))*AG856</f>
        <v>186.91199999999998</v>
      </c>
    </row>
    <row r="857" spans="1:40" ht="12.5" x14ac:dyDescent="0.25">
      <c r="A857" s="2">
        <v>450</v>
      </c>
      <c r="B857" s="2">
        <v>325</v>
      </c>
      <c r="C857" s="2">
        <v>2178</v>
      </c>
      <c r="E857" t="s">
        <v>358</v>
      </c>
      <c r="G857" t="s">
        <v>1236</v>
      </c>
      <c r="I857" s="2">
        <v>31.63</v>
      </c>
      <c r="J857" s="15">
        <v>1.129</v>
      </c>
      <c r="K857" s="15">
        <v>0.90152399999999999</v>
      </c>
      <c r="AE857" s="2">
        <v>31.12</v>
      </c>
      <c r="AF857" s="2">
        <v>27.67</v>
      </c>
      <c r="AG857" s="2">
        <v>31.63</v>
      </c>
      <c r="AH857" s="14" t="s">
        <v>772</v>
      </c>
      <c r="AI857" s="14" t="s">
        <v>772</v>
      </c>
      <c r="AJ857" s="14" t="s">
        <v>772</v>
      </c>
      <c r="AK857" s="14" t="s">
        <v>772</v>
      </c>
      <c r="AL857" s="54" t="s">
        <v>772</v>
      </c>
      <c r="AM857" s="19">
        <v>8.819444444444445E-2</v>
      </c>
      <c r="AN857" s="8">
        <f>(2+(7/60))*AG857</f>
        <v>66.950166666666661</v>
      </c>
    </row>
    <row r="858" spans="1:40" x14ac:dyDescent="0.3">
      <c r="A858" s="2">
        <v>568</v>
      </c>
      <c r="B858" s="4">
        <v>377</v>
      </c>
      <c r="C858" s="2">
        <v>2952</v>
      </c>
      <c r="E858" t="s">
        <v>333</v>
      </c>
      <c r="F858" t="s">
        <v>681</v>
      </c>
      <c r="G858" s="12" t="s">
        <v>1236</v>
      </c>
      <c r="H858" s="2">
        <v>5500</v>
      </c>
      <c r="I858" s="2">
        <v>25.1</v>
      </c>
      <c r="J858" s="15">
        <v>0.896675</v>
      </c>
      <c r="K858" s="15">
        <v>0.72070199999999995</v>
      </c>
      <c r="AE858" s="2">
        <v>24.31</v>
      </c>
      <c r="AF858" s="2">
        <v>24.46</v>
      </c>
      <c r="AG858" s="2">
        <v>25.1</v>
      </c>
      <c r="AH858" s="14" t="s">
        <v>772</v>
      </c>
      <c r="AI858" s="14" t="s">
        <v>772</v>
      </c>
      <c r="AJ858" s="14" t="s">
        <v>772</v>
      </c>
      <c r="AK858" s="14" t="s">
        <v>772</v>
      </c>
      <c r="AL858" s="54" t="s">
        <v>772</v>
      </c>
      <c r="AM858" s="19">
        <v>6.6666666666666666E-2</v>
      </c>
      <c r="AN858" s="2">
        <f>(1+(36/60))*AG858</f>
        <v>40.160000000000004</v>
      </c>
    </row>
    <row r="859" spans="1:40" ht="12.5" x14ac:dyDescent="0.25">
      <c r="A859" s="2">
        <v>777</v>
      </c>
      <c r="B859" s="2">
        <v>826</v>
      </c>
      <c r="C859" s="2">
        <v>3559</v>
      </c>
      <c r="E859" t="s">
        <v>286</v>
      </c>
      <c r="I859" s="2">
        <v>25</v>
      </c>
      <c r="J859" s="15">
        <v>0.89293199999999995</v>
      </c>
      <c r="K859" s="15">
        <v>0.85719400000000001</v>
      </c>
      <c r="AE859" s="2">
        <v>12.94</v>
      </c>
      <c r="AF859" s="2">
        <v>27.41</v>
      </c>
      <c r="AG859" s="2">
        <v>24.55</v>
      </c>
      <c r="AH859" s="2">
        <v>25</v>
      </c>
      <c r="AI859" s="14" t="s">
        <v>772</v>
      </c>
      <c r="AJ859" s="14" t="s">
        <v>772</v>
      </c>
      <c r="AK859" s="14" t="s">
        <v>772</v>
      </c>
      <c r="AL859" s="14" t="s">
        <v>772</v>
      </c>
      <c r="AM859" s="19">
        <v>2.013888888888889E-2</v>
      </c>
      <c r="AN859" s="8">
        <f>((29/60))*AH859</f>
        <v>12.083333333333334</v>
      </c>
    </row>
    <row r="860" spans="1:40" ht="12.5" x14ac:dyDescent="0.25">
      <c r="A860" s="2">
        <v>1185</v>
      </c>
      <c r="B860" s="2">
        <v>398</v>
      </c>
      <c r="C860" s="2">
        <v>3586</v>
      </c>
      <c r="E860" t="s">
        <v>163</v>
      </c>
      <c r="F860" t="s">
        <v>6</v>
      </c>
      <c r="G860" t="s">
        <v>1323</v>
      </c>
      <c r="H860" s="2">
        <v>10000</v>
      </c>
      <c r="I860" s="2">
        <v>97.97</v>
      </c>
      <c r="J860" s="15">
        <v>3.4990000000000001</v>
      </c>
      <c r="K860" s="15">
        <v>2.6240000000000001</v>
      </c>
      <c r="AE860" s="2">
        <v>25.18</v>
      </c>
      <c r="AF860" s="2">
        <v>47.44</v>
      </c>
      <c r="AG860" s="2">
        <v>20.079999999999998</v>
      </c>
      <c r="AH860" s="2">
        <v>97.97</v>
      </c>
      <c r="AI860" s="14" t="s">
        <v>772</v>
      </c>
      <c r="AJ860" s="2">
        <v>132.30000000000001</v>
      </c>
      <c r="AK860" s="14" t="s">
        <v>772</v>
      </c>
      <c r="AL860" s="14" t="s">
        <v>772</v>
      </c>
      <c r="AM860" s="19">
        <v>7.2916666666666671E-2</v>
      </c>
      <c r="AN860" s="8">
        <f>(1+(45/60))*AJ860</f>
        <v>231.52500000000003</v>
      </c>
    </row>
    <row r="861" spans="1:40" ht="12.5" x14ac:dyDescent="0.25">
      <c r="A861" s="2">
        <v>754</v>
      </c>
      <c r="B861" s="2">
        <v>374</v>
      </c>
      <c r="C861" s="2">
        <v>3593</v>
      </c>
      <c r="E861" t="s">
        <v>359</v>
      </c>
      <c r="I861" s="2">
        <v>28.02</v>
      </c>
      <c r="J861" s="15">
        <v>1</v>
      </c>
      <c r="K861" s="15">
        <v>0.86579899999999999</v>
      </c>
      <c r="AE861" s="2">
        <v>19.22</v>
      </c>
      <c r="AF861" s="2">
        <v>33.369999999999997</v>
      </c>
      <c r="AG861" s="2">
        <v>28.02</v>
      </c>
      <c r="AH861" s="14" t="s">
        <v>772</v>
      </c>
      <c r="AI861" s="14" t="s">
        <v>772</v>
      </c>
      <c r="AJ861" s="14" t="s">
        <v>772</v>
      </c>
      <c r="AK861" s="14" t="s">
        <v>772</v>
      </c>
      <c r="AL861" s="54" t="s">
        <v>772</v>
      </c>
      <c r="AM861" s="19">
        <v>8.7499999999999994E-2</v>
      </c>
      <c r="AN861" s="8">
        <f>(2+(6/60))*AG861</f>
        <v>58.841999999999999</v>
      </c>
    </row>
    <row r="862" spans="1:40" ht="12.5" x14ac:dyDescent="0.25">
      <c r="A862" s="2">
        <v>2575</v>
      </c>
      <c r="B862" s="2">
        <v>655</v>
      </c>
      <c r="C862" s="2">
        <v>4336</v>
      </c>
      <c r="E862" t="s">
        <v>308</v>
      </c>
      <c r="G862" t="s">
        <v>1292</v>
      </c>
      <c r="I862" s="2">
        <v>111</v>
      </c>
      <c r="J862" s="15">
        <v>3.9660000000000002</v>
      </c>
      <c r="K862" s="15">
        <v>1.728</v>
      </c>
      <c r="AE862" s="2">
        <v>3.3260000000000001</v>
      </c>
      <c r="AF862" s="2">
        <v>14.39</v>
      </c>
      <c r="AG862" s="2">
        <v>18.39</v>
      </c>
      <c r="AH862" s="2">
        <v>111</v>
      </c>
      <c r="AI862" s="14" t="s">
        <v>772</v>
      </c>
      <c r="AJ862" s="14" t="s">
        <v>772</v>
      </c>
      <c r="AK862" s="14" t="s">
        <v>772</v>
      </c>
      <c r="AL862" s="14" t="s">
        <v>772</v>
      </c>
      <c r="AM862" s="19">
        <v>5.7638888888888892E-2</v>
      </c>
      <c r="AN862" s="8">
        <f>(1+(23/60))*AH862</f>
        <v>153.54999999999998</v>
      </c>
    </row>
    <row r="863" spans="1:40" ht="12.5" x14ac:dyDescent="0.25">
      <c r="A863" s="2">
        <v>846</v>
      </c>
      <c r="B863" s="2">
        <v>557</v>
      </c>
      <c r="C863" s="2">
        <v>4439</v>
      </c>
      <c r="E863" t="s">
        <v>299</v>
      </c>
      <c r="G863" t="s">
        <v>1264</v>
      </c>
      <c r="I863" s="2">
        <v>15.37</v>
      </c>
      <c r="J863" s="15">
        <v>0.54905700000000002</v>
      </c>
      <c r="K863" s="15">
        <v>0.50130799999999998</v>
      </c>
      <c r="AE863" s="2">
        <v>3.0710000000000002</v>
      </c>
      <c r="AF863" s="2">
        <v>2.7629999999999999</v>
      </c>
      <c r="AG863" s="2">
        <v>7.7080000000000002</v>
      </c>
      <c r="AH863" s="2">
        <v>15.37</v>
      </c>
      <c r="AI863" s="14" t="s">
        <v>772</v>
      </c>
      <c r="AJ863" s="14" t="s">
        <v>772</v>
      </c>
      <c r="AK863" s="14" t="s">
        <v>772</v>
      </c>
      <c r="AL863" s="14" t="s">
        <v>772</v>
      </c>
      <c r="AM863" s="19">
        <v>0.13333333333333333</v>
      </c>
      <c r="AN863" s="8">
        <f>(3+(12/60))*AH863</f>
        <v>49.183999999999997</v>
      </c>
    </row>
    <row r="864" spans="1:40" ht="12.5" x14ac:dyDescent="0.25">
      <c r="A864" s="2">
        <v>1969</v>
      </c>
      <c r="B864" s="2">
        <v>432</v>
      </c>
      <c r="C864" s="2">
        <v>4912</v>
      </c>
      <c r="E864" t="s">
        <v>200</v>
      </c>
      <c r="G864" t="s">
        <v>1289</v>
      </c>
      <c r="I864" s="2">
        <v>42.07</v>
      </c>
      <c r="J864" s="15">
        <v>1.502</v>
      </c>
      <c r="K864" s="15">
        <v>1.2749999999999999</v>
      </c>
      <c r="AE864" s="2">
        <v>15.61</v>
      </c>
      <c r="AF864" s="2">
        <v>4.1150000000000002</v>
      </c>
      <c r="AG864" s="2">
        <v>19.37</v>
      </c>
      <c r="AH864" s="2">
        <v>42.07</v>
      </c>
      <c r="AI864" s="14" t="s">
        <v>772</v>
      </c>
      <c r="AJ864" s="2">
        <v>40.83</v>
      </c>
      <c r="AK864" s="14" t="s">
        <v>772</v>
      </c>
      <c r="AL864" s="14" t="s">
        <v>772</v>
      </c>
      <c r="AM864" s="19">
        <v>4.0972222222222222E-2</v>
      </c>
      <c r="AN864" s="8">
        <f>(59/60)*AJ864</f>
        <v>40.149499999999996</v>
      </c>
    </row>
    <row r="865" spans="1:63" ht="12.5" x14ac:dyDescent="0.25">
      <c r="A865" s="2">
        <v>1100</v>
      </c>
      <c r="B865" s="2">
        <v>465</v>
      </c>
      <c r="C865" s="2">
        <v>5093</v>
      </c>
      <c r="E865" t="s">
        <v>1168</v>
      </c>
      <c r="F865" t="s">
        <v>1317</v>
      </c>
      <c r="I865" s="2">
        <v>12.63</v>
      </c>
      <c r="J865" s="15">
        <v>0.45132499999999998</v>
      </c>
      <c r="K865" s="15">
        <v>0.37930999999999998</v>
      </c>
      <c r="AE865" s="2">
        <v>11.95</v>
      </c>
      <c r="AF865" s="2">
        <v>7.6360000000000001</v>
      </c>
      <c r="AG865" s="2">
        <v>9.8829999999999991</v>
      </c>
      <c r="AH865" s="2">
        <v>12.63</v>
      </c>
      <c r="AI865" s="14" t="s">
        <v>772</v>
      </c>
      <c r="AJ865" s="14" t="s">
        <v>772</v>
      </c>
      <c r="AK865" s="14" t="s">
        <v>772</v>
      </c>
      <c r="AL865" s="14" t="s">
        <v>772</v>
      </c>
      <c r="AM865" s="19">
        <v>0.16666666666666666</v>
      </c>
      <c r="AN865" s="8">
        <f>(4+(0.01/60))*AH865</f>
        <v>50.522105000000003</v>
      </c>
    </row>
    <row r="866" spans="1:63" ht="12.5" x14ac:dyDescent="0.25">
      <c r="A866" s="2">
        <v>1883</v>
      </c>
      <c r="B866" s="2">
        <v>505</v>
      </c>
      <c r="C866" s="2">
        <v>5296</v>
      </c>
      <c r="E866" t="s">
        <v>1119</v>
      </c>
      <c r="G866" t="s">
        <v>1283</v>
      </c>
      <c r="I866" s="2">
        <v>17.75</v>
      </c>
      <c r="J866" s="15">
        <v>0.63400400000000001</v>
      </c>
      <c r="K866" s="15">
        <v>0.58486199999999999</v>
      </c>
      <c r="AE866" s="2">
        <v>7.07</v>
      </c>
      <c r="AF866" s="2">
        <v>12.93</v>
      </c>
      <c r="AG866" s="2">
        <v>15.69</v>
      </c>
      <c r="AH866" s="2">
        <v>17.75</v>
      </c>
      <c r="AI866" s="14" t="s">
        <v>772</v>
      </c>
      <c r="AJ866" s="14" t="s">
        <v>772</v>
      </c>
      <c r="AK866" s="14" t="s">
        <v>772</v>
      </c>
      <c r="AL866" s="14" t="s">
        <v>772</v>
      </c>
      <c r="AM866" s="19">
        <v>3.888888888888889E-2</v>
      </c>
      <c r="AN866" s="8">
        <f>((56/60))*AH866</f>
        <v>16.566666666666666</v>
      </c>
    </row>
    <row r="867" spans="1:63" s="3" customFormat="1" x14ac:dyDescent="0.3">
      <c r="A867" s="4">
        <v>1735</v>
      </c>
      <c r="B867" s="4" t="s">
        <v>772</v>
      </c>
      <c r="C867" s="4">
        <v>5349</v>
      </c>
      <c r="D867" s="4" t="s">
        <v>772</v>
      </c>
      <c r="E867" s="3" t="s">
        <v>1510</v>
      </c>
      <c r="H867" s="4"/>
      <c r="I867" s="4"/>
      <c r="J867" s="16"/>
      <c r="K867" s="16"/>
      <c r="L867" s="4"/>
      <c r="M867" s="9"/>
      <c r="N867" s="9"/>
      <c r="O867" s="9"/>
      <c r="P867" s="45"/>
      <c r="Q867" s="45"/>
      <c r="R867" s="45"/>
      <c r="S867" s="45"/>
      <c r="T867" s="95">
        <v>8.8699999999999992</v>
      </c>
      <c r="U867" s="95">
        <v>8.077</v>
      </c>
      <c r="V867" s="95">
        <v>6.7910000000000004</v>
      </c>
      <c r="W867" s="95">
        <v>6.9770000000000003</v>
      </c>
      <c r="X867" s="95">
        <v>7.2770000000000001</v>
      </c>
      <c r="Y867" s="95">
        <v>7.26</v>
      </c>
      <c r="Z867" s="9"/>
      <c r="AA867" s="9"/>
      <c r="AB867" s="9"/>
      <c r="AC867" s="9"/>
      <c r="AD867" s="9"/>
      <c r="AE867" s="4"/>
      <c r="AF867" s="4"/>
      <c r="AG867" s="4"/>
      <c r="AH867" s="4"/>
      <c r="AI867" s="45"/>
      <c r="AJ867" s="45"/>
      <c r="AK867" s="45"/>
      <c r="AL867" s="45"/>
      <c r="AM867" s="22"/>
      <c r="AN867" s="46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</row>
    <row r="868" spans="1:63" ht="12.5" x14ac:dyDescent="0.25">
      <c r="A868" s="2">
        <v>1318</v>
      </c>
      <c r="B868" s="2">
        <v>492</v>
      </c>
      <c r="C868" s="2">
        <v>5892</v>
      </c>
      <c r="E868" t="s">
        <v>273</v>
      </c>
      <c r="I868" s="2">
        <v>18.55</v>
      </c>
      <c r="J868" s="15">
        <v>0.66282799999999997</v>
      </c>
      <c r="K868" s="15">
        <v>0.62997099999999995</v>
      </c>
      <c r="AE868" s="2">
        <v>6.508</v>
      </c>
      <c r="AF868" s="2">
        <v>12.99</v>
      </c>
      <c r="AG868" s="2">
        <v>15.08</v>
      </c>
      <c r="AH868" s="2">
        <v>18.55</v>
      </c>
      <c r="AI868" s="14" t="s">
        <v>772</v>
      </c>
      <c r="AJ868" s="14" t="s">
        <v>772</v>
      </c>
      <c r="AK868" s="14" t="s">
        <v>772</v>
      </c>
      <c r="AL868" s="14" t="s">
        <v>772</v>
      </c>
      <c r="AM868" s="19">
        <v>3.6805555555555557E-2</v>
      </c>
      <c r="AN868" s="8">
        <f>(53/60)*AH868</f>
        <v>16.385833333333334</v>
      </c>
    </row>
    <row r="869" spans="1:63" ht="12.5" x14ac:dyDescent="0.25">
      <c r="A869" s="2">
        <v>211956</v>
      </c>
      <c r="B869" s="2">
        <v>451</v>
      </c>
      <c r="C869" s="2">
        <v>8207</v>
      </c>
      <c r="E869" t="s">
        <v>1118</v>
      </c>
      <c r="G869" t="s">
        <v>1283</v>
      </c>
      <c r="I869" s="2">
        <v>4.407</v>
      </c>
      <c r="J869" s="15">
        <v>0.15739300000000001</v>
      </c>
      <c r="K869" s="15">
        <v>0.12548799999999999</v>
      </c>
      <c r="AE869" s="2">
        <v>3.9020000000000001</v>
      </c>
      <c r="AF869" s="2">
        <v>4.0449999999999999</v>
      </c>
      <c r="AG869" s="2">
        <v>4.5629999999999997</v>
      </c>
      <c r="AH869" s="2">
        <v>4.407</v>
      </c>
      <c r="AI869" s="14" t="s">
        <v>772</v>
      </c>
      <c r="AJ869" s="14" t="s">
        <v>772</v>
      </c>
      <c r="AK869" s="14" t="s">
        <v>772</v>
      </c>
      <c r="AL869" s="14" t="s">
        <v>772</v>
      </c>
      <c r="AM869" s="19">
        <v>0.22083333333333333</v>
      </c>
      <c r="AN869" s="8">
        <f>(5+(18/60))*AH869</f>
        <v>23.357099999999999</v>
      </c>
    </row>
    <row r="870" spans="1:63" ht="12.5" x14ac:dyDescent="0.25">
      <c r="A870" s="2">
        <v>2558</v>
      </c>
      <c r="B870" s="2">
        <v>565</v>
      </c>
      <c r="C870" s="2">
        <v>8280</v>
      </c>
      <c r="E870" t="s">
        <v>1169</v>
      </c>
      <c r="G870" t="s">
        <v>1317</v>
      </c>
      <c r="I870" s="2">
        <v>10.09</v>
      </c>
      <c r="J870" s="15">
        <v>0.36067199999999999</v>
      </c>
      <c r="K870" s="15">
        <v>0.324965</v>
      </c>
      <c r="AE870" s="2">
        <v>7.2969999999999997</v>
      </c>
      <c r="AF870" s="2">
        <v>5.95</v>
      </c>
      <c r="AG870" s="2">
        <v>6.6719999999999997</v>
      </c>
      <c r="AH870" s="2">
        <v>10.09</v>
      </c>
      <c r="AI870" s="14" t="s">
        <v>772</v>
      </c>
      <c r="AJ870" s="14" t="s">
        <v>772</v>
      </c>
      <c r="AK870" s="14" t="s">
        <v>772</v>
      </c>
      <c r="AL870" s="14" t="s">
        <v>772</v>
      </c>
      <c r="AM870" s="19">
        <v>0.15</v>
      </c>
      <c r="AN870" s="8">
        <f>(3+(36/60))*AH870</f>
        <v>36.323999999999998</v>
      </c>
    </row>
    <row r="871" spans="1:63" s="3" customFormat="1" x14ac:dyDescent="0.3">
      <c r="A871" s="4">
        <v>2641</v>
      </c>
      <c r="B871" s="4" t="s">
        <v>772</v>
      </c>
      <c r="C871" s="4">
        <v>8721</v>
      </c>
      <c r="D871" s="4" t="s">
        <v>772</v>
      </c>
      <c r="E871" s="3" t="s">
        <v>1511</v>
      </c>
      <c r="H871" s="4"/>
      <c r="I871" s="4"/>
      <c r="J871" s="16"/>
      <c r="K871" s="16"/>
      <c r="L871" s="4"/>
      <c r="M871" s="9"/>
      <c r="N871" s="9"/>
      <c r="O871" s="9"/>
      <c r="P871" s="45"/>
      <c r="Q871" s="45"/>
      <c r="R871" s="45"/>
      <c r="S871" s="45"/>
      <c r="T871" s="95">
        <v>7.3639999999999999</v>
      </c>
      <c r="U871" s="95">
        <v>8.0549999999999997</v>
      </c>
      <c r="V871" s="95">
        <v>7.49</v>
      </c>
      <c r="W871" s="95">
        <v>8.4809999999999999</v>
      </c>
      <c r="X871" s="95">
        <v>10.08</v>
      </c>
      <c r="Y871" s="95">
        <v>8.5909999999999993</v>
      </c>
      <c r="Z871" s="9"/>
      <c r="AA871" s="9"/>
      <c r="AB871" s="9"/>
      <c r="AC871" s="9"/>
      <c r="AD871" s="9"/>
      <c r="AE871" s="9"/>
      <c r="AF871" s="4"/>
      <c r="AG871" s="9"/>
      <c r="AH871" s="45"/>
      <c r="AI871" s="45"/>
      <c r="AJ871" s="45"/>
      <c r="AK871" s="45"/>
      <c r="AL871" s="51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</row>
    <row r="872" spans="1:63" ht="12.5" x14ac:dyDescent="0.25">
      <c r="A872" s="2">
        <v>6077</v>
      </c>
      <c r="B872" s="2">
        <v>502</v>
      </c>
      <c r="C872" s="2">
        <v>10229</v>
      </c>
      <c r="E872" t="s">
        <v>309</v>
      </c>
      <c r="G872" t="s">
        <v>1293</v>
      </c>
      <c r="I872" s="2">
        <v>66.45</v>
      </c>
      <c r="J872" s="15">
        <v>2.3730000000000002</v>
      </c>
      <c r="K872" s="15">
        <v>1.198</v>
      </c>
      <c r="AE872" s="2">
        <v>1.8160000000000001</v>
      </c>
      <c r="AF872" s="2">
        <v>6.38</v>
      </c>
      <c r="AG872" s="2">
        <v>7.859</v>
      </c>
      <c r="AH872" s="2">
        <v>66.45</v>
      </c>
      <c r="AI872" s="14" t="s">
        <v>772</v>
      </c>
      <c r="AJ872" s="14" t="s">
        <v>772</v>
      </c>
      <c r="AK872" s="14" t="s">
        <v>772</v>
      </c>
      <c r="AL872" s="14" t="s">
        <v>772</v>
      </c>
      <c r="AM872" s="19">
        <v>9.4444444444444442E-2</v>
      </c>
      <c r="AN872" s="8">
        <f>(2+(16/60))*AH872</f>
        <v>150.62</v>
      </c>
    </row>
    <row r="873" spans="1:63" s="3" customFormat="1" x14ac:dyDescent="0.3">
      <c r="A873" s="4">
        <v>2534</v>
      </c>
      <c r="B873" s="4" t="s">
        <v>772</v>
      </c>
      <c r="C873" s="4">
        <v>10449</v>
      </c>
      <c r="D873" s="4" t="s">
        <v>772</v>
      </c>
      <c r="E873" s="3" t="s">
        <v>1512</v>
      </c>
      <c r="H873" s="4"/>
      <c r="I873" s="4"/>
      <c r="J873" s="16"/>
      <c r="K873" s="16"/>
      <c r="L873" s="4"/>
      <c r="M873" s="9"/>
      <c r="N873" s="9"/>
      <c r="O873" s="9"/>
      <c r="P873" s="45"/>
      <c r="Q873" s="45"/>
      <c r="R873" s="45"/>
      <c r="S873" s="45"/>
      <c r="T873" s="95">
        <v>6.0830000000000002</v>
      </c>
      <c r="U873" s="95">
        <v>5.6440000000000001</v>
      </c>
      <c r="V873" s="95">
        <v>4.984</v>
      </c>
      <c r="W873" s="95">
        <v>6.3230000000000004</v>
      </c>
      <c r="X873" s="95">
        <v>8.3469999999999995</v>
      </c>
      <c r="Y873" s="95">
        <v>9.6159999999999997</v>
      </c>
      <c r="Z873" s="9"/>
      <c r="AA873" s="9"/>
      <c r="AB873" s="9"/>
      <c r="AC873" s="9"/>
      <c r="AD873" s="9"/>
      <c r="AE873" s="9"/>
      <c r="AF873" s="4"/>
      <c r="AG873" s="9"/>
      <c r="AH873" s="45"/>
      <c r="AI873" s="45"/>
      <c r="AJ873" s="45"/>
      <c r="AK873" s="45"/>
      <c r="AL873" s="51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</row>
    <row r="874" spans="1:63" ht="12.5" x14ac:dyDescent="0.25">
      <c r="A874" s="2">
        <v>59558</v>
      </c>
      <c r="B874" s="2">
        <v>3529</v>
      </c>
      <c r="C874" s="2">
        <v>11936</v>
      </c>
      <c r="E874" t="s">
        <v>1319</v>
      </c>
      <c r="G874" s="2" t="s">
        <v>1337</v>
      </c>
      <c r="I874" s="2">
        <v>3.99</v>
      </c>
      <c r="J874" s="15">
        <v>0.142512</v>
      </c>
      <c r="K874" s="15">
        <v>0.112479</v>
      </c>
      <c r="AE874" s="2">
        <v>3.8959999999999999</v>
      </c>
      <c r="AF874" s="2">
        <v>4.0380000000000003</v>
      </c>
      <c r="AG874" s="2">
        <v>3.99</v>
      </c>
      <c r="AH874" s="2" t="s">
        <v>772</v>
      </c>
      <c r="AI874" s="14" t="s">
        <v>772</v>
      </c>
      <c r="AJ874" s="14" t="s">
        <v>772</v>
      </c>
      <c r="AK874" s="14" t="s">
        <v>772</v>
      </c>
      <c r="AL874" s="14" t="s">
        <v>772</v>
      </c>
      <c r="AM874" s="19">
        <v>0.3347222222222222</v>
      </c>
      <c r="AN874" s="8">
        <f>(8+(2/60))*AG874</f>
        <v>32.053000000000004</v>
      </c>
    </row>
    <row r="875" spans="1:63" ht="12.5" x14ac:dyDescent="0.25">
      <c r="A875" s="2">
        <v>3001</v>
      </c>
      <c r="B875" s="2">
        <v>535</v>
      </c>
      <c r="C875" s="2">
        <v>13457</v>
      </c>
      <c r="E875" t="s">
        <v>368</v>
      </c>
      <c r="I875" s="2">
        <v>28.96</v>
      </c>
      <c r="J875" s="15">
        <v>0.93873399999999996</v>
      </c>
      <c r="K875" s="15">
        <v>0.86621899999999996</v>
      </c>
      <c r="L875" s="2">
        <v>22.42</v>
      </c>
      <c r="AE875" s="2">
        <v>3.8769999999999998</v>
      </c>
      <c r="AF875" s="2" t="s">
        <v>772</v>
      </c>
      <c r="AG875" s="2" t="s">
        <v>772</v>
      </c>
      <c r="AH875" s="14" t="s">
        <v>772</v>
      </c>
      <c r="AI875" s="14" t="s">
        <v>772</v>
      </c>
      <c r="AJ875" s="14" t="s">
        <v>772</v>
      </c>
      <c r="AK875" s="14" t="s">
        <v>772</v>
      </c>
      <c r="AL875" s="54" t="s">
        <v>772</v>
      </c>
      <c r="AM875" s="19">
        <v>0.10347222222222222</v>
      </c>
      <c r="AN875" s="8">
        <f>(2+(29/60))*AE875</f>
        <v>9.6278833333333331</v>
      </c>
    </row>
    <row r="876" spans="1:63" x14ac:dyDescent="0.3">
      <c r="A876" s="2">
        <v>12296</v>
      </c>
      <c r="B876" s="2" t="s">
        <v>772</v>
      </c>
      <c r="C876" s="2">
        <v>19802</v>
      </c>
      <c r="D876" s="2" t="s">
        <v>772</v>
      </c>
      <c r="E876" t="s">
        <v>1157</v>
      </c>
      <c r="T876" s="97">
        <v>2.6219999999999999</v>
      </c>
      <c r="U876" s="97">
        <v>3.141</v>
      </c>
      <c r="V876" s="97">
        <v>3.3420000000000001</v>
      </c>
      <c r="W876" s="97">
        <v>3.7469999999999999</v>
      </c>
      <c r="X876" s="97">
        <v>3.6680000000000001</v>
      </c>
      <c r="Y876" s="97">
        <v>4.5140000000000002</v>
      </c>
      <c r="AH876" s="14"/>
      <c r="AI876" s="14"/>
      <c r="AJ876" s="14"/>
      <c r="AK876" s="14"/>
      <c r="AL876" s="50"/>
    </row>
    <row r="877" spans="1:63" ht="12.5" x14ac:dyDescent="0.25">
      <c r="A877" s="2">
        <v>17678</v>
      </c>
      <c r="B877" s="2">
        <v>14745</v>
      </c>
      <c r="C877" s="2">
        <v>33340</v>
      </c>
      <c r="D877" s="2">
        <v>28631</v>
      </c>
      <c r="E877" t="s">
        <v>1509</v>
      </c>
      <c r="K877" s="15"/>
      <c r="P877" s="14">
        <v>1.7</v>
      </c>
      <c r="T877" s="97">
        <v>2.0259999999999998</v>
      </c>
      <c r="U877" s="97">
        <v>1.5329999999999999</v>
      </c>
      <c r="V877" s="97">
        <v>0.84730499999999997</v>
      </c>
      <c r="W877" s="97">
        <v>0</v>
      </c>
      <c r="X877" s="97">
        <v>0</v>
      </c>
      <c r="Y877" s="97">
        <v>0</v>
      </c>
      <c r="AE877" s="2"/>
      <c r="AG877" s="2"/>
      <c r="AH877" s="14"/>
      <c r="AI877" s="14"/>
      <c r="AJ877" s="14"/>
      <c r="AK877" s="14"/>
      <c r="AL877" s="54"/>
      <c r="AM877" s="19"/>
      <c r="AN877" s="8"/>
    </row>
    <row r="878" spans="1:63" ht="12.5" x14ac:dyDescent="0.25">
      <c r="A878" s="2">
        <v>56076</v>
      </c>
      <c r="B878" s="2">
        <v>539</v>
      </c>
      <c r="C878" s="2">
        <v>33091</v>
      </c>
      <c r="E878" t="s">
        <v>179</v>
      </c>
      <c r="F878" t="s">
        <v>695</v>
      </c>
      <c r="G878" t="s">
        <v>1302</v>
      </c>
      <c r="H878" s="2">
        <v>0</v>
      </c>
      <c r="I878" s="2">
        <v>9.8889999999999993</v>
      </c>
      <c r="J878" s="15">
        <v>0.35319600000000001</v>
      </c>
      <c r="K878" s="15">
        <v>0.228269</v>
      </c>
      <c r="T878" s="97"/>
      <c r="U878" s="97"/>
      <c r="V878" s="97"/>
      <c r="W878" s="97"/>
      <c r="X878" s="97"/>
      <c r="Y878" s="97"/>
      <c r="AE878" s="2">
        <v>0.75726700000000002</v>
      </c>
      <c r="AF878" s="2">
        <v>0.81598000000000004</v>
      </c>
      <c r="AG878" s="2">
        <v>4.4790000000000001</v>
      </c>
      <c r="AH878" s="2">
        <v>9.8889999999999993</v>
      </c>
      <c r="AI878" s="14" t="s">
        <v>772</v>
      </c>
      <c r="AJ878" s="2">
        <v>112</v>
      </c>
      <c r="AK878" s="14" t="s">
        <v>772</v>
      </c>
      <c r="AL878" s="14" t="s">
        <v>772</v>
      </c>
      <c r="AM878" s="19">
        <v>1.9444444444444445E-2</v>
      </c>
      <c r="AN878" s="8">
        <f>(28/60)*AG878</f>
        <v>2.0902000000000003</v>
      </c>
    </row>
    <row r="879" spans="1:63" ht="12.5" x14ac:dyDescent="0.25">
      <c r="A879" s="2">
        <v>16711</v>
      </c>
      <c r="B879" s="2">
        <v>440</v>
      </c>
      <c r="C879" s="2">
        <v>39125</v>
      </c>
      <c r="E879" t="s">
        <v>1156</v>
      </c>
      <c r="I879" s="2">
        <v>1.506</v>
      </c>
      <c r="J879" s="15">
        <v>5.3804999999999999E-2</v>
      </c>
      <c r="K879" s="15">
        <v>4.5036E-2</v>
      </c>
      <c r="T879" s="97"/>
      <c r="U879" s="97"/>
      <c r="V879" s="97"/>
      <c r="W879" s="97"/>
      <c r="X879" s="97"/>
      <c r="Y879" s="97"/>
      <c r="AE879" s="2">
        <v>1.5369999999999999</v>
      </c>
      <c r="AF879" s="2">
        <v>1.4419999999999999</v>
      </c>
      <c r="AG879" s="2">
        <v>1.506</v>
      </c>
      <c r="AH879" s="14" t="s">
        <v>772</v>
      </c>
      <c r="AI879" s="14" t="s">
        <v>772</v>
      </c>
      <c r="AJ879" s="14" t="s">
        <v>772</v>
      </c>
      <c r="AK879" s="14" t="s">
        <v>772</v>
      </c>
      <c r="AL879" s="14" t="s">
        <v>772</v>
      </c>
      <c r="AM879" s="19">
        <v>0.12222222222222222</v>
      </c>
      <c r="AN879" s="8">
        <f>(2+(56/60))*AG879</f>
        <v>4.4176000000000002</v>
      </c>
    </row>
    <row r="880" spans="1:63" ht="12.5" x14ac:dyDescent="0.25">
      <c r="A880" s="2">
        <v>12839</v>
      </c>
      <c r="B880" s="2">
        <v>2065</v>
      </c>
      <c r="C880" s="2">
        <v>40434</v>
      </c>
      <c r="E880" t="s">
        <v>151</v>
      </c>
      <c r="F880" t="s">
        <v>695</v>
      </c>
      <c r="H880" s="2">
        <v>0</v>
      </c>
      <c r="I880" s="2">
        <v>2.952</v>
      </c>
      <c r="J880" s="15">
        <v>0.105463</v>
      </c>
      <c r="K880" s="15">
        <v>9.2238000000000001E-2</v>
      </c>
      <c r="T880" s="97"/>
      <c r="U880" s="97"/>
      <c r="V880" s="97"/>
      <c r="W880" s="97"/>
      <c r="X880" s="97"/>
      <c r="Y880" s="97"/>
      <c r="AE880" s="2">
        <v>0.81640000000000001</v>
      </c>
      <c r="AF880" s="2">
        <v>1.427</v>
      </c>
      <c r="AG880" s="2">
        <v>1.4930000000000001</v>
      </c>
      <c r="AH880" s="2">
        <v>2.952</v>
      </c>
      <c r="AI880" s="14" t="s">
        <v>772</v>
      </c>
      <c r="AJ880" s="2">
        <v>8.8130000000000006</v>
      </c>
      <c r="AK880" s="14" t="s">
        <v>772</v>
      </c>
      <c r="AL880" s="14" t="s">
        <v>772</v>
      </c>
      <c r="AM880" s="19">
        <v>8.3333333333333332E-3</v>
      </c>
      <c r="AN880" s="8">
        <f>(12/60)*AG880</f>
        <v>0.29860000000000003</v>
      </c>
    </row>
    <row r="881" spans="1:40" ht="12.5" x14ac:dyDescent="0.25">
      <c r="A881" s="2" t="s">
        <v>772</v>
      </c>
      <c r="B881" s="2">
        <v>1727</v>
      </c>
      <c r="C881" s="2" t="s">
        <v>772</v>
      </c>
      <c r="E881" t="s">
        <v>241</v>
      </c>
      <c r="I881" s="2">
        <v>247.5</v>
      </c>
      <c r="J881" s="15">
        <v>8.8390000000000004</v>
      </c>
      <c r="K881" s="15">
        <v>8.0359999999999996</v>
      </c>
      <c r="T881" s="97"/>
      <c r="U881" s="97"/>
      <c r="V881" s="97"/>
      <c r="W881" s="97"/>
      <c r="X881" s="97"/>
      <c r="Y881" s="97"/>
      <c r="AE881" s="2">
        <v>356.8</v>
      </c>
      <c r="AF881" s="2">
        <v>276.10000000000002</v>
      </c>
      <c r="AG881" s="2">
        <v>244.7</v>
      </c>
      <c r="AH881" s="54">
        <v>247.5</v>
      </c>
      <c r="AI881" s="54" t="s">
        <v>772</v>
      </c>
      <c r="AJ881" s="54">
        <v>259.5</v>
      </c>
      <c r="AK881" s="54" t="s">
        <v>772</v>
      </c>
      <c r="AL881" s="54" t="s">
        <v>772</v>
      </c>
      <c r="AM881" s="19">
        <v>2.0833333333333332E-2</v>
      </c>
      <c r="AN881" s="8">
        <f>(30/60)*AG881</f>
        <v>122.35</v>
      </c>
    </row>
    <row r="882" spans="1:40" x14ac:dyDescent="0.3">
      <c r="A882" s="2">
        <v>687</v>
      </c>
      <c r="B882" s="4">
        <v>4741</v>
      </c>
      <c r="C882" s="2">
        <v>1283</v>
      </c>
      <c r="E882" t="s">
        <v>377</v>
      </c>
      <c r="T882" s="97"/>
      <c r="U882" s="97"/>
      <c r="V882" s="97"/>
      <c r="W882" s="97"/>
      <c r="X882" s="97"/>
      <c r="Y882" s="97"/>
      <c r="AE882" s="2">
        <v>29.92</v>
      </c>
      <c r="AF882" s="2" t="s">
        <v>772</v>
      </c>
      <c r="AG882" s="2" t="s">
        <v>772</v>
      </c>
      <c r="AH882" s="14" t="s">
        <v>772</v>
      </c>
      <c r="AI882" s="14" t="s">
        <v>772</v>
      </c>
      <c r="AJ882" s="14" t="s">
        <v>772</v>
      </c>
      <c r="AK882" s="14" t="s">
        <v>772</v>
      </c>
      <c r="AL882" s="54" t="s">
        <v>772</v>
      </c>
      <c r="AM882" s="19">
        <v>0.21805555555555556</v>
      </c>
      <c r="AN882" s="8">
        <f>(5+(14/60))*AE882</f>
        <v>156.58133333333333</v>
      </c>
    </row>
    <row r="883" spans="1:40" x14ac:dyDescent="0.3">
      <c r="A883" s="2">
        <v>620</v>
      </c>
      <c r="B883" s="2" t="s">
        <v>772</v>
      </c>
      <c r="C883" s="2">
        <v>1950</v>
      </c>
      <c r="E883" t="s">
        <v>383</v>
      </c>
      <c r="T883" s="97"/>
      <c r="U883" s="97"/>
      <c r="V883" s="97"/>
      <c r="W883" s="97"/>
      <c r="X883" s="97"/>
      <c r="Y883" s="97"/>
      <c r="AE883" s="2">
        <v>28.34</v>
      </c>
      <c r="AF883" s="2" t="s">
        <v>772</v>
      </c>
      <c r="AG883" s="2" t="s">
        <v>772</v>
      </c>
      <c r="AH883" s="14" t="s">
        <v>772</v>
      </c>
      <c r="AI883" s="14" t="s">
        <v>772</v>
      </c>
      <c r="AJ883" s="14" t="s">
        <v>772</v>
      </c>
      <c r="AK883" s="14" t="s">
        <v>772</v>
      </c>
      <c r="AL883" s="54" t="s">
        <v>772</v>
      </c>
      <c r="AM883" s="19">
        <v>0.12430555555555556</v>
      </c>
      <c r="AN883" s="8">
        <f>(2+(59/60))*AE883</f>
        <v>84.547666666666672</v>
      </c>
    </row>
    <row r="884" spans="1:40" x14ac:dyDescent="0.3">
      <c r="A884" s="2">
        <v>443</v>
      </c>
      <c r="B884" s="2">
        <v>396</v>
      </c>
      <c r="C884" s="2">
        <v>2276</v>
      </c>
      <c r="D884" s="2" t="s">
        <v>772</v>
      </c>
      <c r="E884" t="s">
        <v>411</v>
      </c>
      <c r="T884" s="97">
        <v>16.600000000000001</v>
      </c>
      <c r="U884" s="97">
        <v>15.78</v>
      </c>
      <c r="V884" s="97">
        <v>14.59</v>
      </c>
      <c r="W884" s="97">
        <v>14.31</v>
      </c>
      <c r="X884" s="97">
        <v>12.43</v>
      </c>
      <c r="Y884" s="97">
        <v>16.46</v>
      </c>
      <c r="AH884" s="14"/>
      <c r="AI884" s="14"/>
      <c r="AJ884" s="14"/>
      <c r="AK884" s="14"/>
      <c r="AL884" s="50"/>
    </row>
    <row r="885" spans="1:40" x14ac:dyDescent="0.3">
      <c r="A885" s="2" t="s">
        <v>772</v>
      </c>
      <c r="B885" s="2">
        <v>399</v>
      </c>
      <c r="C885" s="2">
        <v>2810</v>
      </c>
      <c r="E885" t="s">
        <v>1339</v>
      </c>
      <c r="T885" s="97"/>
      <c r="U885" s="97"/>
      <c r="V885" s="97"/>
      <c r="W885" s="97"/>
      <c r="X885" s="97"/>
      <c r="Y885" s="97"/>
      <c r="AE885" s="2">
        <v>22.34</v>
      </c>
      <c r="AF885" s="2" t="s">
        <v>772</v>
      </c>
      <c r="AG885" s="2" t="s">
        <v>772</v>
      </c>
      <c r="AH885" s="14" t="s">
        <v>772</v>
      </c>
      <c r="AI885" s="14" t="s">
        <v>772</v>
      </c>
      <c r="AJ885" s="14" t="s">
        <v>772</v>
      </c>
      <c r="AK885" s="14" t="s">
        <v>772</v>
      </c>
      <c r="AL885" s="54" t="s">
        <v>772</v>
      </c>
      <c r="AM885" s="19">
        <v>0.13750000000000001</v>
      </c>
      <c r="AN885" s="8">
        <f>(3+(18/60))*AE885</f>
        <v>73.721999999999994</v>
      </c>
    </row>
    <row r="886" spans="1:40" x14ac:dyDescent="0.3">
      <c r="A886" s="2">
        <v>883</v>
      </c>
      <c r="B886" s="2">
        <v>398</v>
      </c>
      <c r="C886" s="2">
        <v>3231</v>
      </c>
      <c r="E886" t="s">
        <v>366</v>
      </c>
      <c r="F886" t="s">
        <v>580</v>
      </c>
      <c r="T886" s="97"/>
      <c r="U886" s="97"/>
      <c r="V886" s="97"/>
      <c r="W886" s="97"/>
      <c r="X886" s="97"/>
      <c r="Y886" s="97"/>
      <c r="AE886" s="2">
        <v>24.36</v>
      </c>
      <c r="AF886" s="2" t="s">
        <v>772</v>
      </c>
      <c r="AG886" s="2" t="s">
        <v>772</v>
      </c>
      <c r="AH886" s="14" t="s">
        <v>772</v>
      </c>
      <c r="AI886" s="14" t="s">
        <v>772</v>
      </c>
      <c r="AJ886" s="14" t="s">
        <v>772</v>
      </c>
      <c r="AK886" s="14" t="s">
        <v>772</v>
      </c>
      <c r="AL886" s="54" t="s">
        <v>772</v>
      </c>
      <c r="AM886" s="19">
        <v>3.4722222222222224E-2</v>
      </c>
      <c r="AN886" s="8">
        <f>(50/60)*AE886</f>
        <v>20.3</v>
      </c>
    </row>
    <row r="887" spans="1:40" x14ac:dyDescent="0.3">
      <c r="A887" s="2">
        <v>1159</v>
      </c>
      <c r="B887" s="2">
        <v>402</v>
      </c>
      <c r="C887" s="2">
        <v>4591</v>
      </c>
      <c r="E887" t="s">
        <v>378</v>
      </c>
      <c r="T887" s="97"/>
      <c r="U887" s="97"/>
      <c r="V887" s="97"/>
      <c r="W887" s="97"/>
      <c r="X887" s="97"/>
      <c r="Y887" s="97"/>
      <c r="AE887" s="2">
        <v>12.27</v>
      </c>
      <c r="AF887" s="2" t="s">
        <v>772</v>
      </c>
      <c r="AG887" s="2" t="s">
        <v>772</v>
      </c>
      <c r="AH887" s="14" t="s">
        <v>772</v>
      </c>
      <c r="AI887" s="14" t="s">
        <v>772</v>
      </c>
      <c r="AJ887" s="14" t="s">
        <v>772</v>
      </c>
      <c r="AK887" s="14" t="s">
        <v>772</v>
      </c>
      <c r="AL887" s="54" t="s">
        <v>772</v>
      </c>
      <c r="AM887" s="19">
        <v>0.15277777777777779</v>
      </c>
      <c r="AN887" s="8">
        <f>(3+(40/60))*AE887</f>
        <v>44.989999999999995</v>
      </c>
    </row>
    <row r="888" spans="1:40" x14ac:dyDescent="0.3">
      <c r="A888" s="2">
        <v>837</v>
      </c>
      <c r="B888" s="2">
        <v>395</v>
      </c>
      <c r="C888" s="2">
        <v>4878</v>
      </c>
      <c r="E888" t="s">
        <v>375</v>
      </c>
      <c r="T888" s="97"/>
      <c r="U888" s="97"/>
      <c r="V888" s="97"/>
      <c r="W888" s="97"/>
      <c r="X888" s="97"/>
      <c r="Y888" s="97"/>
      <c r="AE888" s="2">
        <v>13.39</v>
      </c>
      <c r="AF888" s="2" t="s">
        <v>772</v>
      </c>
      <c r="AG888" s="2" t="s">
        <v>772</v>
      </c>
      <c r="AH888" s="14" t="s">
        <v>772</v>
      </c>
      <c r="AI888" s="14" t="s">
        <v>772</v>
      </c>
      <c r="AJ888" s="14" t="s">
        <v>772</v>
      </c>
      <c r="AK888" s="14" t="s">
        <v>772</v>
      </c>
      <c r="AL888" s="54" t="s">
        <v>772</v>
      </c>
      <c r="AM888" s="19">
        <v>0.10347222222222222</v>
      </c>
      <c r="AN888" s="8">
        <f>(2+(29/60))*AE888</f>
        <v>33.251833333333337</v>
      </c>
    </row>
    <row r="889" spans="1:40" x14ac:dyDescent="0.3">
      <c r="A889" s="2">
        <v>1004</v>
      </c>
      <c r="B889" s="2">
        <v>479</v>
      </c>
      <c r="C889" s="2">
        <v>5173</v>
      </c>
      <c r="E889" t="s">
        <v>385</v>
      </c>
      <c r="T889" s="97"/>
      <c r="U889" s="97"/>
      <c r="V889" s="97"/>
      <c r="W889" s="97"/>
      <c r="X889" s="97"/>
      <c r="Y889" s="97"/>
      <c r="AE889" s="2">
        <v>12.61</v>
      </c>
      <c r="AF889" s="2" t="s">
        <v>772</v>
      </c>
      <c r="AG889" s="2" t="s">
        <v>772</v>
      </c>
      <c r="AH889" s="14" t="s">
        <v>772</v>
      </c>
      <c r="AI889" s="14" t="s">
        <v>772</v>
      </c>
      <c r="AJ889" s="14" t="s">
        <v>772</v>
      </c>
      <c r="AK889" s="14" t="s">
        <v>772</v>
      </c>
      <c r="AL889" s="54" t="s">
        <v>772</v>
      </c>
      <c r="AM889" s="19">
        <v>0.17152777777777778</v>
      </c>
      <c r="AN889" s="8">
        <f>(4+(7/60))*AE889</f>
        <v>51.911166666666659</v>
      </c>
    </row>
    <row r="890" spans="1:40" x14ac:dyDescent="0.3">
      <c r="A890" s="2">
        <v>486</v>
      </c>
      <c r="B890" s="2">
        <v>480</v>
      </c>
      <c r="E890" t="s">
        <v>389</v>
      </c>
      <c r="T890" s="97"/>
      <c r="U890" s="97"/>
      <c r="V890" s="97"/>
      <c r="W890" s="97"/>
      <c r="X890" s="97"/>
      <c r="Y890" s="97"/>
      <c r="AH890" s="14"/>
      <c r="AI890" s="14"/>
      <c r="AJ890" s="14"/>
      <c r="AK890" s="14"/>
      <c r="AL890" s="50"/>
    </row>
    <row r="891" spans="1:40" x14ac:dyDescent="0.3">
      <c r="A891" s="2">
        <v>487</v>
      </c>
      <c r="B891" s="2">
        <v>481</v>
      </c>
      <c r="E891" t="s">
        <v>390</v>
      </c>
      <c r="F891" t="s">
        <v>6</v>
      </c>
      <c r="T891" s="97"/>
      <c r="U891" s="97"/>
      <c r="V891" s="97"/>
      <c r="W891" s="97"/>
      <c r="X891" s="97"/>
      <c r="Y891" s="97"/>
      <c r="AH891" s="14"/>
      <c r="AI891" s="14"/>
      <c r="AJ891" s="14"/>
      <c r="AK891" s="14"/>
      <c r="AL891" s="50"/>
    </row>
    <row r="892" spans="1:40" x14ac:dyDescent="0.3">
      <c r="A892" s="2">
        <v>489</v>
      </c>
      <c r="B892" s="2">
        <v>478</v>
      </c>
      <c r="E892" t="s">
        <v>392</v>
      </c>
      <c r="T892" s="97"/>
      <c r="U892" s="97"/>
      <c r="V892" s="97"/>
      <c r="W892" s="97"/>
      <c r="X892" s="97"/>
      <c r="Y892" s="97"/>
      <c r="AH892" s="14"/>
      <c r="AI892" s="14"/>
      <c r="AJ892" s="14"/>
      <c r="AK892" s="14"/>
      <c r="AL892" s="50"/>
    </row>
    <row r="893" spans="1:40" x14ac:dyDescent="0.3">
      <c r="A893" s="2">
        <v>490</v>
      </c>
      <c r="B893" s="2">
        <v>406</v>
      </c>
      <c r="E893" t="s">
        <v>393</v>
      </c>
      <c r="T893" s="97"/>
      <c r="U893" s="97"/>
      <c r="V893" s="97"/>
      <c r="W893" s="97"/>
      <c r="X893" s="97"/>
      <c r="Y893" s="97"/>
      <c r="AH893" s="14"/>
      <c r="AI893" s="14"/>
      <c r="AJ893" s="14"/>
      <c r="AK893" s="14"/>
      <c r="AL893" s="50"/>
    </row>
    <row r="894" spans="1:40" x14ac:dyDescent="0.3">
      <c r="A894" s="2">
        <f>A701+1</f>
        <v>524</v>
      </c>
      <c r="B894" s="2">
        <v>476</v>
      </c>
      <c r="E894" t="s">
        <v>397</v>
      </c>
      <c r="T894" s="97"/>
      <c r="U894" s="97"/>
      <c r="V894" s="97"/>
      <c r="W894" s="97"/>
      <c r="X894" s="97"/>
      <c r="Y894" s="97"/>
      <c r="AH894" s="14"/>
      <c r="AI894" s="14"/>
      <c r="AJ894" s="14"/>
      <c r="AK894" s="14"/>
      <c r="AL894" s="50"/>
    </row>
    <row r="895" spans="1:40" x14ac:dyDescent="0.3">
      <c r="A895" s="2">
        <v>495</v>
      </c>
      <c r="B895" s="2">
        <v>473</v>
      </c>
      <c r="E895" t="s">
        <v>398</v>
      </c>
      <c r="T895" s="97"/>
      <c r="U895" s="97"/>
      <c r="V895" s="97"/>
      <c r="W895" s="97"/>
      <c r="X895" s="97"/>
      <c r="Y895" s="97"/>
      <c r="AH895" s="14"/>
      <c r="AI895" s="14"/>
      <c r="AJ895" s="14"/>
      <c r="AK895" s="14"/>
      <c r="AL895" s="50"/>
    </row>
    <row r="896" spans="1:40" x14ac:dyDescent="0.3">
      <c r="A896" s="2">
        <f>A601+1</f>
        <v>340</v>
      </c>
      <c r="B896" s="2">
        <v>487</v>
      </c>
      <c r="E896" t="s">
        <v>404</v>
      </c>
      <c r="T896" s="97"/>
      <c r="U896" s="97"/>
      <c r="V896" s="97"/>
      <c r="W896" s="97"/>
      <c r="X896" s="97"/>
      <c r="Y896" s="97"/>
      <c r="AH896" s="14"/>
      <c r="AI896" s="14"/>
      <c r="AJ896" s="14"/>
      <c r="AK896" s="14"/>
      <c r="AL896" s="50"/>
    </row>
    <row r="897" spans="1:38" x14ac:dyDescent="0.3">
      <c r="A897" s="2">
        <v>392</v>
      </c>
      <c r="B897" s="2">
        <v>490</v>
      </c>
      <c r="E897" t="s">
        <v>407</v>
      </c>
      <c r="AH897" s="14"/>
      <c r="AI897" s="14"/>
      <c r="AJ897" s="14"/>
      <c r="AK897" s="14"/>
      <c r="AL897" s="50"/>
    </row>
    <row r="898" spans="1:38" x14ac:dyDescent="0.3">
      <c r="A898" s="2">
        <f>A897+1</f>
        <v>393</v>
      </c>
      <c r="B898" s="2">
        <v>491</v>
      </c>
      <c r="E898" t="s">
        <v>408</v>
      </c>
      <c r="AH898" s="14"/>
      <c r="AI898" s="14"/>
      <c r="AJ898" s="14"/>
      <c r="AK898" s="14"/>
      <c r="AL898" s="50"/>
    </row>
    <row r="899" spans="1:38" x14ac:dyDescent="0.3">
      <c r="A899" s="2">
        <f>A898+1</f>
        <v>394</v>
      </c>
      <c r="B899" s="2">
        <v>492</v>
      </c>
      <c r="E899" t="s">
        <v>409</v>
      </c>
      <c r="AH899" s="14"/>
      <c r="AI899" s="14"/>
      <c r="AJ899" s="14"/>
      <c r="AK899" s="14"/>
      <c r="AL899" s="50"/>
    </row>
    <row r="900" spans="1:38" x14ac:dyDescent="0.3">
      <c r="A900" s="2">
        <f>A899+1</f>
        <v>395</v>
      </c>
      <c r="B900" s="2">
        <v>493</v>
      </c>
      <c r="E900" t="s">
        <v>410</v>
      </c>
      <c r="AH900" s="14"/>
      <c r="AI900" s="14"/>
      <c r="AJ900" s="14"/>
      <c r="AK900" s="14"/>
      <c r="AL900" s="50"/>
    </row>
    <row r="901" spans="1:38" x14ac:dyDescent="0.3">
      <c r="A901" s="2">
        <v>417</v>
      </c>
      <c r="E901" t="s">
        <v>417</v>
      </c>
      <c r="AH901" s="14"/>
      <c r="AI901" s="14"/>
      <c r="AJ901" s="14"/>
      <c r="AK901" s="14"/>
      <c r="AL901" s="50"/>
    </row>
    <row r="902" spans="1:38" x14ac:dyDescent="0.3">
      <c r="A902" s="2">
        <f>A901+1</f>
        <v>418</v>
      </c>
      <c r="E902" t="s">
        <v>418</v>
      </c>
      <c r="AH902" s="14"/>
      <c r="AI902" s="14"/>
      <c r="AJ902" s="14"/>
      <c r="AK902" s="14"/>
      <c r="AL902" s="50"/>
    </row>
    <row r="903" spans="1:38" x14ac:dyDescent="0.3">
      <c r="A903" s="2">
        <f>A902+1</f>
        <v>419</v>
      </c>
      <c r="E903" t="s">
        <v>419</v>
      </c>
      <c r="AH903" s="14"/>
      <c r="AI903" s="14"/>
      <c r="AJ903" s="14"/>
      <c r="AK903" s="14"/>
      <c r="AL903" s="50"/>
    </row>
    <row r="904" spans="1:38" x14ac:dyDescent="0.3">
      <c r="A904" s="2">
        <v>420</v>
      </c>
      <c r="E904" t="s">
        <v>420</v>
      </c>
      <c r="AH904" s="14"/>
      <c r="AI904" s="14"/>
      <c r="AJ904" s="14"/>
      <c r="AK904" s="14"/>
      <c r="AL904" s="50"/>
    </row>
    <row r="905" spans="1:38" x14ac:dyDescent="0.3">
      <c r="A905" s="2">
        <v>422</v>
      </c>
      <c r="E905" t="s">
        <v>422</v>
      </c>
      <c r="AH905" s="14"/>
      <c r="AI905" s="14"/>
      <c r="AJ905" s="14"/>
      <c r="AK905" s="14"/>
      <c r="AL905" s="50"/>
    </row>
    <row r="906" spans="1:38" x14ac:dyDescent="0.3">
      <c r="A906" s="2">
        <v>423</v>
      </c>
      <c r="E906" t="s">
        <v>423</v>
      </c>
      <c r="AH906" s="14"/>
      <c r="AI906" s="14"/>
      <c r="AJ906" s="14"/>
      <c r="AK906" s="14"/>
      <c r="AL906" s="50"/>
    </row>
    <row r="907" spans="1:38" x14ac:dyDescent="0.3">
      <c r="A907" s="2">
        <v>426</v>
      </c>
      <c r="E907" t="s">
        <v>426</v>
      </c>
      <c r="AH907" s="14"/>
      <c r="AI907" s="14"/>
      <c r="AJ907" s="14"/>
      <c r="AK907" s="14"/>
      <c r="AL907" s="50"/>
    </row>
    <row r="908" spans="1:38" x14ac:dyDescent="0.3">
      <c r="A908" s="2">
        <v>428</v>
      </c>
      <c r="E908" t="s">
        <v>428</v>
      </c>
      <c r="AH908" s="14"/>
      <c r="AI908" s="14"/>
      <c r="AJ908" s="14"/>
      <c r="AK908" s="14"/>
      <c r="AL908" s="50"/>
    </row>
    <row r="909" spans="1:38" x14ac:dyDescent="0.3">
      <c r="A909" s="2">
        <v>429</v>
      </c>
      <c r="E909" t="s">
        <v>429</v>
      </c>
      <c r="AH909" s="14"/>
      <c r="AI909" s="14"/>
      <c r="AJ909" s="14"/>
      <c r="AK909" s="14"/>
      <c r="AL909" s="50"/>
    </row>
    <row r="910" spans="1:38" x14ac:dyDescent="0.3">
      <c r="A910" s="2">
        <v>431</v>
      </c>
      <c r="E910" t="s">
        <v>431</v>
      </c>
      <c r="AH910" s="14"/>
      <c r="AI910" s="14"/>
      <c r="AJ910" s="14"/>
      <c r="AK910" s="14"/>
      <c r="AL910" s="50"/>
    </row>
    <row r="911" spans="1:38" x14ac:dyDescent="0.3">
      <c r="A911" s="2">
        <v>433</v>
      </c>
      <c r="E911" t="s">
        <v>433</v>
      </c>
      <c r="AH911" s="14"/>
      <c r="AI911" s="14"/>
      <c r="AJ911" s="14"/>
      <c r="AK911" s="14"/>
      <c r="AL911" s="50"/>
    </row>
    <row r="912" spans="1:38" x14ac:dyDescent="0.3">
      <c r="A912" s="2">
        <v>434</v>
      </c>
      <c r="E912" t="s">
        <v>434</v>
      </c>
      <c r="AH912" s="14"/>
      <c r="AI912" s="14"/>
      <c r="AJ912" s="14"/>
      <c r="AK912" s="14"/>
      <c r="AL912" s="50"/>
    </row>
    <row r="913" spans="1:38" x14ac:dyDescent="0.3">
      <c r="A913" s="2">
        <v>436</v>
      </c>
      <c r="E913" t="s">
        <v>436</v>
      </c>
      <c r="F913" t="s">
        <v>6</v>
      </c>
      <c r="AH913" s="14"/>
      <c r="AI913" s="14"/>
      <c r="AJ913" s="14"/>
      <c r="AK913" s="14"/>
      <c r="AL913" s="50"/>
    </row>
    <row r="914" spans="1:38" x14ac:dyDescent="0.3">
      <c r="A914" s="2">
        <v>438</v>
      </c>
      <c r="E914" t="s">
        <v>438</v>
      </c>
      <c r="F914" t="s">
        <v>716</v>
      </c>
      <c r="AH914" s="14"/>
      <c r="AI914" s="14"/>
      <c r="AJ914" s="14"/>
      <c r="AK914" s="14"/>
      <c r="AL914" s="50"/>
    </row>
    <row r="915" spans="1:38" x14ac:dyDescent="0.3">
      <c r="A915" s="2">
        <f>A914+1</f>
        <v>439</v>
      </c>
      <c r="E915" t="s">
        <v>439</v>
      </c>
      <c r="AH915" s="14"/>
      <c r="AI915" s="14"/>
      <c r="AJ915" s="14"/>
      <c r="AK915" s="14"/>
      <c r="AL915" s="50"/>
    </row>
    <row r="916" spans="1:38" x14ac:dyDescent="0.3">
      <c r="A916" s="2">
        <v>440</v>
      </c>
      <c r="E916" t="s">
        <v>440</v>
      </c>
      <c r="AH916" s="14"/>
      <c r="AI916" s="14"/>
      <c r="AJ916" s="14"/>
      <c r="AK916" s="14"/>
      <c r="AL916" s="50"/>
    </row>
    <row r="917" spans="1:38" x14ac:dyDescent="0.3">
      <c r="A917" s="2">
        <v>444</v>
      </c>
      <c r="E917" t="s">
        <v>444</v>
      </c>
      <c r="AH917" s="14"/>
      <c r="AI917" s="14"/>
      <c r="AJ917" s="14"/>
      <c r="AK917" s="14"/>
      <c r="AL917" s="50"/>
    </row>
    <row r="918" spans="1:38" x14ac:dyDescent="0.3">
      <c r="A918" s="2">
        <v>424</v>
      </c>
      <c r="E918" t="s">
        <v>448</v>
      </c>
      <c r="F918" t="s">
        <v>6</v>
      </c>
      <c r="AH918" s="14"/>
      <c r="AI918" s="14"/>
      <c r="AJ918" s="14"/>
      <c r="AK918" s="14"/>
      <c r="AL918" s="50"/>
    </row>
    <row r="919" spans="1:38" x14ac:dyDescent="0.3">
      <c r="A919" s="2">
        <v>425</v>
      </c>
      <c r="E919" t="s">
        <v>449</v>
      </c>
      <c r="AH919" s="14"/>
      <c r="AI919" s="14"/>
      <c r="AJ919" s="14"/>
      <c r="AK919" s="14"/>
      <c r="AL919" s="50"/>
    </row>
    <row r="920" spans="1:38" x14ac:dyDescent="0.3">
      <c r="A920" s="2">
        <v>429</v>
      </c>
      <c r="E920" t="s">
        <v>453</v>
      </c>
      <c r="AH920" s="14"/>
      <c r="AI920" s="14"/>
      <c r="AJ920" s="14"/>
      <c r="AK920" s="14"/>
      <c r="AL920" s="50"/>
    </row>
    <row r="921" spans="1:38" x14ac:dyDescent="0.3">
      <c r="A921" s="2">
        <v>433</v>
      </c>
      <c r="E921" t="s">
        <v>458</v>
      </c>
      <c r="AH921" s="14"/>
      <c r="AI921" s="14"/>
      <c r="AJ921" s="14"/>
      <c r="AK921" s="14"/>
      <c r="AL921" s="50"/>
    </row>
    <row r="922" spans="1:38" x14ac:dyDescent="0.3">
      <c r="A922" s="2">
        <v>434</v>
      </c>
      <c r="E922" t="s">
        <v>459</v>
      </c>
      <c r="AH922" s="14"/>
      <c r="AI922" s="14"/>
      <c r="AJ922" s="14"/>
      <c r="AK922" s="14"/>
      <c r="AL922" s="50"/>
    </row>
    <row r="923" spans="1:38" x14ac:dyDescent="0.3">
      <c r="A923" s="2">
        <v>436</v>
      </c>
      <c r="E923" t="s">
        <v>461</v>
      </c>
      <c r="AH923" s="14"/>
      <c r="AI923" s="14"/>
      <c r="AJ923" s="14"/>
      <c r="AK923" s="14"/>
      <c r="AL923" s="50"/>
    </row>
    <row r="924" spans="1:38" x14ac:dyDescent="0.3">
      <c r="A924" s="2">
        <v>441</v>
      </c>
      <c r="E924" t="s">
        <v>467</v>
      </c>
      <c r="AH924" s="14"/>
      <c r="AI924" s="14"/>
      <c r="AJ924" s="14"/>
      <c r="AK924" s="14"/>
      <c r="AL924" s="50"/>
    </row>
    <row r="925" spans="1:38" x14ac:dyDescent="0.3">
      <c r="A925" s="2">
        <v>443</v>
      </c>
      <c r="E925" s="139" t="s">
        <v>468</v>
      </c>
      <c r="AH925" s="14"/>
      <c r="AI925" s="14"/>
      <c r="AJ925" s="14"/>
      <c r="AK925" s="14"/>
      <c r="AL925" s="50"/>
    </row>
    <row r="926" spans="1:38" x14ac:dyDescent="0.3">
      <c r="A926" s="2">
        <v>445</v>
      </c>
      <c r="E926" t="s">
        <v>470</v>
      </c>
      <c r="AH926" s="14"/>
      <c r="AI926" s="14"/>
      <c r="AJ926" s="14"/>
      <c r="AK926" s="14"/>
      <c r="AL926" s="50"/>
    </row>
    <row r="927" spans="1:38" x14ac:dyDescent="0.3">
      <c r="A927" s="2">
        <v>472</v>
      </c>
      <c r="E927" t="s">
        <v>475</v>
      </c>
      <c r="AH927" s="14"/>
      <c r="AI927" s="14"/>
      <c r="AJ927" s="14"/>
      <c r="AK927" s="14"/>
      <c r="AL927" s="50"/>
    </row>
    <row r="928" spans="1:38" x14ac:dyDescent="0.3">
      <c r="A928" s="2">
        <v>473</v>
      </c>
      <c r="E928" t="s">
        <v>476</v>
      </c>
      <c r="F928" t="s">
        <v>7</v>
      </c>
      <c r="AH928" s="14"/>
      <c r="AI928" s="14"/>
      <c r="AJ928" s="14"/>
      <c r="AK928" s="14"/>
      <c r="AL928" s="50"/>
    </row>
    <row r="929" spans="1:38" x14ac:dyDescent="0.3">
      <c r="A929" s="2">
        <v>476</v>
      </c>
      <c r="E929" t="s">
        <v>480</v>
      </c>
      <c r="AH929" s="14"/>
      <c r="AI929" s="14"/>
      <c r="AJ929" s="14"/>
      <c r="AK929" s="14"/>
      <c r="AL929" s="50"/>
    </row>
    <row r="930" spans="1:38" x14ac:dyDescent="0.3">
      <c r="A930" s="2">
        <v>480</v>
      </c>
      <c r="E930" t="s">
        <v>484</v>
      </c>
      <c r="AH930" s="14"/>
      <c r="AI930" s="14"/>
      <c r="AJ930" s="14"/>
      <c r="AK930" s="14"/>
      <c r="AL930" s="50"/>
    </row>
    <row r="931" spans="1:38" x14ac:dyDescent="0.3">
      <c r="A931" s="2">
        <f>A930+1</f>
        <v>481</v>
      </c>
      <c r="E931" t="s">
        <v>486</v>
      </c>
      <c r="AH931" s="14"/>
      <c r="AI931" s="14"/>
      <c r="AJ931" s="14"/>
      <c r="AK931" s="14"/>
      <c r="AL931" s="50"/>
    </row>
    <row r="932" spans="1:38" x14ac:dyDescent="0.3">
      <c r="A932" s="2">
        <f>A931+1</f>
        <v>482</v>
      </c>
      <c r="E932" t="s">
        <v>487</v>
      </c>
      <c r="AH932" s="14"/>
      <c r="AI932" s="14"/>
      <c r="AJ932" s="14"/>
      <c r="AK932" s="14"/>
      <c r="AL932" s="50"/>
    </row>
    <row r="933" spans="1:38" ht="12.5" x14ac:dyDescent="0.25">
      <c r="A933" s="2">
        <f>A932+1</f>
        <v>483</v>
      </c>
      <c r="B933" s="2">
        <v>471</v>
      </c>
      <c r="E933" t="s">
        <v>488</v>
      </c>
      <c r="K933" s="15"/>
      <c r="AH933" s="14"/>
      <c r="AI933" s="14"/>
      <c r="AJ933" s="14"/>
      <c r="AK933" s="14"/>
      <c r="AL933" s="50"/>
    </row>
    <row r="934" spans="1:38" x14ac:dyDescent="0.3">
      <c r="A934" s="2">
        <f>A933+1</f>
        <v>484</v>
      </c>
      <c r="E934" t="s">
        <v>489</v>
      </c>
      <c r="AH934" s="14"/>
      <c r="AI934" s="14"/>
      <c r="AJ934" s="14"/>
      <c r="AK934" s="14"/>
      <c r="AL934" s="50"/>
    </row>
    <row r="935" spans="1:38" x14ac:dyDescent="0.3">
      <c r="A935" s="2">
        <v>485</v>
      </c>
      <c r="E935" t="s">
        <v>490</v>
      </c>
      <c r="F935" t="s">
        <v>6</v>
      </c>
      <c r="H935" s="2">
        <v>8000</v>
      </c>
      <c r="AH935" s="14"/>
      <c r="AI935" s="14"/>
      <c r="AJ935" s="14"/>
      <c r="AK935" s="14"/>
      <c r="AL935" s="50"/>
    </row>
    <row r="936" spans="1:38" x14ac:dyDescent="0.3">
      <c r="E936" t="s">
        <v>1001</v>
      </c>
      <c r="AH936" s="14"/>
      <c r="AI936" s="14"/>
      <c r="AJ936" s="14"/>
      <c r="AK936" s="14"/>
      <c r="AL936" s="50"/>
    </row>
    <row r="937" spans="1:38" ht="12.5" x14ac:dyDescent="0.25">
      <c r="A937" s="2">
        <v>488</v>
      </c>
      <c r="E937" t="s">
        <v>493</v>
      </c>
      <c r="K937" s="15"/>
      <c r="AH937" s="14"/>
      <c r="AI937" s="14"/>
      <c r="AJ937" s="14"/>
      <c r="AK937" s="14"/>
      <c r="AL937" s="50"/>
    </row>
    <row r="938" spans="1:38" x14ac:dyDescent="0.3">
      <c r="A938" s="2">
        <v>490</v>
      </c>
      <c r="E938" t="s">
        <v>495</v>
      </c>
      <c r="AH938" s="14"/>
      <c r="AI938" s="14"/>
      <c r="AJ938" s="14"/>
      <c r="AK938" s="14"/>
      <c r="AL938" s="50"/>
    </row>
    <row r="939" spans="1:38" x14ac:dyDescent="0.3">
      <c r="A939" s="2">
        <v>492</v>
      </c>
      <c r="E939" t="s">
        <v>498</v>
      </c>
      <c r="AH939" s="14"/>
      <c r="AI939" s="14"/>
      <c r="AJ939" s="14"/>
      <c r="AK939" s="14"/>
      <c r="AL939" s="50"/>
    </row>
    <row r="940" spans="1:38" x14ac:dyDescent="0.3">
      <c r="A940" s="2">
        <v>495</v>
      </c>
      <c r="E940" t="s">
        <v>502</v>
      </c>
      <c r="AH940" s="14"/>
      <c r="AI940" s="14"/>
      <c r="AJ940" s="14"/>
      <c r="AK940" s="14"/>
      <c r="AL940" s="50"/>
    </row>
    <row r="941" spans="1:38" x14ac:dyDescent="0.3">
      <c r="A941" s="2">
        <v>496</v>
      </c>
      <c r="E941" t="s">
        <v>503</v>
      </c>
      <c r="AH941" s="14"/>
      <c r="AI941" s="14"/>
      <c r="AJ941" s="14"/>
      <c r="AK941" s="14"/>
      <c r="AL941" s="50"/>
    </row>
    <row r="942" spans="1:38" x14ac:dyDescent="0.3">
      <c r="A942" s="2">
        <v>500</v>
      </c>
      <c r="E942" t="s">
        <v>507</v>
      </c>
      <c r="AH942" s="14"/>
      <c r="AI942" s="14"/>
      <c r="AJ942" s="14"/>
      <c r="AK942" s="14"/>
      <c r="AL942" s="50"/>
    </row>
    <row r="943" spans="1:38" x14ac:dyDescent="0.3">
      <c r="A943" s="2">
        <f>A131+1</f>
        <v>1583</v>
      </c>
      <c r="E943" t="s">
        <v>509</v>
      </c>
      <c r="AH943" s="14"/>
      <c r="AI943" s="14"/>
      <c r="AJ943" s="14"/>
      <c r="AK943" s="14"/>
      <c r="AL943" s="50"/>
    </row>
    <row r="944" spans="1:38" x14ac:dyDescent="0.3">
      <c r="A944" s="2">
        <v>504</v>
      </c>
      <c r="E944" t="s">
        <v>511</v>
      </c>
      <c r="AH944" s="14"/>
      <c r="AI944" s="14"/>
      <c r="AJ944" s="14"/>
      <c r="AK944" s="14"/>
      <c r="AL944" s="50"/>
    </row>
    <row r="945" spans="1:39" x14ac:dyDescent="0.3">
      <c r="A945" s="2">
        <v>506</v>
      </c>
      <c r="E945" t="s">
        <v>513</v>
      </c>
      <c r="AH945" s="14"/>
      <c r="AI945" s="14"/>
      <c r="AJ945" s="14"/>
      <c r="AK945" s="14"/>
      <c r="AL945" s="50"/>
    </row>
    <row r="946" spans="1:39" x14ac:dyDescent="0.3">
      <c r="A946" s="2">
        <v>507</v>
      </c>
      <c r="E946" t="s">
        <v>514</v>
      </c>
      <c r="AH946" s="14"/>
      <c r="AI946" s="14"/>
      <c r="AJ946" s="14"/>
      <c r="AK946" s="14"/>
      <c r="AL946" s="50"/>
    </row>
    <row r="947" spans="1:39" ht="12.5" x14ac:dyDescent="0.25">
      <c r="A947" s="2">
        <v>509</v>
      </c>
      <c r="E947" t="s">
        <v>516</v>
      </c>
      <c r="K947" s="15"/>
      <c r="AH947" s="14"/>
      <c r="AI947" s="14"/>
      <c r="AJ947" s="14"/>
      <c r="AK947" s="14"/>
      <c r="AL947" s="50"/>
    </row>
    <row r="948" spans="1:39" x14ac:dyDescent="0.3">
      <c r="A948" s="2">
        <f>A947+1</f>
        <v>510</v>
      </c>
      <c r="E948" t="s">
        <v>517</v>
      </c>
      <c r="AH948" s="14"/>
      <c r="AI948" s="14"/>
      <c r="AJ948" s="14"/>
      <c r="AK948" s="14"/>
      <c r="AL948" s="50"/>
    </row>
    <row r="949" spans="1:39" x14ac:dyDescent="0.3">
      <c r="A949" s="2">
        <v>489</v>
      </c>
      <c r="E949" t="s">
        <v>621</v>
      </c>
      <c r="F949" t="s">
        <v>620</v>
      </c>
      <c r="I949" s="2">
        <v>23.18</v>
      </c>
      <c r="AH949" s="14"/>
      <c r="AI949" s="14"/>
      <c r="AJ949" s="14"/>
      <c r="AK949" s="14"/>
      <c r="AL949" s="50"/>
    </row>
    <row r="950" spans="1:39" x14ac:dyDescent="0.3">
      <c r="A950" s="2">
        <v>524</v>
      </c>
      <c r="C950" s="2">
        <v>233</v>
      </c>
      <c r="E950" s="138" t="s">
        <v>1062</v>
      </c>
      <c r="I950" s="15">
        <v>142.30000000000001</v>
      </c>
      <c r="L950" s="15"/>
      <c r="AH950" s="14"/>
      <c r="AI950" s="14">
        <v>142.30000000000001</v>
      </c>
      <c r="AJ950" s="14"/>
      <c r="AK950" s="14"/>
      <c r="AL950" s="50"/>
      <c r="AM950" s="19">
        <v>0.22013888888888888</v>
      </c>
    </row>
    <row r="951" spans="1:39" x14ac:dyDescent="0.3">
      <c r="E951" s="138" t="s">
        <v>1721</v>
      </c>
      <c r="I951" s="15"/>
      <c r="L951" s="15"/>
      <c r="AH951" s="14"/>
      <c r="AI951" s="14"/>
      <c r="AJ951" s="14"/>
      <c r="AK951" s="14"/>
      <c r="AL951" s="50"/>
      <c r="AM951" s="19"/>
    </row>
    <row r="952" spans="1:39" x14ac:dyDescent="0.3">
      <c r="A952" s="2">
        <v>587</v>
      </c>
      <c r="E952" t="s">
        <v>616</v>
      </c>
      <c r="I952" s="2">
        <v>48.41</v>
      </c>
      <c r="AH952" s="14"/>
      <c r="AI952" s="14"/>
      <c r="AJ952" s="14"/>
      <c r="AK952" s="14"/>
      <c r="AL952" s="50"/>
    </row>
    <row r="953" spans="1:39" x14ac:dyDescent="0.3">
      <c r="A953" s="2">
        <v>342</v>
      </c>
      <c r="B953" s="2">
        <v>599</v>
      </c>
      <c r="C953" s="2">
        <v>201</v>
      </c>
      <c r="D953" s="2">
        <v>255</v>
      </c>
      <c r="E953" s="138" t="s">
        <v>940</v>
      </c>
      <c r="F953" t="s">
        <v>546</v>
      </c>
      <c r="I953" s="15">
        <v>75.209999999999994</v>
      </c>
      <c r="L953" s="15"/>
      <c r="T953" s="97">
        <v>89.35</v>
      </c>
      <c r="U953" s="97">
        <v>88.74</v>
      </c>
      <c r="V953" s="97">
        <v>87.97</v>
      </c>
      <c r="W953" s="97">
        <v>85.67</v>
      </c>
      <c r="X953" s="97">
        <v>77.7</v>
      </c>
      <c r="Y953" s="97">
        <v>75.959999999999994</v>
      </c>
      <c r="AH953" s="14"/>
      <c r="AI953" s="14">
        <v>75.209999999999994</v>
      </c>
      <c r="AJ953" s="14"/>
      <c r="AK953" s="14"/>
      <c r="AL953" s="50"/>
      <c r="AM953" s="19">
        <v>0.62847222222222221</v>
      </c>
    </row>
    <row r="954" spans="1:39" x14ac:dyDescent="0.3">
      <c r="A954" s="2">
        <v>462</v>
      </c>
      <c r="B954" s="2">
        <v>928</v>
      </c>
      <c r="C954" s="2">
        <v>359</v>
      </c>
      <c r="D954" s="2">
        <v>545</v>
      </c>
      <c r="E954" s="138" t="s">
        <v>1160</v>
      </c>
      <c r="I954" s="15">
        <v>84.84</v>
      </c>
      <c r="L954" s="15"/>
      <c r="T954" s="97">
        <v>100</v>
      </c>
      <c r="U954" s="97">
        <v>115.8</v>
      </c>
      <c r="V954" s="97">
        <v>117.3</v>
      </c>
      <c r="W954" s="97">
        <v>123</v>
      </c>
      <c r="X954" s="97">
        <v>107.1</v>
      </c>
      <c r="Y954" s="97">
        <v>111.2</v>
      </c>
      <c r="AH954" s="14"/>
      <c r="AI954" s="14">
        <v>84.84</v>
      </c>
      <c r="AJ954" s="14"/>
      <c r="AK954" s="14"/>
      <c r="AL954" s="50"/>
      <c r="AM954" s="19">
        <v>0.1423611111111111</v>
      </c>
    </row>
    <row r="955" spans="1:39" x14ac:dyDescent="0.3">
      <c r="E955" s="138" t="s">
        <v>1755</v>
      </c>
      <c r="I955" s="15"/>
      <c r="L955" s="15"/>
      <c r="T955" s="97"/>
      <c r="U955" s="97"/>
      <c r="V955" s="97"/>
      <c r="W955" s="97"/>
      <c r="X955" s="97"/>
      <c r="Y955" s="97"/>
      <c r="AH955" s="14"/>
      <c r="AI955" s="14"/>
      <c r="AJ955" s="14"/>
      <c r="AK955" s="14"/>
      <c r="AL955" s="50"/>
      <c r="AM955" s="19"/>
    </row>
    <row r="956" spans="1:39" x14ac:dyDescent="0.3">
      <c r="E956" s="138" t="s">
        <v>1723</v>
      </c>
      <c r="I956" s="15"/>
      <c r="L956" s="15"/>
      <c r="T956" s="97"/>
      <c r="U956" s="97"/>
      <c r="V956" s="97"/>
      <c r="W956" s="97"/>
      <c r="X956" s="97"/>
      <c r="Y956" s="97"/>
      <c r="AH956" s="14"/>
      <c r="AI956" s="14"/>
      <c r="AJ956" s="14"/>
      <c r="AK956" s="14"/>
      <c r="AL956" s="50"/>
      <c r="AM956" s="19"/>
    </row>
    <row r="957" spans="1:39" x14ac:dyDescent="0.3">
      <c r="E957" s="138" t="s">
        <v>1724</v>
      </c>
      <c r="I957" s="15"/>
      <c r="L957" s="15"/>
      <c r="T957" s="97"/>
      <c r="U957" s="97"/>
      <c r="V957" s="97"/>
      <c r="W957" s="97"/>
      <c r="X957" s="97"/>
      <c r="Y957" s="97"/>
      <c r="AH957" s="14"/>
      <c r="AI957" s="14"/>
      <c r="AJ957" s="14"/>
      <c r="AK957" s="14"/>
      <c r="AL957" s="50"/>
      <c r="AM957" s="19"/>
    </row>
    <row r="958" spans="1:39" x14ac:dyDescent="0.3">
      <c r="A958" s="2">
        <v>601</v>
      </c>
      <c r="B958" s="2">
        <v>1018</v>
      </c>
      <c r="C958" s="2">
        <v>606</v>
      </c>
      <c r="D958" s="2">
        <v>1418</v>
      </c>
      <c r="E958" s="138" t="s">
        <v>1081</v>
      </c>
      <c r="I958" s="15">
        <v>36.590000000000003</v>
      </c>
      <c r="L958" s="15"/>
      <c r="T958" s="97">
        <v>72.55</v>
      </c>
      <c r="U958" s="97">
        <v>77.510000000000005</v>
      </c>
      <c r="V958" s="97">
        <v>70.66</v>
      </c>
      <c r="W958" s="97">
        <v>73.48</v>
      </c>
      <c r="X958" s="97">
        <v>63.69</v>
      </c>
      <c r="Y958" s="97">
        <v>66.72</v>
      </c>
      <c r="AH958" s="14"/>
      <c r="AI958" s="14">
        <v>36.590000000000003</v>
      </c>
      <c r="AJ958" s="14"/>
      <c r="AK958" s="14"/>
      <c r="AL958" s="50"/>
      <c r="AM958" s="19">
        <v>0.37777777777777777</v>
      </c>
    </row>
    <row r="959" spans="1:39" x14ac:dyDescent="0.3">
      <c r="E959" t="s">
        <v>1002</v>
      </c>
      <c r="AH959" s="14"/>
      <c r="AI959" s="14"/>
      <c r="AJ959" s="14"/>
      <c r="AK959" s="14"/>
      <c r="AL959" s="50"/>
    </row>
    <row r="960" spans="1:39" x14ac:dyDescent="0.3">
      <c r="E960" t="s">
        <v>1003</v>
      </c>
      <c r="AH960" s="14"/>
      <c r="AI960" s="14"/>
      <c r="AJ960" s="14"/>
      <c r="AK960" s="14"/>
      <c r="AL960" s="50"/>
    </row>
    <row r="961" spans="1:39" x14ac:dyDescent="0.3">
      <c r="A961" s="2">
        <v>601</v>
      </c>
      <c r="E961" t="s">
        <v>717</v>
      </c>
      <c r="F961" t="s">
        <v>718</v>
      </c>
      <c r="H961" s="2">
        <v>10000</v>
      </c>
      <c r="I961" s="2">
        <v>16.29</v>
      </c>
      <c r="AH961" s="14"/>
      <c r="AI961" s="14"/>
      <c r="AJ961" s="14"/>
      <c r="AK961" s="14"/>
      <c r="AL961" s="50"/>
    </row>
    <row r="962" spans="1:39" x14ac:dyDescent="0.3">
      <c r="E962" t="s">
        <v>839</v>
      </c>
      <c r="AH962" s="14"/>
      <c r="AI962" s="14"/>
      <c r="AJ962" s="14"/>
      <c r="AK962" s="14"/>
      <c r="AL962" s="50"/>
    </row>
    <row r="963" spans="1:39" x14ac:dyDescent="0.3">
      <c r="B963" s="2">
        <v>233</v>
      </c>
      <c r="E963" t="s">
        <v>840</v>
      </c>
      <c r="AH963" s="14"/>
      <c r="AI963" s="14"/>
      <c r="AJ963" s="14"/>
      <c r="AK963" s="14"/>
      <c r="AL963" s="50"/>
    </row>
    <row r="964" spans="1:39" x14ac:dyDescent="0.3">
      <c r="E964" t="s">
        <v>841</v>
      </c>
      <c r="AH964" s="14"/>
      <c r="AI964" s="14"/>
      <c r="AJ964" s="14"/>
      <c r="AK964" s="14"/>
      <c r="AL964" s="50"/>
    </row>
    <row r="965" spans="1:39" x14ac:dyDescent="0.3">
      <c r="A965" s="2">
        <v>691</v>
      </c>
      <c r="E965" t="s">
        <v>591</v>
      </c>
      <c r="I965" s="2">
        <v>24.11</v>
      </c>
      <c r="AH965" s="14"/>
      <c r="AI965" s="14"/>
      <c r="AJ965" s="14"/>
      <c r="AK965" s="14"/>
      <c r="AL965" s="50"/>
    </row>
    <row r="966" spans="1:39" x14ac:dyDescent="0.3">
      <c r="A966" s="2">
        <v>720</v>
      </c>
      <c r="E966" t="s">
        <v>626</v>
      </c>
      <c r="I966" s="2">
        <v>126.9</v>
      </c>
      <c r="AH966" s="14"/>
      <c r="AI966" s="14"/>
      <c r="AJ966" s="14"/>
      <c r="AK966" s="14"/>
      <c r="AL966" s="50"/>
    </row>
    <row r="967" spans="1:39" x14ac:dyDescent="0.3">
      <c r="A967" s="2">
        <v>729</v>
      </c>
      <c r="B967" s="2">
        <v>599</v>
      </c>
      <c r="E967" t="s">
        <v>624</v>
      </c>
      <c r="I967" s="2">
        <v>18.29</v>
      </c>
      <c r="AH967" s="14"/>
      <c r="AI967" s="14"/>
      <c r="AJ967" s="14"/>
      <c r="AK967" s="14"/>
      <c r="AL967" s="50"/>
    </row>
    <row r="968" spans="1:39" x14ac:dyDescent="0.3">
      <c r="A968" s="2">
        <v>737</v>
      </c>
      <c r="E968" t="s">
        <v>659</v>
      </c>
      <c r="I968" s="2">
        <v>28.83</v>
      </c>
      <c r="AH968" s="14"/>
      <c r="AI968" s="14"/>
      <c r="AJ968" s="14"/>
      <c r="AK968" s="14"/>
      <c r="AL968" s="50"/>
    </row>
    <row r="969" spans="1:39" x14ac:dyDescent="0.3">
      <c r="A969" s="2">
        <v>739</v>
      </c>
      <c r="C969" s="2">
        <v>1883</v>
      </c>
      <c r="E969" t="s">
        <v>660</v>
      </c>
      <c r="F969" t="s">
        <v>777</v>
      </c>
      <c r="H969" s="2">
        <v>750000</v>
      </c>
      <c r="I969" s="2">
        <v>22.08</v>
      </c>
      <c r="AH969" s="14"/>
      <c r="AI969" s="14">
        <v>20.48</v>
      </c>
      <c r="AJ969" s="14"/>
      <c r="AK969" s="14"/>
      <c r="AL969" s="50"/>
      <c r="AM969" s="19">
        <v>0.15694444444444444</v>
      </c>
    </row>
    <row r="970" spans="1:39" x14ac:dyDescent="0.3">
      <c r="A970" s="2">
        <v>804</v>
      </c>
      <c r="E970" t="s">
        <v>619</v>
      </c>
      <c r="F970" t="s">
        <v>620</v>
      </c>
      <c r="I970" s="2">
        <v>87.23</v>
      </c>
      <c r="AH970" s="14"/>
      <c r="AI970" s="14"/>
      <c r="AJ970" s="14"/>
      <c r="AK970" s="14"/>
      <c r="AL970" s="50"/>
    </row>
    <row r="971" spans="1:39" x14ac:dyDescent="0.3">
      <c r="A971" s="2">
        <v>855</v>
      </c>
      <c r="E971" t="s">
        <v>658</v>
      </c>
      <c r="I971" s="2">
        <v>18.73</v>
      </c>
      <c r="AH971" s="14"/>
      <c r="AI971" s="14"/>
      <c r="AJ971" s="14"/>
      <c r="AK971" s="14"/>
      <c r="AL971" s="50"/>
    </row>
    <row r="972" spans="1:39" x14ac:dyDescent="0.3">
      <c r="A972" s="2">
        <v>903</v>
      </c>
      <c r="E972" t="s">
        <v>643</v>
      </c>
      <c r="I972" s="2">
        <v>22.7</v>
      </c>
      <c r="AH972" s="14"/>
      <c r="AI972" s="14"/>
      <c r="AJ972" s="14"/>
      <c r="AK972" s="14"/>
      <c r="AL972" s="50"/>
    </row>
    <row r="973" spans="1:39" x14ac:dyDescent="0.3">
      <c r="A973" s="2">
        <v>946</v>
      </c>
      <c r="E973" t="s">
        <v>642</v>
      </c>
      <c r="I973" s="2">
        <v>14.63</v>
      </c>
      <c r="AH973" s="14"/>
      <c r="AI973" s="14"/>
      <c r="AJ973" s="14"/>
      <c r="AK973" s="14"/>
      <c r="AL973" s="50"/>
    </row>
    <row r="974" spans="1:39" x14ac:dyDescent="0.3">
      <c r="A974" s="2">
        <v>1004</v>
      </c>
      <c r="E974" t="s">
        <v>579</v>
      </c>
      <c r="I974" s="2">
        <v>32</v>
      </c>
      <c r="AH974" s="14"/>
      <c r="AI974" s="14"/>
      <c r="AJ974" s="14"/>
      <c r="AK974" s="14"/>
      <c r="AL974" s="50"/>
    </row>
    <row r="975" spans="1:39" x14ac:dyDescent="0.3">
      <c r="A975" s="2">
        <v>1017</v>
      </c>
      <c r="B975" s="4"/>
      <c r="E975" t="s">
        <v>664</v>
      </c>
      <c r="I975" s="2">
        <v>18.64</v>
      </c>
      <c r="AH975" s="14"/>
      <c r="AI975" s="14"/>
      <c r="AJ975" s="14"/>
      <c r="AK975" s="14"/>
      <c r="AL975" s="50"/>
    </row>
    <row r="976" spans="1:39" x14ac:dyDescent="0.3">
      <c r="A976" s="2">
        <v>1020</v>
      </c>
      <c r="E976" t="s">
        <v>574</v>
      </c>
      <c r="I976" s="2">
        <v>18.77</v>
      </c>
      <c r="J976" s="15">
        <v>0.52566199999999996</v>
      </c>
      <c r="K976" s="16">
        <v>0.42083700000000002</v>
      </c>
      <c r="L976" s="2">
        <v>9.3979999999999997</v>
      </c>
      <c r="AH976" s="14"/>
      <c r="AI976" s="14"/>
      <c r="AJ976" s="14"/>
      <c r="AK976" s="14"/>
      <c r="AL976" s="50"/>
      <c r="AM976" s="20" t="s">
        <v>752</v>
      </c>
    </row>
    <row r="977" spans="1:39" x14ac:dyDescent="0.3">
      <c r="A977" s="2">
        <v>1057</v>
      </c>
      <c r="E977" t="s">
        <v>617</v>
      </c>
      <c r="I977" s="2">
        <v>37.200000000000003</v>
      </c>
      <c r="AH977" s="14"/>
      <c r="AI977" s="14"/>
      <c r="AJ977" s="14"/>
      <c r="AK977" s="14"/>
      <c r="AL977" s="50"/>
    </row>
    <row r="978" spans="1:39" x14ac:dyDescent="0.3">
      <c r="B978" s="4"/>
      <c r="E978" t="s">
        <v>1191</v>
      </c>
      <c r="AH978" s="14"/>
      <c r="AI978" s="14"/>
      <c r="AJ978" s="14"/>
      <c r="AK978" s="14"/>
      <c r="AL978" s="50"/>
    </row>
    <row r="979" spans="1:39" x14ac:dyDescent="0.3">
      <c r="A979" s="2">
        <v>1058</v>
      </c>
      <c r="B979" s="2">
        <v>784</v>
      </c>
      <c r="E979" t="s">
        <v>726</v>
      </c>
      <c r="I979" s="2">
        <v>18.8</v>
      </c>
      <c r="AH979" s="14"/>
      <c r="AI979" s="14"/>
      <c r="AJ979" s="14"/>
      <c r="AK979" s="14"/>
      <c r="AL979" s="50"/>
    </row>
    <row r="980" spans="1:39" x14ac:dyDescent="0.3">
      <c r="A980" s="2">
        <v>1066</v>
      </c>
      <c r="C980" s="2">
        <v>191</v>
      </c>
      <c r="E980" s="138" t="s">
        <v>1061</v>
      </c>
      <c r="I980" s="15">
        <v>192.4</v>
      </c>
      <c r="L980" s="15"/>
      <c r="AH980" s="14"/>
      <c r="AI980" s="14">
        <v>192.4</v>
      </c>
      <c r="AJ980" s="14"/>
      <c r="AK980" s="14"/>
      <c r="AL980" s="50"/>
      <c r="AM980" s="19">
        <v>0.17500000000000002</v>
      </c>
    </row>
    <row r="981" spans="1:39" x14ac:dyDescent="0.3">
      <c r="A981" s="2">
        <v>1069</v>
      </c>
      <c r="E981" t="s">
        <v>724</v>
      </c>
      <c r="I981" s="2">
        <v>22.74</v>
      </c>
      <c r="J981" s="15">
        <v>0.74942299999999995</v>
      </c>
      <c r="K981" s="16">
        <v>0.68430000000000002</v>
      </c>
      <c r="L981" s="2">
        <v>16.010000000000002</v>
      </c>
      <c r="AH981" s="14"/>
      <c r="AI981" s="14"/>
      <c r="AJ981" s="14"/>
      <c r="AK981" s="14"/>
      <c r="AL981" s="50"/>
      <c r="AM981" s="19">
        <v>4.5833333333333337E-2</v>
      </c>
    </row>
    <row r="982" spans="1:39" x14ac:dyDescent="0.3">
      <c r="A982" s="2">
        <v>1125</v>
      </c>
      <c r="B982" s="2">
        <v>928</v>
      </c>
      <c r="E982" t="s">
        <v>719</v>
      </c>
      <c r="I982" s="2">
        <v>38.51</v>
      </c>
      <c r="AH982" s="14"/>
      <c r="AI982" s="14"/>
      <c r="AJ982" s="14"/>
      <c r="AK982" s="14"/>
      <c r="AL982" s="50"/>
    </row>
    <row r="983" spans="1:39" x14ac:dyDescent="0.3">
      <c r="A983" s="2">
        <v>1146</v>
      </c>
      <c r="C983" s="2">
        <v>819</v>
      </c>
      <c r="E983" t="s">
        <v>1093</v>
      </c>
      <c r="I983" s="15">
        <v>55.55</v>
      </c>
      <c r="L983" s="15"/>
      <c r="AH983" s="14"/>
      <c r="AI983" s="14">
        <v>55.55</v>
      </c>
      <c r="AJ983" s="14"/>
      <c r="AK983" s="14"/>
      <c r="AL983" s="50"/>
      <c r="AM983" s="19">
        <v>0.15902777777777777</v>
      </c>
    </row>
    <row r="984" spans="1:39" x14ac:dyDescent="0.3">
      <c r="A984" s="2">
        <v>9532</v>
      </c>
      <c r="B984" s="2" t="s">
        <v>772</v>
      </c>
      <c r="C984" s="2">
        <v>13126</v>
      </c>
      <c r="D984" s="2" t="s">
        <v>772</v>
      </c>
      <c r="E984" t="s">
        <v>1201</v>
      </c>
      <c r="I984" s="15"/>
      <c r="L984" s="15"/>
      <c r="AH984" s="14"/>
      <c r="AI984" s="14"/>
      <c r="AJ984" s="14"/>
      <c r="AK984" s="14"/>
      <c r="AL984" s="50"/>
      <c r="AM984" s="19"/>
    </row>
    <row r="985" spans="1:39" x14ac:dyDescent="0.3">
      <c r="E985" t="s">
        <v>1184</v>
      </c>
      <c r="AH985" s="14"/>
      <c r="AI985" s="14"/>
      <c r="AJ985" s="14"/>
      <c r="AK985" s="14"/>
      <c r="AL985" s="50"/>
      <c r="AM985" s="44"/>
    </row>
    <row r="986" spans="1:39" x14ac:dyDescent="0.3">
      <c r="A986" s="2">
        <v>1180</v>
      </c>
      <c r="E986" t="s">
        <v>666</v>
      </c>
      <c r="I986" s="2">
        <v>19.940000000000001</v>
      </c>
      <c r="AH986" s="14"/>
      <c r="AI986" s="14"/>
      <c r="AJ986" s="14"/>
      <c r="AK986" s="14"/>
      <c r="AL986" s="50"/>
    </row>
    <row r="987" spans="1:39" x14ac:dyDescent="0.3">
      <c r="A987" s="2">
        <v>1213</v>
      </c>
      <c r="C987" s="2">
        <v>1574</v>
      </c>
      <c r="E987" t="s">
        <v>1153</v>
      </c>
      <c r="I987" s="15">
        <v>46.71</v>
      </c>
      <c r="L987" s="15"/>
      <c r="AH987" s="14"/>
      <c r="AI987" s="14">
        <v>46.71</v>
      </c>
      <c r="AJ987" s="14"/>
      <c r="AK987" s="14"/>
      <c r="AL987" s="50"/>
      <c r="AM987" s="19">
        <v>5.0694444444444452E-2</v>
      </c>
    </row>
    <row r="988" spans="1:39" x14ac:dyDescent="0.3">
      <c r="A988" s="2">
        <v>1285</v>
      </c>
      <c r="C988" s="2">
        <v>2140</v>
      </c>
      <c r="E988" t="s">
        <v>1148</v>
      </c>
      <c r="I988" s="15">
        <v>32.049999999999997</v>
      </c>
      <c r="L988" s="15"/>
      <c r="AH988" s="14"/>
      <c r="AI988" s="14">
        <v>32.049999999999997</v>
      </c>
      <c r="AJ988" s="14"/>
      <c r="AK988" s="14"/>
      <c r="AL988" s="50"/>
      <c r="AM988" s="19">
        <v>0.11944444444444445</v>
      </c>
    </row>
    <row r="989" spans="1:39" x14ac:dyDescent="0.3">
      <c r="A989" s="2">
        <v>1315</v>
      </c>
      <c r="B989" s="2">
        <v>1066</v>
      </c>
      <c r="E989" t="s">
        <v>727</v>
      </c>
      <c r="I989" s="2">
        <v>23.57</v>
      </c>
      <c r="AH989" s="14"/>
      <c r="AI989" s="14"/>
      <c r="AJ989" s="14"/>
      <c r="AK989" s="14"/>
      <c r="AL989" s="50"/>
    </row>
    <row r="990" spans="1:39" x14ac:dyDescent="0.3">
      <c r="A990" s="2">
        <v>1334</v>
      </c>
      <c r="E990" t="s">
        <v>649</v>
      </c>
      <c r="I990" s="2">
        <v>15.56</v>
      </c>
      <c r="AH990" s="14"/>
      <c r="AI990" s="14"/>
      <c r="AJ990" s="14"/>
      <c r="AK990" s="14"/>
      <c r="AL990" s="50"/>
    </row>
    <row r="991" spans="1:39" x14ac:dyDescent="0.3">
      <c r="A991" s="2">
        <v>1353</v>
      </c>
      <c r="E991" t="s">
        <v>665</v>
      </c>
      <c r="I991" s="2">
        <v>24.04</v>
      </c>
      <c r="AH991" s="14"/>
      <c r="AI991" s="14"/>
      <c r="AJ991" s="14"/>
      <c r="AK991" s="14"/>
      <c r="AL991" s="50"/>
    </row>
    <row r="992" spans="1:39" x14ac:dyDescent="0.3">
      <c r="A992" s="2">
        <v>1369</v>
      </c>
      <c r="B992" s="2">
        <v>1146</v>
      </c>
      <c r="E992" t="s">
        <v>657</v>
      </c>
      <c r="I992" s="2">
        <v>19.04</v>
      </c>
      <c r="AH992" s="14"/>
      <c r="AI992" s="14"/>
      <c r="AJ992" s="14"/>
      <c r="AK992" s="14"/>
      <c r="AL992" s="50"/>
    </row>
    <row r="993" spans="1:47" x14ac:dyDescent="0.3">
      <c r="A993" s="2">
        <v>1385</v>
      </c>
      <c r="E993" t="s">
        <v>731</v>
      </c>
      <c r="I993" s="2">
        <v>28.49</v>
      </c>
      <c r="AH993" s="14"/>
      <c r="AI993" s="14"/>
      <c r="AJ993" s="14"/>
      <c r="AK993" s="14"/>
      <c r="AL993" s="50"/>
    </row>
    <row r="994" spans="1:47" x14ac:dyDescent="0.3">
      <c r="E994" t="s">
        <v>1121</v>
      </c>
      <c r="AH994" s="14"/>
      <c r="AI994" s="14"/>
      <c r="AJ994" s="14"/>
      <c r="AK994" s="14"/>
      <c r="AL994" s="50"/>
    </row>
    <row r="995" spans="1:47" x14ac:dyDescent="0.3">
      <c r="A995" s="2">
        <v>1413</v>
      </c>
      <c r="E995" t="s">
        <v>671</v>
      </c>
      <c r="F995" t="s">
        <v>5</v>
      </c>
      <c r="I995" s="2">
        <v>11.14</v>
      </c>
      <c r="AH995" s="14"/>
      <c r="AI995" s="14"/>
      <c r="AJ995" s="14"/>
      <c r="AK995" s="14"/>
      <c r="AL995" s="50"/>
    </row>
    <row r="996" spans="1:47" x14ac:dyDescent="0.3">
      <c r="A996" s="2">
        <v>1442</v>
      </c>
      <c r="E996" t="s">
        <v>648</v>
      </c>
      <c r="I996" s="2">
        <v>15.9</v>
      </c>
      <c r="AH996" s="14"/>
      <c r="AI996" s="14"/>
      <c r="AJ996" s="14"/>
      <c r="AK996" s="14"/>
      <c r="AL996" s="50"/>
    </row>
    <row r="997" spans="1:47" x14ac:dyDescent="0.3">
      <c r="A997" s="2">
        <v>1448</v>
      </c>
      <c r="E997" t="s">
        <v>729</v>
      </c>
      <c r="I997" s="2">
        <v>7.6420000000000003</v>
      </c>
      <c r="AH997" s="14"/>
      <c r="AI997" s="14"/>
      <c r="AJ997" s="14"/>
      <c r="AK997" s="14"/>
      <c r="AL997" s="50"/>
    </row>
    <row r="998" spans="1:47" x14ac:dyDescent="0.3">
      <c r="B998" s="2">
        <v>1213</v>
      </c>
      <c r="E998" t="s">
        <v>969</v>
      </c>
      <c r="AF998" s="4"/>
      <c r="AH998" s="14"/>
      <c r="AI998" s="14"/>
      <c r="AJ998" s="14"/>
      <c r="AK998" s="14"/>
      <c r="AL998" s="50"/>
    </row>
    <row r="999" spans="1:47" x14ac:dyDescent="0.3">
      <c r="A999" s="2">
        <v>1452</v>
      </c>
      <c r="E999" t="s">
        <v>654</v>
      </c>
      <c r="I999" s="2">
        <v>9.1170000000000009</v>
      </c>
      <c r="AH999" s="14"/>
      <c r="AI999" s="14"/>
      <c r="AJ999" s="14"/>
      <c r="AK999" s="14"/>
      <c r="AL999" s="50"/>
    </row>
    <row r="1000" spans="1:47" x14ac:dyDescent="0.3">
      <c r="A1000" s="2">
        <v>1370</v>
      </c>
      <c r="E1000" t="s">
        <v>588</v>
      </c>
      <c r="F1000" t="s">
        <v>6</v>
      </c>
      <c r="I1000" s="2">
        <v>20.04</v>
      </c>
      <c r="J1000" s="15">
        <v>0.67822000000000005</v>
      </c>
      <c r="K1000" s="16">
        <v>0.599553</v>
      </c>
      <c r="L1000" s="2">
        <v>8.0830000000000002</v>
      </c>
      <c r="AH1000" s="14"/>
      <c r="AI1000" s="14"/>
      <c r="AJ1000" s="14"/>
      <c r="AK1000" s="14"/>
      <c r="AL1000" s="50"/>
      <c r="AM1000" s="20" t="s">
        <v>751</v>
      </c>
      <c r="AS1000" s="3"/>
      <c r="AT1000" s="3"/>
      <c r="AU1000" s="3"/>
    </row>
    <row r="1001" spans="1:47" x14ac:dyDescent="0.3">
      <c r="A1001" s="2">
        <v>1551</v>
      </c>
      <c r="E1001" t="s">
        <v>629</v>
      </c>
      <c r="I1001" s="2">
        <v>11.8</v>
      </c>
      <c r="AH1001" s="14"/>
      <c r="AI1001" s="14"/>
      <c r="AJ1001" s="14"/>
      <c r="AK1001" s="14"/>
      <c r="AL1001" s="50"/>
    </row>
    <row r="1002" spans="1:47" x14ac:dyDescent="0.3">
      <c r="A1002" s="2">
        <v>1572</v>
      </c>
      <c r="C1002" s="2">
        <v>1023</v>
      </c>
      <c r="E1002" t="s">
        <v>1070</v>
      </c>
      <c r="I1002" s="2">
        <v>48.22</v>
      </c>
      <c r="AH1002" s="14"/>
      <c r="AI1002" s="14">
        <v>48.22</v>
      </c>
      <c r="AJ1002" s="14"/>
      <c r="AK1002" s="14"/>
      <c r="AL1002" s="50"/>
      <c r="AM1002" s="19">
        <v>0.25625000000000003</v>
      </c>
    </row>
    <row r="1003" spans="1:47" x14ac:dyDescent="0.3">
      <c r="A1003" s="2">
        <v>1609</v>
      </c>
      <c r="E1003" t="s">
        <v>644</v>
      </c>
      <c r="I1003" s="2">
        <v>14.72</v>
      </c>
      <c r="AH1003" s="14"/>
      <c r="AI1003" s="14"/>
      <c r="AJ1003" s="14"/>
      <c r="AK1003" s="14"/>
      <c r="AL1003" s="50"/>
    </row>
    <row r="1004" spans="1:47" x14ac:dyDescent="0.3">
      <c r="A1004" s="2">
        <v>1611</v>
      </c>
      <c r="E1004" t="s">
        <v>667</v>
      </c>
      <c r="I1004" s="2">
        <v>14.64</v>
      </c>
      <c r="AH1004" s="14"/>
      <c r="AI1004" s="14"/>
      <c r="AJ1004" s="14"/>
      <c r="AK1004" s="14"/>
      <c r="AL1004" s="50"/>
    </row>
    <row r="1005" spans="1:47" x14ac:dyDescent="0.3">
      <c r="A1005" s="2">
        <v>1633</v>
      </c>
      <c r="E1005" t="s">
        <v>753</v>
      </c>
      <c r="I1005" s="2">
        <v>10.41</v>
      </c>
      <c r="J1005" s="15">
        <v>0.38325799999999999</v>
      </c>
      <c r="K1005" s="16">
        <v>0.36001499999999997</v>
      </c>
      <c r="L1005" s="2">
        <v>8.4350000000000005</v>
      </c>
      <c r="AH1005" s="14"/>
      <c r="AI1005" s="14"/>
      <c r="AJ1005" s="14"/>
      <c r="AK1005" s="14"/>
      <c r="AL1005" s="50"/>
      <c r="AM1005" s="19">
        <v>9.1666666666666674E-2</v>
      </c>
    </row>
    <row r="1006" spans="1:47" x14ac:dyDescent="0.3">
      <c r="A1006" s="2">
        <v>1652</v>
      </c>
      <c r="E1006" t="s">
        <v>627</v>
      </c>
      <c r="I1006" s="2">
        <v>17.239999999999998</v>
      </c>
      <c r="AH1006" s="14"/>
      <c r="AI1006" s="14"/>
      <c r="AJ1006" s="14"/>
      <c r="AK1006" s="14"/>
      <c r="AL1006" s="50"/>
    </row>
    <row r="1007" spans="1:47" x14ac:dyDescent="0.3">
      <c r="A1007" s="2">
        <v>1655</v>
      </c>
      <c r="E1007" t="s">
        <v>647</v>
      </c>
      <c r="I1007" s="2">
        <v>28.27</v>
      </c>
      <c r="AH1007" s="14"/>
      <c r="AI1007" s="14"/>
      <c r="AJ1007" s="14"/>
      <c r="AK1007" s="14"/>
      <c r="AL1007" s="50"/>
    </row>
    <row r="1008" spans="1:47" x14ac:dyDescent="0.3">
      <c r="A1008" s="2">
        <v>1669</v>
      </c>
      <c r="E1008" t="s">
        <v>641</v>
      </c>
      <c r="I1008" s="2">
        <v>52</v>
      </c>
      <c r="AH1008" s="14"/>
      <c r="AI1008" s="14"/>
      <c r="AJ1008" s="14"/>
      <c r="AK1008" s="14"/>
      <c r="AL1008" s="50"/>
    </row>
    <row r="1009" spans="1:63" x14ac:dyDescent="0.3">
      <c r="A1009" s="2">
        <v>1727</v>
      </c>
      <c r="E1009" t="s">
        <v>732</v>
      </c>
      <c r="I1009" s="2">
        <v>21.92</v>
      </c>
      <c r="AH1009" s="14"/>
      <c r="AI1009" s="14"/>
      <c r="AJ1009" s="14"/>
      <c r="AK1009" s="14"/>
      <c r="AL1009" s="50"/>
    </row>
    <row r="1010" spans="1:63" x14ac:dyDescent="0.3">
      <c r="A1010" s="2">
        <v>1761</v>
      </c>
      <c r="C1010" s="2">
        <v>8299</v>
      </c>
      <c r="E1010" t="s">
        <v>1104</v>
      </c>
      <c r="I1010" s="15">
        <v>8.484</v>
      </c>
      <c r="L1010" s="15"/>
      <c r="AH1010" s="14"/>
      <c r="AI1010" s="14">
        <v>8.484</v>
      </c>
      <c r="AJ1010" s="14"/>
      <c r="AK1010" s="14"/>
      <c r="AL1010" s="50"/>
      <c r="AM1010" s="21">
        <v>9.2361111111111116E-2</v>
      </c>
    </row>
    <row r="1011" spans="1:63" x14ac:dyDescent="0.3">
      <c r="A1011" s="2">
        <v>1770</v>
      </c>
      <c r="B1011" s="4"/>
      <c r="C1011" s="2">
        <v>4023</v>
      </c>
      <c r="E1011" t="s">
        <v>1152</v>
      </c>
      <c r="I1011" s="15">
        <v>16.22</v>
      </c>
      <c r="L1011" s="15"/>
      <c r="AH1011" s="14"/>
      <c r="AI1011" s="14">
        <v>16.22</v>
      </c>
      <c r="AJ1011" s="14"/>
      <c r="AK1011" s="14"/>
      <c r="AL1011" s="50"/>
      <c r="AM1011" s="19">
        <v>0.10069444444444443</v>
      </c>
    </row>
    <row r="1012" spans="1:63" x14ac:dyDescent="0.3">
      <c r="A1012" s="2">
        <v>1804</v>
      </c>
      <c r="E1012" t="s">
        <v>592</v>
      </c>
      <c r="I1012" s="2">
        <v>6.01</v>
      </c>
      <c r="AH1012" s="14"/>
      <c r="AI1012" s="14"/>
      <c r="AJ1012" s="14"/>
      <c r="AK1012" s="14"/>
      <c r="AL1012" s="50"/>
    </row>
    <row r="1013" spans="1:63" x14ac:dyDescent="0.3">
      <c r="A1013" s="2">
        <v>1829</v>
      </c>
      <c r="E1013" t="s">
        <v>618</v>
      </c>
      <c r="F1013" t="s">
        <v>620</v>
      </c>
      <c r="I1013" s="2">
        <v>14.19</v>
      </c>
      <c r="AF1013" s="4"/>
      <c r="AH1013" s="14"/>
      <c r="AI1013" s="14"/>
      <c r="AJ1013" s="14"/>
      <c r="AK1013" s="14"/>
      <c r="AL1013" s="50"/>
    </row>
    <row r="1014" spans="1:63" x14ac:dyDescent="0.3">
      <c r="A1014" s="2">
        <v>1857</v>
      </c>
      <c r="B1014" s="2">
        <v>1572</v>
      </c>
      <c r="E1014" t="s">
        <v>842</v>
      </c>
      <c r="I1014" s="2">
        <v>25.69</v>
      </c>
      <c r="AH1014" s="14"/>
      <c r="AI1014" s="14">
        <v>25.69</v>
      </c>
      <c r="AJ1014" s="14"/>
      <c r="AK1014" s="14"/>
      <c r="AL1014" s="50"/>
      <c r="AM1014" s="19">
        <v>0.28194444444444444</v>
      </c>
    </row>
    <row r="1015" spans="1:63" ht="12.5" x14ac:dyDescent="0.25">
      <c r="A1015" s="2">
        <v>1880</v>
      </c>
      <c r="E1015" t="s">
        <v>670</v>
      </c>
      <c r="I1015" s="2">
        <v>13.54</v>
      </c>
      <c r="J1015" s="15">
        <v>0.39598</v>
      </c>
      <c r="K1015" s="15">
        <v>0.29293400000000003</v>
      </c>
      <c r="L1015" s="2">
        <v>5.3620000000000001</v>
      </c>
      <c r="AH1015" s="14"/>
      <c r="AI1015" s="14"/>
      <c r="AJ1015" s="14"/>
      <c r="AK1015" s="14"/>
      <c r="AL1015" s="50"/>
      <c r="AM1015" s="20" t="s">
        <v>750</v>
      </c>
    </row>
    <row r="1016" spans="1:63" x14ac:dyDescent="0.3">
      <c r="E1016" t="s">
        <v>1096</v>
      </c>
      <c r="AH1016" s="14"/>
      <c r="AI1016" s="14"/>
      <c r="AJ1016" s="14"/>
      <c r="AK1016" s="14"/>
      <c r="AL1016" s="50"/>
      <c r="AS1016" s="3"/>
      <c r="AT1016" s="3"/>
      <c r="AU1016" s="3"/>
    </row>
    <row r="1017" spans="1:63" x14ac:dyDescent="0.3">
      <c r="E1017" t="s">
        <v>1164</v>
      </c>
      <c r="AH1017" s="14"/>
      <c r="AI1017" s="14"/>
      <c r="AJ1017" s="14"/>
      <c r="AK1017" s="14"/>
      <c r="AL1017" s="50"/>
    </row>
    <row r="1018" spans="1:63" x14ac:dyDescent="0.3">
      <c r="E1018" t="s">
        <v>1135</v>
      </c>
      <c r="AH1018" s="14"/>
      <c r="AI1018" s="14"/>
      <c r="AJ1018" s="14"/>
      <c r="AK1018" s="14"/>
      <c r="AL1018" s="50"/>
    </row>
    <row r="1019" spans="1:63" x14ac:dyDescent="0.3">
      <c r="E1019" t="s">
        <v>1165</v>
      </c>
      <c r="AH1019" s="14"/>
      <c r="AI1019" s="14"/>
      <c r="AJ1019" s="14"/>
      <c r="AK1019" s="14"/>
      <c r="AL1019" s="50"/>
    </row>
    <row r="1020" spans="1:63" x14ac:dyDescent="0.3">
      <c r="E1020" t="s">
        <v>1097</v>
      </c>
      <c r="AH1020" s="14"/>
      <c r="AI1020" s="14"/>
      <c r="AJ1020" s="14"/>
      <c r="AK1020" s="14"/>
      <c r="AL1020" s="50"/>
    </row>
    <row r="1021" spans="1:63" x14ac:dyDescent="0.3">
      <c r="A1021" s="2">
        <v>1901</v>
      </c>
      <c r="B1021" s="2">
        <v>1761</v>
      </c>
      <c r="C1021" s="2">
        <v>5065</v>
      </c>
      <c r="E1021" t="s">
        <v>1139</v>
      </c>
      <c r="I1021" s="14">
        <v>12.56</v>
      </c>
      <c r="AH1021" s="14"/>
      <c r="AI1021" s="14">
        <v>12.56</v>
      </c>
      <c r="AJ1021" s="14"/>
      <c r="AK1021" s="14"/>
      <c r="AL1021" s="50"/>
      <c r="AM1021" s="19">
        <v>0.14583333333333334</v>
      </c>
    </row>
    <row r="1022" spans="1:63" s="3" customFormat="1" x14ac:dyDescent="0.3">
      <c r="A1022" s="4">
        <v>4220</v>
      </c>
      <c r="B1022" s="4">
        <v>2015</v>
      </c>
      <c r="C1022" s="4">
        <v>14821</v>
      </c>
      <c r="D1022" s="4" t="s">
        <v>772</v>
      </c>
      <c r="E1022" s="3" t="s">
        <v>584</v>
      </c>
      <c r="H1022" s="4"/>
      <c r="I1022" s="4">
        <v>10.199999999999999</v>
      </c>
      <c r="J1022" s="16"/>
      <c r="K1022" s="16"/>
      <c r="L1022" s="4"/>
      <c r="M1022" s="9"/>
      <c r="N1022" s="9"/>
      <c r="O1022" s="9"/>
      <c r="P1022" s="45"/>
      <c r="Q1022" s="45"/>
      <c r="R1022" s="45"/>
      <c r="S1022" s="45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4"/>
      <c r="AG1022" s="9"/>
      <c r="AH1022" s="45"/>
      <c r="AI1022" s="45"/>
      <c r="AJ1022" s="45"/>
      <c r="AK1022" s="45"/>
      <c r="AL1022" s="51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</row>
    <row r="1023" spans="1:63" x14ac:dyDescent="0.3">
      <c r="A1023" s="2">
        <v>2033</v>
      </c>
      <c r="C1023" s="2">
        <v>1349</v>
      </c>
      <c r="E1023" t="s">
        <v>1117</v>
      </c>
      <c r="I1023" s="15">
        <v>47.59</v>
      </c>
      <c r="L1023" s="15"/>
      <c r="AH1023" s="14"/>
      <c r="AI1023" s="14">
        <v>47.59</v>
      </c>
      <c r="AJ1023" s="14"/>
      <c r="AK1023" s="14"/>
      <c r="AL1023" s="50"/>
      <c r="AM1023" s="21">
        <v>7.1527777777777787E-2</v>
      </c>
    </row>
    <row r="1024" spans="1:63" x14ac:dyDescent="0.3">
      <c r="E1024" t="s">
        <v>1193</v>
      </c>
      <c r="I1024" s="15"/>
      <c r="L1024" s="15"/>
      <c r="AH1024" s="14"/>
      <c r="AI1024" s="14"/>
      <c r="AJ1024" s="14"/>
      <c r="AK1024" s="14"/>
      <c r="AL1024" s="50"/>
      <c r="AM1024" s="21"/>
    </row>
    <row r="1025" spans="1:39" x14ac:dyDescent="0.3">
      <c r="A1025" s="2">
        <v>2042</v>
      </c>
      <c r="E1025" t="s">
        <v>650</v>
      </c>
      <c r="I1025" s="2">
        <v>12.13</v>
      </c>
      <c r="AH1025" s="14"/>
      <c r="AI1025" s="14"/>
      <c r="AJ1025" s="14"/>
      <c r="AK1025" s="14"/>
      <c r="AL1025" s="50"/>
    </row>
    <row r="1026" spans="1:39" x14ac:dyDescent="0.3">
      <c r="A1026" s="2">
        <v>2070</v>
      </c>
      <c r="B1026" s="4"/>
      <c r="C1026" s="2">
        <v>6054</v>
      </c>
      <c r="E1026" t="s">
        <v>1138</v>
      </c>
      <c r="I1026" s="2">
        <v>7.875</v>
      </c>
      <c r="AH1026" s="14"/>
      <c r="AI1026" s="14">
        <v>7.875</v>
      </c>
      <c r="AJ1026" s="14"/>
      <c r="AK1026" s="14"/>
      <c r="AL1026" s="50"/>
      <c r="AM1026" s="19">
        <v>0.13055555555555556</v>
      </c>
    </row>
    <row r="1027" spans="1:39" x14ac:dyDescent="0.3">
      <c r="A1027" s="2">
        <v>2079</v>
      </c>
      <c r="E1027" t="s">
        <v>608</v>
      </c>
      <c r="I1027" s="2">
        <v>12.233000000000001</v>
      </c>
      <c r="AH1027" s="14"/>
      <c r="AI1027" s="14"/>
      <c r="AJ1027" s="14"/>
      <c r="AK1027" s="14"/>
      <c r="AL1027" s="50"/>
    </row>
    <row r="1028" spans="1:39" x14ac:dyDescent="0.3">
      <c r="E1028" t="s">
        <v>748</v>
      </c>
      <c r="I1028" s="2">
        <v>95.92</v>
      </c>
      <c r="J1028" s="15">
        <v>2.9209999999999998</v>
      </c>
      <c r="K1028" s="16">
        <v>2.2290000000000001</v>
      </c>
      <c r="L1028" s="2">
        <v>35.29</v>
      </c>
      <c r="AH1028" s="14"/>
      <c r="AI1028" s="14"/>
      <c r="AJ1028" s="14"/>
      <c r="AK1028" s="14"/>
      <c r="AL1028" s="50"/>
    </row>
    <row r="1029" spans="1:39" x14ac:dyDescent="0.3">
      <c r="A1029" s="2">
        <v>2097</v>
      </c>
      <c r="C1029" s="2">
        <v>1790</v>
      </c>
      <c r="E1029" t="s">
        <v>778</v>
      </c>
      <c r="I1029" s="2">
        <v>26.76</v>
      </c>
      <c r="AH1029" s="14"/>
      <c r="AI1029" s="14">
        <v>26.76</v>
      </c>
      <c r="AJ1029" s="14"/>
      <c r="AK1029" s="14"/>
      <c r="AL1029" s="50"/>
      <c r="AM1029" s="19">
        <v>0.15833333333333333</v>
      </c>
    </row>
    <row r="1030" spans="1:39" x14ac:dyDescent="0.3">
      <c r="E1030" t="s">
        <v>1154</v>
      </c>
      <c r="AH1030" s="14"/>
      <c r="AI1030" s="14"/>
      <c r="AJ1030" s="14"/>
      <c r="AK1030" s="14"/>
      <c r="AL1030" s="50"/>
      <c r="AM1030" s="19"/>
    </row>
    <row r="1031" spans="1:39" x14ac:dyDescent="0.3">
      <c r="E1031" t="s">
        <v>1155</v>
      </c>
      <c r="AH1031" s="14"/>
      <c r="AI1031" s="14"/>
      <c r="AJ1031" s="14"/>
      <c r="AK1031" s="14"/>
      <c r="AL1031" s="50"/>
      <c r="AM1031" s="19"/>
    </row>
    <row r="1032" spans="1:39" x14ac:dyDescent="0.3">
      <c r="E1032" t="s">
        <v>972</v>
      </c>
      <c r="AH1032" s="14"/>
      <c r="AI1032" s="14"/>
      <c r="AJ1032" s="14"/>
      <c r="AK1032" s="14"/>
      <c r="AL1032" s="50"/>
      <c r="AM1032" s="19"/>
    </row>
    <row r="1033" spans="1:39" x14ac:dyDescent="0.3">
      <c r="A1033" s="2">
        <v>2104</v>
      </c>
      <c r="B1033" s="2">
        <v>1901</v>
      </c>
      <c r="E1033" t="s">
        <v>730</v>
      </c>
      <c r="I1033" s="2">
        <v>12.04</v>
      </c>
      <c r="J1033" s="15">
        <v>0.42155100000000001</v>
      </c>
      <c r="K1033" s="16">
        <v>0.38603999999999999</v>
      </c>
      <c r="L1033" s="2">
        <v>8.5220000000000002</v>
      </c>
      <c r="AH1033" s="14"/>
      <c r="AI1033" s="14"/>
      <c r="AJ1033" s="14"/>
      <c r="AK1033" s="14"/>
      <c r="AL1033" s="50"/>
      <c r="AM1033" s="20" t="s">
        <v>749</v>
      </c>
    </row>
    <row r="1034" spans="1:39" x14ac:dyDescent="0.3">
      <c r="A1034" s="2">
        <v>2160</v>
      </c>
      <c r="E1034" t="s">
        <v>759</v>
      </c>
      <c r="I1034" s="2">
        <v>48.78</v>
      </c>
      <c r="J1034" s="15">
        <v>1.589</v>
      </c>
      <c r="K1034" s="16">
        <v>1.27</v>
      </c>
      <c r="L1034" s="2">
        <v>24.1</v>
      </c>
      <c r="AH1034" s="14"/>
      <c r="AI1034" s="14"/>
      <c r="AJ1034" s="14"/>
      <c r="AK1034" s="14"/>
      <c r="AL1034" s="50"/>
      <c r="AM1034" s="21">
        <v>0.16041666666666668</v>
      </c>
    </row>
    <row r="1035" spans="1:39" x14ac:dyDescent="0.3">
      <c r="A1035" s="2">
        <v>2201</v>
      </c>
      <c r="B1035" s="2">
        <v>2033</v>
      </c>
      <c r="C1035" s="2">
        <v>7629</v>
      </c>
      <c r="E1035" t="s">
        <v>1005</v>
      </c>
      <c r="I1035" s="15">
        <v>8.2710000000000008</v>
      </c>
      <c r="L1035" s="15"/>
      <c r="AH1035" s="14"/>
      <c r="AI1035" s="14">
        <v>8.2710000000000008</v>
      </c>
      <c r="AJ1035" s="14"/>
      <c r="AK1035" s="14"/>
      <c r="AL1035" s="50"/>
      <c r="AM1035" s="19">
        <v>0.3576388888888889</v>
      </c>
    </row>
    <row r="1036" spans="1:39" x14ac:dyDescent="0.3">
      <c r="A1036" s="2">
        <v>2226</v>
      </c>
      <c r="E1036" t="s">
        <v>603</v>
      </c>
      <c r="I1036" s="2">
        <v>4.218</v>
      </c>
      <c r="AH1036" s="14"/>
      <c r="AI1036" s="14"/>
      <c r="AJ1036" s="14"/>
      <c r="AK1036" s="14"/>
      <c r="AL1036" s="50"/>
    </row>
    <row r="1037" spans="1:39" x14ac:dyDescent="0.3">
      <c r="E1037" t="s">
        <v>973</v>
      </c>
      <c r="AH1037" s="14"/>
      <c r="AI1037" s="14"/>
      <c r="AJ1037" s="14"/>
      <c r="AK1037" s="14"/>
      <c r="AL1037" s="50"/>
    </row>
    <row r="1038" spans="1:39" x14ac:dyDescent="0.3">
      <c r="A1038" s="2">
        <v>2236</v>
      </c>
      <c r="B1038" s="2">
        <v>2070</v>
      </c>
      <c r="E1038" t="s">
        <v>663</v>
      </c>
      <c r="AH1038" s="14"/>
      <c r="AI1038" s="14"/>
      <c r="AJ1038" s="14"/>
      <c r="AK1038" s="14"/>
      <c r="AL1038" s="50"/>
    </row>
    <row r="1039" spans="1:39" x14ac:dyDescent="0.3">
      <c r="A1039" s="2">
        <v>2300</v>
      </c>
      <c r="E1039" t="s">
        <v>755</v>
      </c>
      <c r="I1039" s="2">
        <v>10.84</v>
      </c>
      <c r="J1039" s="15">
        <v>0.378438</v>
      </c>
      <c r="K1039" s="16">
        <v>0.34661900000000001</v>
      </c>
      <c r="L1039" s="2">
        <v>7.774</v>
      </c>
      <c r="AH1039" s="14"/>
      <c r="AI1039" s="14"/>
      <c r="AJ1039" s="14"/>
      <c r="AK1039" s="14"/>
      <c r="AL1039" s="50"/>
      <c r="AM1039" s="19">
        <v>4.6527777777777779E-2</v>
      </c>
    </row>
    <row r="1040" spans="1:39" x14ac:dyDescent="0.3">
      <c r="A1040" s="2">
        <v>2941</v>
      </c>
      <c r="B1040" s="2">
        <v>2349</v>
      </c>
      <c r="C1040" s="2">
        <v>8394</v>
      </c>
      <c r="D1040" s="2" t="s">
        <v>772</v>
      </c>
      <c r="E1040" t="s">
        <v>723</v>
      </c>
      <c r="I1040" s="2">
        <v>13.03</v>
      </c>
      <c r="AH1040" s="14"/>
      <c r="AI1040" s="14"/>
      <c r="AJ1040" s="14"/>
      <c r="AK1040" s="14"/>
      <c r="AL1040" s="50"/>
    </row>
    <row r="1041" spans="1:39" x14ac:dyDescent="0.3">
      <c r="A1041" s="2">
        <v>2463</v>
      </c>
      <c r="B1041" s="2">
        <v>2097</v>
      </c>
      <c r="E1041" t="s">
        <v>673</v>
      </c>
      <c r="I1041" s="2">
        <v>10.17</v>
      </c>
      <c r="AH1041" s="14"/>
      <c r="AI1041" s="14"/>
      <c r="AJ1041" s="14"/>
      <c r="AK1041" s="14"/>
      <c r="AL1041" s="50"/>
    </row>
    <row r="1042" spans="1:39" x14ac:dyDescent="0.3">
      <c r="E1042" t="s">
        <v>1019</v>
      </c>
      <c r="AH1042" s="14"/>
      <c r="AI1042" s="14"/>
      <c r="AJ1042" s="14"/>
      <c r="AK1042" s="14"/>
      <c r="AL1042" s="50"/>
    </row>
    <row r="1043" spans="1:39" x14ac:dyDescent="0.3">
      <c r="E1043" t="s">
        <v>1020</v>
      </c>
      <c r="AH1043" s="14"/>
      <c r="AI1043" s="14"/>
      <c r="AJ1043" s="14"/>
      <c r="AK1043" s="14"/>
      <c r="AL1043" s="50"/>
    </row>
    <row r="1044" spans="1:39" x14ac:dyDescent="0.3">
      <c r="E1044" t="s">
        <v>1021</v>
      </c>
      <c r="AH1044" s="14"/>
      <c r="AI1044" s="14"/>
      <c r="AJ1044" s="14"/>
      <c r="AK1044" s="14"/>
      <c r="AL1044" s="50"/>
    </row>
    <row r="1045" spans="1:39" x14ac:dyDescent="0.3">
      <c r="E1045" t="s">
        <v>995</v>
      </c>
      <c r="AH1045" s="14"/>
      <c r="AI1045" s="14"/>
      <c r="AJ1045" s="14"/>
      <c r="AK1045" s="14"/>
      <c r="AL1045" s="50"/>
      <c r="AM1045" s="19"/>
    </row>
    <row r="1046" spans="1:39" x14ac:dyDescent="0.3">
      <c r="A1046" s="2">
        <v>2543</v>
      </c>
      <c r="B1046" s="2">
        <v>2201</v>
      </c>
      <c r="C1046" s="2">
        <v>7900</v>
      </c>
      <c r="E1046" t="s">
        <v>820</v>
      </c>
      <c r="I1046" s="2">
        <v>6.0490000000000004</v>
      </c>
      <c r="AH1046" s="14"/>
      <c r="AI1046" s="14">
        <v>6.0490000000000004</v>
      </c>
      <c r="AJ1046" s="14"/>
      <c r="AK1046" s="14"/>
      <c r="AL1046" s="50"/>
      <c r="AM1046" s="19">
        <v>0.11319444444444444</v>
      </c>
    </row>
    <row r="1047" spans="1:39" x14ac:dyDescent="0.3">
      <c r="A1047" s="2">
        <v>2628</v>
      </c>
      <c r="E1047" t="s">
        <v>571</v>
      </c>
      <c r="F1047" t="s">
        <v>6</v>
      </c>
      <c r="AH1047" s="14"/>
      <c r="AI1047" s="14"/>
      <c r="AJ1047" s="14"/>
      <c r="AK1047" s="14"/>
      <c r="AL1047" s="50"/>
    </row>
    <row r="1048" spans="1:39" x14ac:dyDescent="0.3">
      <c r="A1048" s="2">
        <v>2645</v>
      </c>
      <c r="C1048" s="2">
        <v>9596</v>
      </c>
      <c r="E1048" t="s">
        <v>756</v>
      </c>
      <c r="I1048" s="2">
        <v>4.62</v>
      </c>
      <c r="J1048" s="15">
        <v>0.17097499999999999</v>
      </c>
      <c r="K1048" s="16">
        <v>0.159524</v>
      </c>
      <c r="L1048" s="2">
        <v>3.391</v>
      </c>
      <c r="AH1048" s="14"/>
      <c r="AI1048" s="14">
        <v>6.6059999999999999</v>
      </c>
      <c r="AJ1048" s="14"/>
      <c r="AK1048" s="14"/>
      <c r="AL1048" s="50"/>
      <c r="AM1048" s="19">
        <v>5.5555555555555552E-2</v>
      </c>
    </row>
    <row r="1049" spans="1:39" x14ac:dyDescent="0.3">
      <c r="A1049" s="2">
        <v>2659</v>
      </c>
      <c r="C1049" s="2">
        <v>5914</v>
      </c>
      <c r="E1049" t="s">
        <v>1006</v>
      </c>
      <c r="I1049" s="15">
        <v>8.8539999999999992</v>
      </c>
      <c r="L1049" s="15"/>
      <c r="AH1049" s="14"/>
      <c r="AI1049" s="14">
        <v>8.8539999999999992</v>
      </c>
      <c r="AJ1049" s="14"/>
      <c r="AK1049" s="14"/>
      <c r="AL1049" s="50"/>
      <c r="AM1049" s="19">
        <v>0.22500000000000001</v>
      </c>
    </row>
    <row r="1050" spans="1:39" x14ac:dyDescent="0.3">
      <c r="A1050" s="2">
        <v>2689</v>
      </c>
      <c r="C1050" s="2">
        <v>2212</v>
      </c>
      <c r="E1050" t="s">
        <v>1071</v>
      </c>
      <c r="I1050" s="15">
        <v>21.17</v>
      </c>
      <c r="L1050" s="15"/>
      <c r="AH1050" s="14"/>
      <c r="AI1050" s="14">
        <v>21.17</v>
      </c>
      <c r="AJ1050" s="14"/>
      <c r="AK1050" s="14"/>
      <c r="AL1050" s="50"/>
      <c r="AM1050" s="19">
        <v>0.17916666666666667</v>
      </c>
    </row>
    <row r="1051" spans="1:39" x14ac:dyDescent="0.3">
      <c r="E1051" t="s">
        <v>1090</v>
      </c>
      <c r="I1051" s="15"/>
      <c r="L1051" s="15"/>
      <c r="AH1051" s="14"/>
      <c r="AI1051" s="14"/>
      <c r="AJ1051" s="14"/>
      <c r="AK1051" s="14"/>
      <c r="AL1051" s="50"/>
      <c r="AM1051" s="19"/>
    </row>
    <row r="1052" spans="1:39" x14ac:dyDescent="0.3">
      <c r="E1052" t="s">
        <v>1091</v>
      </c>
      <c r="I1052" s="15"/>
      <c r="L1052" s="15"/>
      <c r="AH1052" s="14"/>
      <c r="AI1052" s="14"/>
      <c r="AJ1052" s="14"/>
      <c r="AK1052" s="14"/>
      <c r="AL1052" s="50"/>
      <c r="AM1052" s="19"/>
    </row>
    <row r="1053" spans="1:39" x14ac:dyDescent="0.3">
      <c r="A1053" s="2">
        <v>2738</v>
      </c>
      <c r="E1053" t="s">
        <v>662</v>
      </c>
      <c r="I1053" s="2">
        <v>4.9560000000000004</v>
      </c>
      <c r="AH1053" s="14"/>
      <c r="AI1053" s="14"/>
      <c r="AJ1053" s="14"/>
      <c r="AK1053" s="14"/>
      <c r="AL1053" s="50"/>
    </row>
    <row r="1054" spans="1:39" x14ac:dyDescent="0.3">
      <c r="E1054" t="s">
        <v>1015</v>
      </c>
      <c r="AH1054" s="14"/>
      <c r="AI1054" s="14"/>
      <c r="AJ1054" s="14"/>
      <c r="AK1054" s="14"/>
      <c r="AL1054" s="50"/>
    </row>
    <row r="1055" spans="1:39" x14ac:dyDescent="0.3">
      <c r="A1055" s="2">
        <v>2821</v>
      </c>
      <c r="C1055" s="2">
        <v>14058</v>
      </c>
      <c r="E1055" t="s">
        <v>1076</v>
      </c>
      <c r="I1055" s="15">
        <v>4.9009999999999998</v>
      </c>
      <c r="L1055" s="15"/>
      <c r="AH1055" s="14"/>
      <c r="AI1055" s="14">
        <v>4.9009999999999998</v>
      </c>
      <c r="AJ1055" s="14"/>
      <c r="AK1055" s="14"/>
      <c r="AL1055" s="50"/>
      <c r="AM1055" s="19">
        <v>0.10277777777777779</v>
      </c>
    </row>
    <row r="1056" spans="1:39" x14ac:dyDescent="0.3">
      <c r="A1056" s="2">
        <v>2825</v>
      </c>
      <c r="C1056" s="2">
        <v>1787</v>
      </c>
      <c r="E1056" t="s">
        <v>1170</v>
      </c>
      <c r="I1056" s="15">
        <v>29.52</v>
      </c>
      <c r="L1056" s="15"/>
      <c r="AH1056" s="14"/>
      <c r="AI1056" s="14">
        <v>29.52</v>
      </c>
      <c r="AJ1056" s="14"/>
      <c r="AK1056" s="14"/>
      <c r="AL1056" s="50"/>
      <c r="AM1056" s="19">
        <v>0.13472222222222222</v>
      </c>
    </row>
    <row r="1057" spans="1:63" x14ac:dyDescent="0.3">
      <c r="A1057" s="2">
        <v>2843</v>
      </c>
      <c r="B1057" s="2">
        <v>2543</v>
      </c>
      <c r="E1057" t="s">
        <v>636</v>
      </c>
      <c r="I1057" s="2">
        <v>16.63</v>
      </c>
      <c r="AH1057" s="14"/>
      <c r="AI1057" s="14"/>
      <c r="AJ1057" s="14"/>
      <c r="AK1057" s="14"/>
      <c r="AL1057" s="50"/>
    </row>
    <row r="1058" spans="1:63" x14ac:dyDescent="0.3">
      <c r="A1058" s="2">
        <v>2870</v>
      </c>
      <c r="E1058" t="s">
        <v>655</v>
      </c>
      <c r="I1058" s="2">
        <v>4.1989999999999998</v>
      </c>
      <c r="AH1058" s="14"/>
      <c r="AI1058" s="14"/>
      <c r="AJ1058" s="14"/>
      <c r="AK1058" s="14"/>
      <c r="AL1058" s="50"/>
    </row>
    <row r="1059" spans="1:63" x14ac:dyDescent="0.3">
      <c r="A1059" s="2">
        <v>2917</v>
      </c>
      <c r="B1059" s="2">
        <v>3791</v>
      </c>
      <c r="C1059" s="2">
        <v>10870</v>
      </c>
      <c r="E1059" t="s">
        <v>637</v>
      </c>
      <c r="I1059" s="14">
        <v>5.625</v>
      </c>
      <c r="J1059" s="15">
        <v>0.152084</v>
      </c>
      <c r="K1059" s="16">
        <v>0.14216699999999999</v>
      </c>
      <c r="L1059" s="2">
        <v>4.2009999999999996</v>
      </c>
      <c r="AH1059" s="14"/>
      <c r="AI1059" s="14">
        <v>7.2060000000000004</v>
      </c>
      <c r="AJ1059" s="14"/>
      <c r="AK1059" s="14"/>
      <c r="AL1059" s="50"/>
      <c r="AM1059" s="19">
        <v>3.888888888888889E-2</v>
      </c>
    </row>
    <row r="1060" spans="1:63" x14ac:dyDescent="0.3">
      <c r="A1060" s="2">
        <v>2917</v>
      </c>
      <c r="B1060" s="2">
        <v>2659</v>
      </c>
      <c r="E1060" t="s">
        <v>668</v>
      </c>
      <c r="AH1060" s="14"/>
      <c r="AI1060" s="14"/>
      <c r="AJ1060" s="14"/>
      <c r="AK1060" s="14"/>
      <c r="AL1060" s="50"/>
    </row>
    <row r="1061" spans="1:63" x14ac:dyDescent="0.3">
      <c r="A1061" s="2">
        <v>2935</v>
      </c>
      <c r="B1061" s="2">
        <v>2689</v>
      </c>
      <c r="E1061" t="s">
        <v>824</v>
      </c>
      <c r="I1061" s="2">
        <v>4.1040000000000001</v>
      </c>
      <c r="AH1061" s="14"/>
      <c r="AI1061" s="14">
        <v>4.1040000000000001</v>
      </c>
      <c r="AJ1061" s="14"/>
      <c r="AK1061" s="14"/>
      <c r="AL1061" s="50"/>
      <c r="AM1061" s="19">
        <v>0.13541666666666666</v>
      </c>
    </row>
    <row r="1062" spans="1:63" x14ac:dyDescent="0.3">
      <c r="A1062" s="2">
        <v>2960</v>
      </c>
      <c r="C1062" s="2">
        <v>3699</v>
      </c>
      <c r="E1062" t="s">
        <v>1099</v>
      </c>
      <c r="I1062" s="15">
        <v>17.18</v>
      </c>
      <c r="L1062" s="15"/>
      <c r="AH1062" s="14"/>
      <c r="AI1062" s="14">
        <v>17.18</v>
      </c>
      <c r="AJ1062" s="14"/>
      <c r="AK1062" s="14"/>
      <c r="AL1062" s="50"/>
      <c r="AM1062" s="19">
        <v>0.10555555555555556</v>
      </c>
    </row>
    <row r="1063" spans="1:63" x14ac:dyDescent="0.3">
      <c r="A1063" s="2">
        <v>3020</v>
      </c>
      <c r="C1063" s="2">
        <v>2553</v>
      </c>
      <c r="E1063" t="s">
        <v>1069</v>
      </c>
      <c r="I1063" s="15">
        <v>21.35</v>
      </c>
      <c r="L1063" s="15"/>
      <c r="AH1063" s="14"/>
      <c r="AI1063" s="14">
        <v>21.35</v>
      </c>
      <c r="AJ1063" s="14"/>
      <c r="AK1063" s="14"/>
      <c r="AL1063" s="50"/>
      <c r="AM1063" s="19">
        <v>0.12361111111111112</v>
      </c>
    </row>
    <row r="1064" spans="1:63" x14ac:dyDescent="0.3">
      <c r="A1064" s="2">
        <v>3024</v>
      </c>
      <c r="C1064" s="2">
        <v>1585</v>
      </c>
      <c r="E1064" t="s">
        <v>968</v>
      </c>
      <c r="I1064" s="15">
        <v>42.88</v>
      </c>
      <c r="L1064" s="15"/>
      <c r="AH1064" s="14"/>
      <c r="AI1064" s="14">
        <v>42.88</v>
      </c>
      <c r="AJ1064" s="14"/>
      <c r="AK1064" s="14"/>
      <c r="AL1064" s="50"/>
      <c r="AM1064" s="19">
        <v>0.17500000000000002</v>
      </c>
    </row>
    <row r="1065" spans="1:63" x14ac:dyDescent="0.3">
      <c r="A1065" s="2">
        <v>3031</v>
      </c>
      <c r="C1065" s="2">
        <v>6297</v>
      </c>
      <c r="E1065" t="s">
        <v>1162</v>
      </c>
      <c r="I1065" s="15">
        <v>12.89</v>
      </c>
      <c r="L1065" s="15"/>
      <c r="AH1065" s="14"/>
      <c r="AI1065" s="14">
        <v>12.89</v>
      </c>
      <c r="AJ1065" s="14"/>
      <c r="AK1065" s="14"/>
      <c r="AL1065" s="50"/>
      <c r="AM1065" s="19">
        <v>9.9999999999999992E-2</v>
      </c>
    </row>
    <row r="1066" spans="1:63" x14ac:dyDescent="0.3">
      <c r="A1066" s="2">
        <v>3107</v>
      </c>
      <c r="B1066" s="2">
        <v>2825</v>
      </c>
      <c r="E1066" t="s">
        <v>725</v>
      </c>
      <c r="I1066" s="2">
        <v>10.51</v>
      </c>
      <c r="AH1066" s="14"/>
      <c r="AI1066" s="14"/>
      <c r="AJ1066" s="14"/>
      <c r="AK1066" s="14"/>
      <c r="AL1066" s="50"/>
    </row>
    <row r="1067" spans="1:63" x14ac:dyDescent="0.3">
      <c r="A1067" s="2">
        <v>3289</v>
      </c>
      <c r="C1067" s="2">
        <v>1678</v>
      </c>
      <c r="E1067" t="s">
        <v>1057</v>
      </c>
      <c r="I1067" s="15">
        <v>31.26</v>
      </c>
      <c r="L1067" s="15"/>
      <c r="AH1067" s="14"/>
      <c r="AI1067" s="14">
        <v>31.26</v>
      </c>
      <c r="AJ1067" s="14"/>
      <c r="AK1067" s="14"/>
      <c r="AL1067" s="50"/>
      <c r="AM1067" s="19">
        <v>0.21041666666666667</v>
      </c>
    </row>
    <row r="1068" spans="1:63" x14ac:dyDescent="0.3">
      <c r="A1068" s="2">
        <v>3330</v>
      </c>
      <c r="E1068" t="s">
        <v>632</v>
      </c>
      <c r="I1068" s="2">
        <v>15.97</v>
      </c>
      <c r="AH1068" s="14"/>
      <c r="AI1068" s="14"/>
      <c r="AJ1068" s="14"/>
      <c r="AK1068" s="14"/>
      <c r="AL1068" s="50"/>
    </row>
    <row r="1069" spans="1:63" x14ac:dyDescent="0.3">
      <c r="A1069" s="2">
        <v>3480</v>
      </c>
      <c r="C1069" s="2">
        <v>845</v>
      </c>
      <c r="E1069" t="s">
        <v>1060</v>
      </c>
      <c r="I1069" s="2">
        <v>41.26</v>
      </c>
      <c r="AH1069" s="14"/>
      <c r="AI1069" s="14">
        <v>41.26</v>
      </c>
      <c r="AJ1069" s="14"/>
      <c r="AK1069" s="14"/>
      <c r="AL1069" s="50"/>
      <c r="AM1069" s="19">
        <v>0.3125</v>
      </c>
    </row>
    <row r="1070" spans="1:63" x14ac:dyDescent="0.3">
      <c r="A1070" s="2">
        <v>3528</v>
      </c>
      <c r="B1070" s="2">
        <v>5084</v>
      </c>
      <c r="C1070" s="2">
        <v>7786</v>
      </c>
      <c r="E1070" t="s">
        <v>590</v>
      </c>
      <c r="I1070" s="2">
        <v>6.3090000000000002</v>
      </c>
      <c r="AG1070" s="1">
        <v>5.9550000000000001</v>
      </c>
      <c r="AH1070" s="14"/>
      <c r="AI1070" s="14">
        <v>6.64</v>
      </c>
      <c r="AJ1070" s="14"/>
      <c r="AK1070" s="14"/>
      <c r="AL1070" s="50"/>
      <c r="AM1070" s="19">
        <v>0.15</v>
      </c>
    </row>
    <row r="1071" spans="1:63" x14ac:dyDescent="0.3">
      <c r="A1071" s="2">
        <v>3616</v>
      </c>
      <c r="E1071" t="s">
        <v>651</v>
      </c>
      <c r="I1071" s="2">
        <v>22.9</v>
      </c>
      <c r="AH1071" s="14"/>
      <c r="AI1071" s="14"/>
      <c r="AJ1071" s="14"/>
      <c r="AK1071" s="14"/>
      <c r="AL1071" s="50"/>
    </row>
    <row r="1072" spans="1:63" s="3" customFormat="1" x14ac:dyDescent="0.3">
      <c r="A1072" s="4">
        <v>3950</v>
      </c>
      <c r="B1072" s="4">
        <v>3637</v>
      </c>
      <c r="C1072" s="4">
        <v>3524</v>
      </c>
      <c r="D1072" s="4" t="s">
        <v>772</v>
      </c>
      <c r="E1072" s="3" t="s">
        <v>587</v>
      </c>
      <c r="H1072" s="4"/>
      <c r="I1072" s="4"/>
      <c r="J1072" s="16"/>
      <c r="K1072" s="16"/>
      <c r="L1072" s="4"/>
      <c r="M1072" s="9"/>
      <c r="N1072" s="9"/>
      <c r="O1072" s="9"/>
      <c r="P1072" s="45"/>
      <c r="Q1072" s="45"/>
      <c r="R1072" s="45"/>
      <c r="S1072" s="45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4"/>
      <c r="AG1072" s="9"/>
      <c r="AH1072" s="45"/>
      <c r="AI1072" s="45"/>
      <c r="AJ1072" s="45"/>
      <c r="AK1072" s="45"/>
      <c r="AL1072" s="51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</row>
    <row r="1073" spans="1:39" ht="12.5" x14ac:dyDescent="0.25">
      <c r="A1073" s="2">
        <v>3647</v>
      </c>
      <c r="B1073" s="2">
        <v>2960</v>
      </c>
      <c r="C1073" s="2">
        <v>2672</v>
      </c>
      <c r="E1073" t="s">
        <v>1178</v>
      </c>
      <c r="I1073" s="15">
        <v>18.670000000000002</v>
      </c>
      <c r="K1073" s="15"/>
      <c r="L1073" s="15"/>
      <c r="AH1073" s="14"/>
      <c r="AI1073" s="14">
        <v>18.670000000000002</v>
      </c>
      <c r="AJ1073" s="14"/>
      <c r="AK1073" s="14"/>
      <c r="AL1073" s="50"/>
      <c r="AM1073" s="19">
        <v>0.1111111111111111</v>
      </c>
    </row>
    <row r="1074" spans="1:39" x14ac:dyDescent="0.3">
      <c r="A1074" s="2">
        <v>3716</v>
      </c>
      <c r="B1074" s="2">
        <v>3020</v>
      </c>
      <c r="C1074" s="2">
        <v>3362</v>
      </c>
      <c r="E1074" t="s">
        <v>959</v>
      </c>
      <c r="I1074" s="15">
        <v>15.57</v>
      </c>
      <c r="L1074" s="15"/>
      <c r="AH1074" s="14"/>
      <c r="AI1074" s="14">
        <v>15.57</v>
      </c>
      <c r="AJ1074" s="14"/>
      <c r="AK1074" s="14"/>
      <c r="AL1074" s="50"/>
      <c r="AM1074" s="19">
        <v>0.12986111111111112</v>
      </c>
    </row>
    <row r="1075" spans="1:39" x14ac:dyDescent="0.3">
      <c r="A1075" s="2">
        <v>3747</v>
      </c>
      <c r="B1075" s="2">
        <v>3024</v>
      </c>
      <c r="E1075" t="s">
        <v>653</v>
      </c>
      <c r="I1075" s="2">
        <v>5.5439999999999996</v>
      </c>
      <c r="AH1075" s="14"/>
      <c r="AI1075" s="14"/>
      <c r="AJ1075" s="14"/>
      <c r="AK1075" s="14"/>
      <c r="AL1075" s="50"/>
    </row>
    <row r="1076" spans="1:39" x14ac:dyDescent="0.3">
      <c r="B1076" s="2">
        <v>3031</v>
      </c>
      <c r="E1076" t="s">
        <v>1064</v>
      </c>
      <c r="AH1076" s="14"/>
      <c r="AI1076" s="14"/>
      <c r="AJ1076" s="14"/>
      <c r="AK1076" s="14"/>
      <c r="AL1076" s="50"/>
    </row>
    <row r="1077" spans="1:39" x14ac:dyDescent="0.3">
      <c r="A1077" s="2">
        <v>640970</v>
      </c>
      <c r="C1077" s="2">
        <v>2060936</v>
      </c>
      <c r="E1077" t="s">
        <v>1213</v>
      </c>
      <c r="AG1077" s="1">
        <v>1.8814000000000001E-2</v>
      </c>
      <c r="AH1077" s="14"/>
      <c r="AI1077" s="14"/>
      <c r="AJ1077" s="14"/>
      <c r="AK1077" s="14"/>
      <c r="AL1077" s="50"/>
    </row>
    <row r="1078" spans="1:39" x14ac:dyDescent="0.3">
      <c r="E1078" t="s">
        <v>1214</v>
      </c>
      <c r="AH1078" s="14"/>
      <c r="AI1078" s="14"/>
      <c r="AJ1078" s="14"/>
      <c r="AK1078" s="14"/>
      <c r="AL1078" s="50"/>
    </row>
    <row r="1079" spans="1:39" x14ac:dyDescent="0.3">
      <c r="B1079" s="2">
        <v>3289</v>
      </c>
      <c r="E1079" t="s">
        <v>1215</v>
      </c>
      <c r="AH1079" s="14"/>
      <c r="AI1079" s="14"/>
      <c r="AJ1079" s="14"/>
      <c r="AK1079" s="14"/>
      <c r="AL1079" s="50"/>
    </row>
    <row r="1080" spans="1:39" x14ac:dyDescent="0.3">
      <c r="A1080" s="2">
        <v>3813</v>
      </c>
      <c r="C1080" s="2">
        <v>2358</v>
      </c>
      <c r="E1080" t="s">
        <v>611</v>
      </c>
      <c r="I1080" s="14">
        <v>20.74</v>
      </c>
      <c r="AH1080" s="14"/>
      <c r="AI1080" s="14">
        <v>20.74</v>
      </c>
      <c r="AJ1080" s="14"/>
      <c r="AK1080" s="14"/>
      <c r="AL1080" s="50"/>
      <c r="AM1080" s="19">
        <v>0.17500000000000002</v>
      </c>
    </row>
    <row r="1081" spans="1:39" x14ac:dyDescent="0.3">
      <c r="A1081" s="2">
        <v>3876</v>
      </c>
      <c r="B1081" s="2">
        <v>3480</v>
      </c>
      <c r="C1081" s="2">
        <v>10805</v>
      </c>
      <c r="E1081" t="s">
        <v>1007</v>
      </c>
      <c r="I1081" s="14">
        <v>5.085</v>
      </c>
      <c r="L1081" s="15"/>
      <c r="AH1081" s="14"/>
      <c r="AI1081" s="14">
        <v>5.085</v>
      </c>
      <c r="AJ1081" s="14"/>
      <c r="AK1081" s="14"/>
      <c r="AL1081" s="50"/>
      <c r="AM1081" s="19">
        <v>0.35902777777777778</v>
      </c>
    </row>
    <row r="1082" spans="1:39" x14ac:dyDescent="0.3">
      <c r="A1082" s="2">
        <v>4131</v>
      </c>
      <c r="B1082" s="2">
        <v>4091</v>
      </c>
      <c r="C1082" s="2">
        <v>2102</v>
      </c>
      <c r="E1082" t="s">
        <v>1167</v>
      </c>
      <c r="I1082" s="14">
        <v>19.2</v>
      </c>
      <c r="L1082" s="15"/>
      <c r="AH1082" s="14"/>
      <c r="AI1082" s="14">
        <v>19.2</v>
      </c>
      <c r="AJ1082" s="14"/>
      <c r="AK1082" s="14"/>
      <c r="AL1082" s="50"/>
      <c r="AM1082" s="19">
        <v>0.38194444444444442</v>
      </c>
    </row>
    <row r="1083" spans="1:39" x14ac:dyDescent="0.3">
      <c r="A1083" s="2">
        <v>4235</v>
      </c>
      <c r="C1083" s="2">
        <v>22544</v>
      </c>
      <c r="E1083" t="s">
        <v>1059</v>
      </c>
      <c r="I1083" s="14">
        <v>2.645</v>
      </c>
      <c r="L1083" s="15"/>
      <c r="AH1083" s="14"/>
      <c r="AI1083" s="14">
        <v>2.645</v>
      </c>
      <c r="AJ1083" s="14"/>
      <c r="AK1083" s="14"/>
      <c r="AL1083" s="50"/>
      <c r="AM1083" s="19">
        <v>0.31736111111111115</v>
      </c>
    </row>
    <row r="1084" spans="1:39" x14ac:dyDescent="0.3">
      <c r="A1084" s="2">
        <v>4304</v>
      </c>
      <c r="B1084" s="2">
        <v>3716</v>
      </c>
      <c r="C1084" s="2">
        <v>12099</v>
      </c>
      <c r="E1084" t="s">
        <v>1195</v>
      </c>
      <c r="I1084" s="14">
        <v>7.0010000000000003</v>
      </c>
      <c r="L1084" s="15"/>
      <c r="AH1084" s="14"/>
      <c r="AI1084" s="14">
        <v>7.0010000000000003</v>
      </c>
      <c r="AJ1084" s="14"/>
      <c r="AK1084" s="14"/>
      <c r="AL1084" s="50"/>
      <c r="AM1084" s="19">
        <v>3.6111111111111115E-2</v>
      </c>
    </row>
    <row r="1085" spans="1:39" x14ac:dyDescent="0.3">
      <c r="A1085" s="2">
        <v>4341</v>
      </c>
      <c r="C1085" s="2">
        <v>14925</v>
      </c>
      <c r="E1085" t="s">
        <v>864</v>
      </c>
      <c r="I1085" s="14">
        <v>4.2469999999999999</v>
      </c>
      <c r="L1085" s="15"/>
      <c r="AH1085" s="14"/>
      <c r="AI1085" s="14">
        <v>4.2469999999999999</v>
      </c>
      <c r="AJ1085" s="14"/>
      <c r="AK1085" s="14"/>
      <c r="AL1085" s="50"/>
      <c r="AM1085" s="21">
        <v>0.27152777777777776</v>
      </c>
    </row>
    <row r="1086" spans="1:39" x14ac:dyDescent="0.3">
      <c r="A1086" s="2">
        <v>4367</v>
      </c>
      <c r="C1086" s="2">
        <v>3083</v>
      </c>
      <c r="E1086" t="s">
        <v>1026</v>
      </c>
      <c r="I1086" s="14">
        <v>11.35</v>
      </c>
      <c r="AH1086" s="14"/>
      <c r="AI1086" s="14">
        <v>11.35</v>
      </c>
      <c r="AJ1086" s="14"/>
      <c r="AK1086" s="14"/>
      <c r="AL1086" s="50"/>
      <c r="AM1086" s="19">
        <v>0.20277777777777781</v>
      </c>
    </row>
    <row r="1087" spans="1:39" x14ac:dyDescent="0.3">
      <c r="A1087" s="2">
        <v>4383</v>
      </c>
      <c r="C1087" s="2">
        <v>5861</v>
      </c>
      <c r="E1087" t="s">
        <v>1150</v>
      </c>
      <c r="I1087" s="14">
        <v>13.09</v>
      </c>
      <c r="L1087" s="15"/>
      <c r="AH1087" s="14"/>
      <c r="AI1087" s="14">
        <v>13.09</v>
      </c>
      <c r="AJ1087" s="14"/>
      <c r="AK1087" s="14"/>
      <c r="AL1087" s="50"/>
      <c r="AM1087" s="19">
        <v>0.10972222222222222</v>
      </c>
    </row>
    <row r="1088" spans="1:39" x14ac:dyDescent="0.3">
      <c r="A1088" s="2">
        <v>4464</v>
      </c>
      <c r="C1088" s="2">
        <v>1649</v>
      </c>
      <c r="E1088" t="s">
        <v>1050</v>
      </c>
      <c r="I1088" s="14">
        <v>24.74</v>
      </c>
      <c r="L1088" s="15"/>
      <c r="AH1088" s="14"/>
      <c r="AI1088" s="14">
        <v>24.74</v>
      </c>
      <c r="AJ1088" s="14"/>
      <c r="AK1088" s="14"/>
      <c r="AL1088" s="50"/>
      <c r="AM1088" s="19">
        <v>0.21944444444444444</v>
      </c>
    </row>
    <row r="1089" spans="1:47" x14ac:dyDescent="0.3">
      <c r="A1089" s="2">
        <v>4604</v>
      </c>
      <c r="B1089" s="2">
        <v>3955</v>
      </c>
      <c r="C1089" s="2">
        <v>3524</v>
      </c>
      <c r="E1089" t="s">
        <v>1182</v>
      </c>
      <c r="I1089" s="14">
        <v>19.38</v>
      </c>
      <c r="L1089" s="15"/>
      <c r="AH1089" s="14"/>
      <c r="AI1089" s="14">
        <v>19.38</v>
      </c>
      <c r="AJ1089" s="14"/>
      <c r="AK1089" s="14"/>
      <c r="AL1089" s="50"/>
      <c r="AM1089" s="21">
        <v>9.6527777777777768E-2</v>
      </c>
    </row>
    <row r="1090" spans="1:47" x14ac:dyDescent="0.3">
      <c r="A1090" s="2">
        <v>4869</v>
      </c>
      <c r="B1090" s="2">
        <v>4131</v>
      </c>
      <c r="C1090" s="2">
        <v>12656</v>
      </c>
      <c r="E1090" t="s">
        <v>635</v>
      </c>
      <c r="I1090" s="14">
        <v>6.0430000000000001</v>
      </c>
      <c r="AH1090" s="14"/>
      <c r="AI1090" s="14">
        <v>5.6760000000000002</v>
      </c>
      <c r="AJ1090" s="14"/>
      <c r="AK1090" s="14"/>
      <c r="AL1090" s="50"/>
      <c r="AM1090" s="19">
        <v>5.0694444444444452E-2</v>
      </c>
      <c r="AS1090" s="3"/>
      <c r="AT1090" s="3"/>
      <c r="AU1090" s="3"/>
    </row>
    <row r="1091" spans="1:47" x14ac:dyDescent="0.3">
      <c r="A1091" s="2">
        <v>5043</v>
      </c>
      <c r="B1091" s="2">
        <v>4194</v>
      </c>
      <c r="C1091" s="2">
        <v>13640</v>
      </c>
      <c r="E1091" t="s">
        <v>628</v>
      </c>
      <c r="I1091" s="14">
        <v>6.782</v>
      </c>
      <c r="AH1091" s="14"/>
      <c r="AI1091" s="14">
        <v>5.8659999999999997</v>
      </c>
      <c r="AJ1091" s="14"/>
      <c r="AK1091" s="14"/>
      <c r="AL1091" s="50"/>
      <c r="AM1091" s="19">
        <v>2.9861111111111113E-2</v>
      </c>
    </row>
    <row r="1092" spans="1:47" ht="12.5" x14ac:dyDescent="0.25">
      <c r="A1092" s="2">
        <v>5070</v>
      </c>
      <c r="B1092" s="2">
        <v>4235</v>
      </c>
      <c r="C1092" s="2">
        <v>8828</v>
      </c>
      <c r="E1092" t="s">
        <v>825</v>
      </c>
      <c r="I1092" s="14">
        <v>4.9059999999999997</v>
      </c>
      <c r="K1092" s="15"/>
      <c r="O1092" s="1">
        <f>AG1092/AI1092-1</f>
        <v>1.1239298817774155</v>
      </c>
      <c r="AG1092" s="1">
        <v>10.42</v>
      </c>
      <c r="AH1092" s="14"/>
      <c r="AI1092" s="14">
        <v>4.9059999999999997</v>
      </c>
      <c r="AJ1092" s="14"/>
      <c r="AK1092" s="14"/>
      <c r="AL1092" s="50"/>
      <c r="AM1092" s="19">
        <v>0.6</v>
      </c>
    </row>
    <row r="1093" spans="1:47" x14ac:dyDescent="0.3">
      <c r="A1093" s="2">
        <v>5139</v>
      </c>
      <c r="B1093" s="2">
        <v>4304</v>
      </c>
      <c r="C1093" s="2">
        <v>3954</v>
      </c>
      <c r="E1093" t="s">
        <v>1151</v>
      </c>
      <c r="I1093" s="14">
        <v>17.43</v>
      </c>
      <c r="L1093" s="15"/>
      <c r="AH1093" s="14"/>
      <c r="AI1093" s="14">
        <v>17.43</v>
      </c>
      <c r="AJ1093" s="14"/>
      <c r="AK1093" s="14"/>
      <c r="AL1093" s="50"/>
      <c r="AM1093" s="19">
        <v>0.14305555555555557</v>
      </c>
    </row>
    <row r="1094" spans="1:47" x14ac:dyDescent="0.3">
      <c r="A1094" s="2">
        <v>5150</v>
      </c>
      <c r="B1094" s="2">
        <v>4341</v>
      </c>
      <c r="C1094" s="2">
        <v>8821</v>
      </c>
      <c r="E1094" t="s">
        <v>615</v>
      </c>
      <c r="I1094" s="14">
        <v>5.8819999999999997</v>
      </c>
      <c r="L1094" s="15"/>
      <c r="AH1094" s="14"/>
      <c r="AI1094" s="14">
        <v>5.7850000000000001</v>
      </c>
      <c r="AJ1094" s="14"/>
      <c r="AK1094" s="14"/>
      <c r="AL1094" s="50"/>
      <c r="AM1094" s="22">
        <v>0.15694444444444444</v>
      </c>
    </row>
    <row r="1095" spans="1:47" x14ac:dyDescent="0.3">
      <c r="A1095" s="2">
        <v>5189</v>
      </c>
      <c r="B1095" s="2">
        <v>4367</v>
      </c>
      <c r="C1095" s="2">
        <v>7105</v>
      </c>
      <c r="E1095" t="s">
        <v>625</v>
      </c>
      <c r="I1095" s="2">
        <v>14.71</v>
      </c>
      <c r="AH1095" s="14"/>
      <c r="AI1095" s="14">
        <v>10.48</v>
      </c>
      <c r="AJ1095" s="14"/>
      <c r="AK1095" s="14"/>
      <c r="AL1095" s="50"/>
      <c r="AM1095" s="19">
        <v>0.12569444444444444</v>
      </c>
    </row>
    <row r="1096" spans="1:47" x14ac:dyDescent="0.3">
      <c r="A1096" s="2">
        <v>5425</v>
      </c>
      <c r="B1096" s="2">
        <v>4464</v>
      </c>
      <c r="C1096" s="2">
        <v>6465</v>
      </c>
      <c r="E1096" t="s">
        <v>961</v>
      </c>
      <c r="I1096" s="15">
        <v>7.3879999999999999</v>
      </c>
      <c r="L1096" s="15"/>
      <c r="AH1096" s="14"/>
      <c r="AI1096" s="14">
        <v>7.3879999999999999</v>
      </c>
      <c r="AJ1096" s="14"/>
      <c r="AK1096" s="14"/>
      <c r="AL1096" s="50"/>
      <c r="AM1096" s="19">
        <v>0.14375000000000002</v>
      </c>
    </row>
    <row r="1097" spans="1:47" x14ac:dyDescent="0.3">
      <c r="A1097" s="2">
        <v>5463</v>
      </c>
      <c r="B1097" s="2">
        <v>4563</v>
      </c>
      <c r="C1097" s="2">
        <v>14432</v>
      </c>
      <c r="E1097" t="s">
        <v>1192</v>
      </c>
      <c r="I1097" s="15">
        <v>5.7910000000000004</v>
      </c>
      <c r="L1097" s="15"/>
      <c r="AF1097" s="4"/>
      <c r="AH1097" s="14"/>
      <c r="AI1097" s="14">
        <v>5.7910000000000004</v>
      </c>
      <c r="AJ1097" s="14"/>
      <c r="AK1097" s="14"/>
      <c r="AL1097" s="50"/>
      <c r="AM1097" s="21">
        <v>3.7499999999999999E-2</v>
      </c>
    </row>
    <row r="1098" spans="1:47" x14ac:dyDescent="0.3">
      <c r="A1098" s="2">
        <v>5510</v>
      </c>
      <c r="B1098" s="2">
        <v>4604</v>
      </c>
      <c r="C1098" s="2">
        <v>16922</v>
      </c>
      <c r="E1098" t="s">
        <v>1074</v>
      </c>
      <c r="I1098" s="15">
        <v>2.5379999999999998</v>
      </c>
      <c r="L1098" s="15"/>
      <c r="AH1098" s="14"/>
      <c r="AI1098" s="14">
        <v>2.5379999999999998</v>
      </c>
      <c r="AJ1098" s="14"/>
      <c r="AK1098" s="14"/>
      <c r="AL1098" s="50"/>
      <c r="AM1098" s="21">
        <v>0.1451388888888889</v>
      </c>
    </row>
    <row r="1099" spans="1:47" ht="12.5" x14ac:dyDescent="0.25">
      <c r="A1099" s="2">
        <v>5604</v>
      </c>
      <c r="B1099" s="2">
        <v>4732</v>
      </c>
      <c r="C1099" s="2">
        <v>14177</v>
      </c>
      <c r="E1099" t="s">
        <v>871</v>
      </c>
      <c r="I1099" s="15">
        <v>4.1509999999999998</v>
      </c>
      <c r="K1099" s="15"/>
      <c r="L1099" s="15"/>
      <c r="AG1099" s="1">
        <v>4.6580000000000004</v>
      </c>
      <c r="AH1099" s="14"/>
      <c r="AI1099" s="14">
        <v>4.1509999999999998</v>
      </c>
      <c r="AJ1099" s="14"/>
      <c r="AK1099" s="14"/>
      <c r="AL1099" s="50"/>
      <c r="AM1099" s="19">
        <v>0.20416666666666669</v>
      </c>
    </row>
    <row r="1100" spans="1:47" x14ac:dyDescent="0.3">
      <c r="A1100" s="2">
        <v>5645</v>
      </c>
      <c r="B1100" s="2">
        <v>5033</v>
      </c>
      <c r="C1100" s="2">
        <v>1698</v>
      </c>
      <c r="E1100" t="s">
        <v>963</v>
      </c>
      <c r="I1100" s="15">
        <v>14.64</v>
      </c>
      <c r="L1100" s="15"/>
      <c r="AH1100" s="14"/>
      <c r="AI1100" s="14">
        <v>14.64</v>
      </c>
      <c r="AJ1100" s="14"/>
      <c r="AK1100" s="14"/>
      <c r="AL1100" s="50"/>
      <c r="AM1100" s="19">
        <v>0.79166666666666663</v>
      </c>
      <c r="AS1100" s="3"/>
      <c r="AT1100" s="3"/>
      <c r="AU1100" s="3"/>
    </row>
    <row r="1101" spans="1:47" x14ac:dyDescent="0.3">
      <c r="A1101" s="2">
        <v>5703</v>
      </c>
      <c r="B1101" s="2">
        <v>5070</v>
      </c>
      <c r="C1101" s="2">
        <v>29203</v>
      </c>
      <c r="E1101" t="s">
        <v>1112</v>
      </c>
      <c r="I1101" s="15">
        <v>1.9330000000000001</v>
      </c>
      <c r="L1101" s="15"/>
      <c r="AH1101" s="14"/>
      <c r="AI1101" s="14">
        <v>1.9330000000000001</v>
      </c>
      <c r="AJ1101" s="14"/>
      <c r="AK1101" s="14"/>
      <c r="AL1101" s="50"/>
      <c r="AM1101" s="21">
        <v>0.62361111111111112</v>
      </c>
    </row>
    <row r="1102" spans="1:47" x14ac:dyDescent="0.3">
      <c r="A1102" s="2">
        <v>5777</v>
      </c>
      <c r="B1102" s="2">
        <v>4009</v>
      </c>
      <c r="C1102" s="2">
        <v>9537</v>
      </c>
      <c r="E1102" t="s">
        <v>1187</v>
      </c>
      <c r="I1102" s="2">
        <v>5.5259999999999998</v>
      </c>
      <c r="AH1102" s="14"/>
      <c r="AI1102" s="14">
        <v>5.5259999999999998</v>
      </c>
      <c r="AJ1102" s="14"/>
      <c r="AK1102" s="14"/>
      <c r="AL1102" s="50"/>
      <c r="AM1102" s="19">
        <v>0.12291666666666667</v>
      </c>
    </row>
    <row r="1103" spans="1:47" x14ac:dyDescent="0.3">
      <c r="A1103" s="2">
        <v>5858</v>
      </c>
      <c r="B1103" s="2">
        <v>5139</v>
      </c>
      <c r="C1103" s="2">
        <v>17076</v>
      </c>
      <c r="E1103" t="s">
        <v>1073</v>
      </c>
      <c r="I1103" s="2">
        <v>4.8769999999999998</v>
      </c>
      <c r="AH1103" s="14"/>
      <c r="AI1103" s="14">
        <v>4.8769999999999998</v>
      </c>
      <c r="AJ1103" s="14"/>
      <c r="AK1103" s="14"/>
      <c r="AL1103" s="50"/>
      <c r="AM1103" s="19">
        <v>3.4722222222222224E-2</v>
      </c>
    </row>
    <row r="1104" spans="1:47" x14ac:dyDescent="0.3">
      <c r="A1104" s="2">
        <v>6027</v>
      </c>
      <c r="B1104" s="2">
        <v>5074</v>
      </c>
      <c r="C1104" s="2">
        <v>24304</v>
      </c>
      <c r="E1104" t="s">
        <v>672</v>
      </c>
      <c r="I1104" s="15">
        <v>1.831</v>
      </c>
      <c r="L1104" s="15"/>
      <c r="AH1104" s="14"/>
      <c r="AI1104" s="14">
        <v>1.81</v>
      </c>
      <c r="AJ1104" s="14"/>
      <c r="AK1104" s="14"/>
      <c r="AL1104" s="50"/>
      <c r="AM1104" s="19">
        <v>0.23750000000000002</v>
      </c>
    </row>
    <row r="1105" spans="1:39" x14ac:dyDescent="0.3">
      <c r="A1105" s="2">
        <v>6113</v>
      </c>
      <c r="B1105" s="2">
        <v>4509</v>
      </c>
      <c r="C1105" s="2">
        <v>8894</v>
      </c>
      <c r="E1105" t="s">
        <v>1130</v>
      </c>
      <c r="I1105" s="15">
        <v>6.1139999999999999</v>
      </c>
      <c r="L1105" s="15"/>
      <c r="AH1105" s="14"/>
      <c r="AI1105" s="14">
        <v>6.1139999999999999</v>
      </c>
      <c r="AJ1105" s="14"/>
      <c r="AK1105" s="14"/>
      <c r="AL1105" s="50"/>
      <c r="AM1105" s="19">
        <v>0.17291666666666669</v>
      </c>
    </row>
    <row r="1106" spans="1:39" x14ac:dyDescent="0.3">
      <c r="A1106" s="2">
        <v>6141</v>
      </c>
      <c r="B1106" s="2">
        <v>5425</v>
      </c>
      <c r="C1106" s="2">
        <v>3411</v>
      </c>
      <c r="E1106" t="s">
        <v>1030</v>
      </c>
      <c r="I1106" s="15">
        <v>13.84</v>
      </c>
      <c r="L1106" s="15"/>
      <c r="AH1106" s="14"/>
      <c r="AI1106" s="14">
        <v>13.84</v>
      </c>
      <c r="AJ1106" s="14"/>
      <c r="AK1106" s="14"/>
      <c r="AL1106" s="50"/>
      <c r="AM1106" s="19">
        <v>0.39861111111111108</v>
      </c>
    </row>
    <row r="1107" spans="1:39" x14ac:dyDescent="0.3">
      <c r="A1107" s="2">
        <v>6170</v>
      </c>
      <c r="B1107" s="2">
        <v>5463</v>
      </c>
      <c r="C1107" s="2">
        <v>11165</v>
      </c>
      <c r="E1107" t="s">
        <v>780</v>
      </c>
      <c r="I1107" s="15">
        <v>2.931</v>
      </c>
      <c r="L1107" s="15"/>
      <c r="AF1107" s="4"/>
      <c r="AH1107" s="14"/>
      <c r="AI1107" s="14">
        <v>2.931</v>
      </c>
      <c r="AJ1107" s="14"/>
      <c r="AK1107" s="14"/>
      <c r="AL1107" s="50"/>
      <c r="AM1107" s="22">
        <v>0.47291666666666665</v>
      </c>
    </row>
    <row r="1108" spans="1:39" x14ac:dyDescent="0.3">
      <c r="A1108" s="2">
        <v>6198</v>
      </c>
      <c r="B1108" s="2">
        <v>5510</v>
      </c>
      <c r="C1108" s="2">
        <v>2660</v>
      </c>
      <c r="E1108" t="s">
        <v>1051</v>
      </c>
      <c r="I1108" s="15">
        <v>16.399999999999999</v>
      </c>
      <c r="L1108" s="15"/>
      <c r="AH1108" s="14"/>
      <c r="AI1108" s="14">
        <v>16.399999999999999</v>
      </c>
      <c r="AJ1108" s="14"/>
      <c r="AK1108" s="14"/>
      <c r="AL1108" s="50"/>
      <c r="AM1108" s="19">
        <v>0.14444444444444446</v>
      </c>
    </row>
    <row r="1109" spans="1:39" ht="12.5" x14ac:dyDescent="0.25">
      <c r="A1109" s="2">
        <v>6256</v>
      </c>
      <c r="B1109" s="2">
        <v>5604</v>
      </c>
      <c r="C1109" s="2">
        <v>16594</v>
      </c>
      <c r="E1109" t="s">
        <v>639</v>
      </c>
      <c r="I1109" s="15">
        <v>5.806</v>
      </c>
      <c r="J1109" s="15">
        <v>0.17149500000000001</v>
      </c>
      <c r="K1109" s="15">
        <v>0.15160899999999999</v>
      </c>
      <c r="L1109" s="15">
        <v>3.6989999999999998</v>
      </c>
      <c r="AH1109" s="14"/>
      <c r="AI1109" s="14">
        <v>4.806</v>
      </c>
      <c r="AJ1109" s="14"/>
      <c r="AK1109" s="14"/>
      <c r="AL1109" s="50"/>
      <c r="AM1109" s="19">
        <v>6.5972222222222224E-2</v>
      </c>
    </row>
    <row r="1110" spans="1:39" x14ac:dyDescent="0.3">
      <c r="A1110" s="2">
        <v>6257</v>
      </c>
      <c r="B1110" s="2">
        <v>5645</v>
      </c>
      <c r="C1110" s="2">
        <v>3809</v>
      </c>
      <c r="E1110" t="s">
        <v>1094</v>
      </c>
      <c r="I1110" s="15">
        <v>16.55</v>
      </c>
      <c r="L1110" s="15"/>
      <c r="AH1110" s="14"/>
      <c r="AI1110" s="14">
        <v>16.55</v>
      </c>
      <c r="AJ1110" s="14"/>
      <c r="AK1110" s="14"/>
      <c r="AL1110" s="50"/>
      <c r="AM1110" s="19">
        <v>0.125</v>
      </c>
    </row>
    <row r="1111" spans="1:39" x14ac:dyDescent="0.3">
      <c r="A1111" s="2">
        <v>6404</v>
      </c>
      <c r="B1111" s="2">
        <v>5608</v>
      </c>
      <c r="C1111" s="2">
        <v>8888</v>
      </c>
      <c r="E1111" t="s">
        <v>1027</v>
      </c>
      <c r="I1111" s="15">
        <v>4.827</v>
      </c>
      <c r="L1111" s="15"/>
      <c r="AH1111" s="14"/>
      <c r="AI1111" s="14">
        <v>4.827</v>
      </c>
      <c r="AJ1111" s="14"/>
      <c r="AK1111" s="14"/>
      <c r="AL1111" s="50"/>
      <c r="AM1111" s="21">
        <v>0.21527777777777779</v>
      </c>
    </row>
    <row r="1112" spans="1:39" x14ac:dyDescent="0.3">
      <c r="A1112" s="2">
        <v>6716</v>
      </c>
      <c r="B1112" s="2">
        <v>5703</v>
      </c>
      <c r="C1112" s="2">
        <v>24350</v>
      </c>
      <c r="E1112" t="s">
        <v>1086</v>
      </c>
      <c r="I1112" s="2">
        <v>2.6560000000000001</v>
      </c>
      <c r="AH1112" s="14"/>
      <c r="AI1112" s="14">
        <v>2.6560000000000001</v>
      </c>
      <c r="AJ1112" s="14"/>
      <c r="AK1112" s="14"/>
      <c r="AL1112" s="50"/>
      <c r="AM1112" s="19">
        <v>9.375E-2</v>
      </c>
    </row>
    <row r="1113" spans="1:39" ht="12.5" x14ac:dyDescent="0.25">
      <c r="A1113" s="2">
        <v>6799</v>
      </c>
      <c r="B1113" s="2">
        <v>5777</v>
      </c>
      <c r="C1113" s="2">
        <v>29058</v>
      </c>
      <c r="E1113" t="s">
        <v>754</v>
      </c>
      <c r="I1113" s="15">
        <v>2.2930000000000001</v>
      </c>
      <c r="J1113" s="15">
        <v>7.3075000000000001E-2</v>
      </c>
      <c r="K1113" s="15">
        <v>6.7874000000000004E-2</v>
      </c>
      <c r="L1113" s="15">
        <v>1.782</v>
      </c>
      <c r="AH1113" s="14"/>
      <c r="AI1113" s="14">
        <v>1.8029999999999999</v>
      </c>
      <c r="AJ1113" s="14"/>
      <c r="AK1113" s="14"/>
      <c r="AL1113" s="50"/>
      <c r="AM1113" s="19">
        <v>9.7222222222222224E-2</v>
      </c>
    </row>
    <row r="1114" spans="1:39" x14ac:dyDescent="0.3">
      <c r="A1114" s="2">
        <v>6895</v>
      </c>
      <c r="B1114" s="2">
        <v>5858</v>
      </c>
      <c r="C1114" s="2">
        <v>14286</v>
      </c>
      <c r="E1114" t="s">
        <v>902</v>
      </c>
      <c r="I1114" s="15">
        <v>3.855</v>
      </c>
      <c r="L1114" s="15"/>
      <c r="O1114" s="1">
        <f>AG1114/AI1114-1</f>
        <v>-0.23579766536964974</v>
      </c>
      <c r="AG1114" s="1">
        <v>2.9460000000000002</v>
      </c>
      <c r="AH1114" s="14"/>
      <c r="AI1114" s="14">
        <v>3.855</v>
      </c>
      <c r="AJ1114" s="14"/>
      <c r="AK1114" s="14"/>
      <c r="AL1114" s="50"/>
      <c r="AM1114" s="19">
        <v>0.26458333333333334</v>
      </c>
    </row>
    <row r="1115" spans="1:39" x14ac:dyDescent="0.3">
      <c r="A1115" s="2">
        <v>6912</v>
      </c>
      <c r="B1115" s="2">
        <v>7610</v>
      </c>
      <c r="C1115" s="2">
        <v>5253</v>
      </c>
      <c r="E1115" t="s">
        <v>1134</v>
      </c>
      <c r="I1115" s="15">
        <v>15.51</v>
      </c>
      <c r="L1115" s="15"/>
      <c r="AH1115" s="14"/>
      <c r="AI1115" s="14">
        <v>15.51</v>
      </c>
      <c r="AJ1115" s="14"/>
      <c r="AK1115" s="14"/>
      <c r="AL1115" s="50"/>
      <c r="AM1115" s="21">
        <v>0.10555555555555556</v>
      </c>
    </row>
    <row r="1116" spans="1:39" x14ac:dyDescent="0.3">
      <c r="A1116" s="2">
        <v>7013</v>
      </c>
      <c r="B1116" s="2">
        <v>6113</v>
      </c>
      <c r="C1116" s="2">
        <v>1733</v>
      </c>
      <c r="E1116" t="s">
        <v>1049</v>
      </c>
      <c r="I1116" s="15">
        <v>34.51</v>
      </c>
      <c r="L1116" s="15"/>
      <c r="AH1116" s="14"/>
      <c r="AI1116" s="14">
        <v>34.51</v>
      </c>
      <c r="AJ1116" s="14"/>
      <c r="AK1116" s="14"/>
      <c r="AL1116" s="50"/>
      <c r="AM1116" s="19">
        <v>0.18124999999999999</v>
      </c>
    </row>
    <row r="1117" spans="1:39" x14ac:dyDescent="0.3">
      <c r="A1117" s="2">
        <v>7021</v>
      </c>
      <c r="B1117" s="2">
        <v>6141</v>
      </c>
      <c r="C1117" s="2">
        <v>7754</v>
      </c>
      <c r="E1117" t="s">
        <v>1028</v>
      </c>
      <c r="I1117" s="15">
        <v>7.726</v>
      </c>
      <c r="L1117" s="15"/>
      <c r="AH1117" s="14"/>
      <c r="AI1117" s="14">
        <v>7.726</v>
      </c>
      <c r="AJ1117" s="14"/>
      <c r="AK1117" s="14"/>
      <c r="AL1117" s="50"/>
      <c r="AM1117" s="19">
        <v>0.1451388888888889</v>
      </c>
    </row>
    <row r="1118" spans="1:39" x14ac:dyDescent="0.3">
      <c r="A1118" s="2">
        <v>7130</v>
      </c>
      <c r="B1118" s="2">
        <v>6170</v>
      </c>
      <c r="C1118" s="2">
        <v>8217</v>
      </c>
      <c r="E1118" t="s">
        <v>904</v>
      </c>
      <c r="I1118" s="15">
        <v>10.01</v>
      </c>
      <c r="L1118" s="15"/>
      <c r="AH1118" s="14"/>
      <c r="AI1118" s="14">
        <v>10.01</v>
      </c>
      <c r="AJ1118" s="14"/>
      <c r="AK1118" s="14"/>
      <c r="AL1118" s="50"/>
      <c r="AM1118" s="19">
        <v>8.2638888888888887E-2</v>
      </c>
    </row>
    <row r="1119" spans="1:39" x14ac:dyDescent="0.3">
      <c r="A1119" s="2">
        <v>7153</v>
      </c>
      <c r="B1119" s="2">
        <v>6198</v>
      </c>
      <c r="C1119" s="2">
        <v>22279</v>
      </c>
      <c r="E1119" t="s">
        <v>728</v>
      </c>
      <c r="I1119" s="15">
        <v>2.4820000000000002</v>
      </c>
      <c r="L1119" s="15"/>
      <c r="AH1119" s="14"/>
      <c r="AI1119" s="14">
        <v>2.669</v>
      </c>
      <c r="AJ1119" s="14"/>
      <c r="AK1119" s="14"/>
      <c r="AL1119" s="50"/>
      <c r="AM1119" s="19">
        <v>4.5833333333333337E-2</v>
      </c>
    </row>
    <row r="1120" spans="1:39" x14ac:dyDescent="0.3">
      <c r="A1120" s="2">
        <v>7210</v>
      </c>
      <c r="B1120" s="4">
        <v>5820</v>
      </c>
      <c r="C1120" s="2">
        <v>17590</v>
      </c>
      <c r="E1120" t="s">
        <v>1137</v>
      </c>
      <c r="I1120" s="2">
        <v>3.1070000000000002</v>
      </c>
      <c r="AH1120" s="14"/>
      <c r="AI1120" s="14">
        <v>3.1070000000000002</v>
      </c>
      <c r="AJ1120" s="14"/>
      <c r="AK1120" s="14"/>
      <c r="AL1120" s="50"/>
      <c r="AM1120" s="19">
        <v>0.12986111111111112</v>
      </c>
    </row>
    <row r="1121" spans="1:63" x14ac:dyDescent="0.3">
      <c r="A1121" s="2">
        <v>7228</v>
      </c>
      <c r="B1121" s="2">
        <v>6257</v>
      </c>
      <c r="C1121" s="2">
        <v>27896</v>
      </c>
      <c r="E1121" t="s">
        <v>593</v>
      </c>
      <c r="I1121" s="15">
        <v>2.5379999999999998</v>
      </c>
      <c r="L1121" s="15"/>
      <c r="AH1121" s="14"/>
      <c r="AI1121" s="14">
        <v>2.5379999999999998</v>
      </c>
      <c r="AJ1121" s="14"/>
      <c r="AK1121" s="14"/>
      <c r="AL1121" s="50"/>
      <c r="AM1121" s="19">
        <v>6.1805555555555558E-2</v>
      </c>
    </row>
    <row r="1122" spans="1:63" x14ac:dyDescent="0.3">
      <c r="A1122" s="2">
        <v>7403</v>
      </c>
      <c r="B1122" s="2">
        <v>6404</v>
      </c>
      <c r="C1122" s="2">
        <v>9255</v>
      </c>
      <c r="E1122" t="s">
        <v>758</v>
      </c>
      <c r="I1122" s="15">
        <v>6.0629999999999997</v>
      </c>
      <c r="J1122" s="15">
        <v>0.18499499999999999</v>
      </c>
      <c r="K1122" s="16">
        <v>0.16447500000000001</v>
      </c>
      <c r="L1122" s="15">
        <v>4.218</v>
      </c>
      <c r="AH1122" s="14"/>
      <c r="AI1122" s="14">
        <v>6.0330000000000004</v>
      </c>
      <c r="AJ1122" s="14"/>
      <c r="AK1122" s="14"/>
      <c r="AL1122" s="50"/>
      <c r="AM1122" s="19">
        <v>0.1111111111111111</v>
      </c>
    </row>
    <row r="1123" spans="1:63" x14ac:dyDescent="0.3">
      <c r="A1123" s="2">
        <v>7491</v>
      </c>
      <c r="B1123" s="2">
        <v>6716</v>
      </c>
      <c r="C1123" s="2">
        <v>5868</v>
      </c>
      <c r="E1123" t="s">
        <v>1171</v>
      </c>
      <c r="I1123" s="15">
        <v>12</v>
      </c>
      <c r="L1123" s="15"/>
      <c r="AH1123" s="14"/>
      <c r="AI1123" s="14">
        <v>12</v>
      </c>
      <c r="AJ1123" s="14"/>
      <c r="AK1123" s="14"/>
      <c r="AL1123" s="50"/>
      <c r="AM1123" s="21">
        <v>0.13263888888888889</v>
      </c>
    </row>
    <row r="1124" spans="1:63" x14ac:dyDescent="0.3">
      <c r="A1124" s="2">
        <v>7562</v>
      </c>
      <c r="B1124" s="2">
        <v>5863</v>
      </c>
      <c r="C1124" s="2">
        <v>5647</v>
      </c>
      <c r="E1124" t="s">
        <v>894</v>
      </c>
      <c r="I1124" s="15">
        <v>7.4489999999999998</v>
      </c>
      <c r="L1124" s="15"/>
      <c r="AH1124" s="14"/>
      <c r="AI1124" s="14">
        <v>7.4489999999999998</v>
      </c>
      <c r="AJ1124" s="14"/>
      <c r="AK1124" s="14"/>
      <c r="AL1124" s="50"/>
      <c r="AM1124" s="19">
        <v>0.3527777777777778</v>
      </c>
    </row>
    <row r="1125" spans="1:63" ht="12.5" x14ac:dyDescent="0.25">
      <c r="A1125" s="2">
        <v>7642</v>
      </c>
      <c r="B1125" s="2">
        <v>6895</v>
      </c>
      <c r="C1125" s="2">
        <v>17012</v>
      </c>
      <c r="E1125" t="s">
        <v>1172</v>
      </c>
      <c r="I1125" s="15">
        <v>3.7810000000000001</v>
      </c>
      <c r="K1125" s="15"/>
      <c r="L1125" s="15"/>
      <c r="AH1125" s="14"/>
      <c r="AI1125" s="14">
        <v>3.7810000000000001</v>
      </c>
      <c r="AJ1125" s="14"/>
      <c r="AK1125" s="14"/>
      <c r="AL1125" s="50"/>
      <c r="AM1125" s="19">
        <v>0.10416666666666667</v>
      </c>
    </row>
    <row r="1126" spans="1:63" x14ac:dyDescent="0.3">
      <c r="A1126" s="2">
        <v>7661</v>
      </c>
      <c r="B1126" s="2">
        <v>5508</v>
      </c>
      <c r="C1126" s="2">
        <v>38552</v>
      </c>
      <c r="E1126" t="s">
        <v>1053</v>
      </c>
      <c r="I1126" s="15">
        <v>1.0660000000000001</v>
      </c>
      <c r="L1126" s="15"/>
      <c r="AH1126" s="14"/>
      <c r="AI1126" s="14">
        <v>1.0660000000000001</v>
      </c>
      <c r="AJ1126" s="14"/>
      <c r="AK1126" s="14"/>
      <c r="AL1126" s="50"/>
      <c r="AM1126" s="19">
        <v>0.26527777777777778</v>
      </c>
    </row>
    <row r="1127" spans="1:63" s="3" customFormat="1" x14ac:dyDescent="0.3">
      <c r="A1127" s="4">
        <v>5592</v>
      </c>
      <c r="B1127" s="4">
        <v>7668</v>
      </c>
      <c r="C1127" s="4">
        <v>5250</v>
      </c>
      <c r="D1127" s="4">
        <v>7121</v>
      </c>
      <c r="E1127" s="3" t="s">
        <v>760</v>
      </c>
      <c r="H1127" s="4"/>
      <c r="I1127" s="16">
        <v>13.4</v>
      </c>
      <c r="J1127" s="16">
        <v>0.42543599999999998</v>
      </c>
      <c r="K1127" s="16">
        <v>0.29056500000000002</v>
      </c>
      <c r="L1127" s="16">
        <v>4.6760000000000002</v>
      </c>
      <c r="M1127" s="9"/>
      <c r="N1127" s="9"/>
      <c r="O1127" s="9"/>
      <c r="P1127" s="45"/>
      <c r="Q1127" s="45"/>
      <c r="R1127" s="45"/>
      <c r="S1127" s="45"/>
      <c r="T1127" s="95">
        <v>14.24</v>
      </c>
      <c r="U1127" s="95">
        <v>13.64</v>
      </c>
      <c r="V1127" s="95">
        <v>16.88</v>
      </c>
      <c r="W1127" s="95">
        <v>20.11</v>
      </c>
      <c r="X1127" s="95">
        <v>15.15</v>
      </c>
      <c r="Y1127" s="95">
        <v>14.25</v>
      </c>
      <c r="Z1127" s="9"/>
      <c r="AA1127" s="9"/>
      <c r="AB1127" s="9"/>
      <c r="AC1127" s="9"/>
      <c r="AD1127" s="9"/>
      <c r="AE1127" s="9"/>
      <c r="AF1127" s="4"/>
      <c r="AG1127" s="9"/>
      <c r="AH1127" s="45"/>
      <c r="AI1127" s="45">
        <v>10.65</v>
      </c>
      <c r="AJ1127" s="45"/>
      <c r="AK1127" s="45"/>
      <c r="AL1127" s="51"/>
      <c r="AM1127" s="22">
        <v>0.11666666666666665</v>
      </c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</row>
    <row r="1128" spans="1:63" x14ac:dyDescent="0.3">
      <c r="A1128" s="2">
        <v>7671</v>
      </c>
      <c r="B1128" s="2">
        <v>7013</v>
      </c>
      <c r="C1128" s="2">
        <v>5150</v>
      </c>
      <c r="E1128" t="s">
        <v>967</v>
      </c>
      <c r="I1128" s="15">
        <v>8.8940000000000001</v>
      </c>
      <c r="L1128" s="15"/>
      <c r="AG1128" s="1">
        <v>9.5510000000000002</v>
      </c>
      <c r="AH1128" s="14"/>
      <c r="AI1128" s="14">
        <v>8.8940000000000001</v>
      </c>
      <c r="AJ1128" s="14"/>
      <c r="AK1128" s="14"/>
      <c r="AL1128" s="50"/>
      <c r="AM1128" s="19">
        <v>0.3</v>
      </c>
    </row>
    <row r="1129" spans="1:63" x14ac:dyDescent="0.3">
      <c r="A1129" s="2">
        <v>7745</v>
      </c>
      <c r="B1129" s="2">
        <v>7021</v>
      </c>
      <c r="C1129" s="2">
        <v>10668</v>
      </c>
      <c r="E1129" t="s">
        <v>656</v>
      </c>
      <c r="I1129" s="15">
        <v>7.0739999999999998</v>
      </c>
      <c r="L1129" s="15"/>
      <c r="AH1129" s="14"/>
      <c r="AI1129" s="14">
        <v>7.0739999999999998</v>
      </c>
      <c r="AJ1129" s="14"/>
      <c r="AK1129" s="14"/>
      <c r="AL1129" s="50"/>
      <c r="AM1129" s="19">
        <v>8.0555555555555561E-2</v>
      </c>
    </row>
    <row r="1130" spans="1:63" x14ac:dyDescent="0.3">
      <c r="A1130" s="2">
        <v>7846</v>
      </c>
      <c r="B1130" s="2">
        <v>7130</v>
      </c>
      <c r="C1130" s="2">
        <v>41002</v>
      </c>
      <c r="E1130" t="s">
        <v>1087</v>
      </c>
      <c r="I1130" s="15">
        <v>1.605</v>
      </c>
      <c r="L1130" s="15"/>
      <c r="AH1130" s="14"/>
      <c r="AI1130" s="14">
        <v>1.605</v>
      </c>
      <c r="AJ1130" s="14"/>
      <c r="AK1130" s="14"/>
      <c r="AL1130" s="50"/>
      <c r="AM1130" s="19">
        <v>6.25E-2</v>
      </c>
    </row>
    <row r="1131" spans="1:63" x14ac:dyDescent="0.3">
      <c r="A1131" s="2">
        <v>7980</v>
      </c>
      <c r="B1131" s="2">
        <v>7588</v>
      </c>
      <c r="C1131" s="2">
        <v>2123</v>
      </c>
      <c r="E1131" t="s">
        <v>1146</v>
      </c>
      <c r="I1131" s="15">
        <v>23.6</v>
      </c>
      <c r="L1131" s="15"/>
      <c r="AH1131" s="14"/>
      <c r="AI1131" s="14">
        <v>23.6</v>
      </c>
      <c r="AJ1131" s="14"/>
      <c r="AK1131" s="14"/>
      <c r="AL1131" s="50"/>
      <c r="AM1131" s="19">
        <v>0.15347222222222223</v>
      </c>
    </row>
    <row r="1132" spans="1:63" s="3" customFormat="1" x14ac:dyDescent="0.3">
      <c r="A1132" s="2">
        <v>8028</v>
      </c>
      <c r="B1132" s="2">
        <v>7210</v>
      </c>
      <c r="C1132" s="2">
        <v>26838</v>
      </c>
      <c r="D1132" s="2"/>
      <c r="E1132" t="s">
        <v>633</v>
      </c>
      <c r="F1132"/>
      <c r="G1132"/>
      <c r="H1132" s="2"/>
      <c r="I1132" s="15">
        <v>3.1070000000000002</v>
      </c>
      <c r="J1132" s="15"/>
      <c r="K1132" s="16"/>
      <c r="L1132" s="15"/>
      <c r="M1132" s="1"/>
      <c r="N1132" s="1"/>
      <c r="O1132" s="1"/>
      <c r="P1132" s="14"/>
      <c r="Q1132" s="14"/>
      <c r="R1132" s="14"/>
      <c r="S1132" s="14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2"/>
      <c r="AG1132" s="1"/>
      <c r="AH1132" s="14"/>
      <c r="AI1132" s="14">
        <v>2.766</v>
      </c>
      <c r="AJ1132" s="14"/>
      <c r="AK1132" s="14"/>
      <c r="AL1132" s="50"/>
      <c r="AM1132" s="19">
        <v>9.3055555555555558E-2</v>
      </c>
      <c r="AS1132"/>
      <c r="AT1132"/>
      <c r="AU1132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</row>
    <row r="1133" spans="1:63" x14ac:dyDescent="0.3">
      <c r="A1133" s="2">
        <v>7473</v>
      </c>
      <c r="B1133" s="2">
        <v>8366</v>
      </c>
      <c r="C1133" s="2">
        <v>29988</v>
      </c>
      <c r="D1133" s="2">
        <v>35031</v>
      </c>
      <c r="E1133" t="s">
        <v>577</v>
      </c>
      <c r="I1133" s="15">
        <v>2.3620000000000001</v>
      </c>
      <c r="J1133" s="15">
        <v>7.4180999999999997E-2</v>
      </c>
      <c r="K1133" s="16">
        <v>6.5727999999999995E-2</v>
      </c>
      <c r="L1133" s="15">
        <v>1.6220000000000001</v>
      </c>
      <c r="AH1133" s="14"/>
      <c r="AI1133" s="14">
        <v>2.3490000000000002</v>
      </c>
      <c r="AJ1133" s="14"/>
      <c r="AK1133" s="14"/>
      <c r="AL1133" s="50"/>
      <c r="AM1133" s="20" t="s">
        <v>747</v>
      </c>
      <c r="AS1133" s="3"/>
      <c r="AT1133" s="3"/>
      <c r="AU1133" s="3"/>
    </row>
    <row r="1134" spans="1:63" x14ac:dyDescent="0.3">
      <c r="A1134" s="2">
        <v>8582</v>
      </c>
      <c r="B1134" s="2">
        <v>8340</v>
      </c>
      <c r="C1134" s="2">
        <v>38849</v>
      </c>
      <c r="E1134" t="s">
        <v>1143</v>
      </c>
      <c r="I1134" s="15">
        <v>1.966</v>
      </c>
      <c r="L1134" s="15"/>
      <c r="AH1134" s="14"/>
      <c r="AI1134" s="14">
        <v>1.966</v>
      </c>
      <c r="AJ1134" s="14"/>
      <c r="AK1134" s="14"/>
      <c r="AL1134" s="50"/>
      <c r="AM1134" s="19">
        <v>5.4166666666666669E-2</v>
      </c>
    </row>
    <row r="1135" spans="1:63" x14ac:dyDescent="0.3">
      <c r="A1135" s="2">
        <v>8631</v>
      </c>
      <c r="B1135" s="2">
        <v>7491</v>
      </c>
      <c r="C1135" s="2">
        <v>31315</v>
      </c>
      <c r="E1135" t="s">
        <v>830</v>
      </c>
      <c r="I1135" s="15">
        <v>2.2080000000000002</v>
      </c>
      <c r="L1135" s="15"/>
      <c r="AH1135" s="14"/>
      <c r="AI1135" s="14">
        <v>2.246</v>
      </c>
      <c r="AJ1135" s="14"/>
      <c r="AK1135" s="14"/>
      <c r="AL1135" s="50"/>
      <c r="AM1135" s="19">
        <v>7.2222222222222229E-2</v>
      </c>
    </row>
    <row r="1136" spans="1:63" x14ac:dyDescent="0.3">
      <c r="A1136" s="2">
        <v>8669</v>
      </c>
      <c r="B1136" s="2">
        <v>7562</v>
      </c>
      <c r="C1136" s="2">
        <v>14637</v>
      </c>
      <c r="E1136" t="s">
        <v>1123</v>
      </c>
      <c r="I1136" s="15">
        <v>3.3119999999999998</v>
      </c>
      <c r="L1136" s="15"/>
      <c r="AH1136" s="14"/>
      <c r="AI1136" s="14">
        <v>3.3119999999999998</v>
      </c>
      <c r="AJ1136" s="14"/>
      <c r="AK1136" s="14"/>
      <c r="AL1136" s="50"/>
      <c r="AM1136" s="19">
        <v>0.22291666666666665</v>
      </c>
    </row>
    <row r="1137" spans="1:63" x14ac:dyDescent="0.3">
      <c r="A1137" s="2">
        <v>8767</v>
      </c>
      <c r="B1137" s="2">
        <v>7642</v>
      </c>
      <c r="C1137" s="2">
        <v>3343</v>
      </c>
      <c r="E1137" t="s">
        <v>1175</v>
      </c>
      <c r="I1137" s="2">
        <v>17.809999999999999</v>
      </c>
      <c r="AH1137" s="14"/>
      <c r="AI1137" s="14">
        <v>17.809999999999999</v>
      </c>
      <c r="AJ1137" s="14"/>
      <c r="AK1137" s="14"/>
      <c r="AL1137" s="50"/>
      <c r="AM1137" s="19">
        <v>0.23819444444444446</v>
      </c>
    </row>
    <row r="1138" spans="1:63" x14ac:dyDescent="0.3">
      <c r="A1138" s="2">
        <v>8783</v>
      </c>
      <c r="B1138" s="2">
        <v>7661</v>
      </c>
      <c r="C1138" s="2">
        <v>11452</v>
      </c>
      <c r="E1138" t="s">
        <v>941</v>
      </c>
      <c r="I1138" s="15">
        <v>5.3419999999999996</v>
      </c>
      <c r="L1138" s="15"/>
      <c r="AH1138" s="14"/>
      <c r="AI1138" s="14">
        <v>5.3419999999999996</v>
      </c>
      <c r="AJ1138" s="14"/>
      <c r="AK1138" s="14"/>
      <c r="AL1138" s="50"/>
      <c r="AM1138" s="19">
        <v>0.10833333333333334</v>
      </c>
    </row>
    <row r="1139" spans="1:63" x14ac:dyDescent="0.3">
      <c r="A1139" s="2">
        <v>9065</v>
      </c>
      <c r="B1139" s="2">
        <v>7671</v>
      </c>
      <c r="C1139" s="2">
        <v>6336</v>
      </c>
      <c r="E1139" t="s">
        <v>1188</v>
      </c>
      <c r="I1139" s="15">
        <v>9.0410000000000004</v>
      </c>
      <c r="L1139" s="15"/>
      <c r="AH1139" s="14"/>
      <c r="AI1139" s="14">
        <v>9.0410000000000004</v>
      </c>
      <c r="AJ1139" s="14"/>
      <c r="AK1139" s="14"/>
      <c r="AL1139" s="50"/>
      <c r="AM1139" s="21">
        <v>0.13749999999999998</v>
      </c>
    </row>
    <row r="1140" spans="1:63" x14ac:dyDescent="0.3">
      <c r="A1140" s="2">
        <v>9109</v>
      </c>
      <c r="B1140" s="2">
        <v>6758</v>
      </c>
      <c r="C1140" s="2">
        <v>41148</v>
      </c>
      <c r="E1140" t="s">
        <v>609</v>
      </c>
      <c r="I1140" s="15">
        <v>2.012</v>
      </c>
      <c r="L1140" s="15"/>
      <c r="AH1140" s="14"/>
      <c r="AI1140" s="14">
        <v>1.841</v>
      </c>
      <c r="AJ1140" s="14"/>
      <c r="AK1140" s="14"/>
      <c r="AL1140" s="50"/>
      <c r="AM1140" s="19">
        <v>5.9722222222222225E-2</v>
      </c>
    </row>
    <row r="1141" spans="1:63" x14ac:dyDescent="0.3">
      <c r="A1141" s="2">
        <v>9617</v>
      </c>
      <c r="B1141" s="2">
        <v>7846</v>
      </c>
      <c r="C1141" s="2">
        <v>6386</v>
      </c>
      <c r="E1141" t="s">
        <v>1197</v>
      </c>
      <c r="I1141" s="15">
        <v>4.4560000000000004</v>
      </c>
      <c r="L1141" s="15"/>
      <c r="AH1141" s="14"/>
      <c r="AI1141" s="14">
        <v>4.4560000000000004</v>
      </c>
      <c r="AJ1141" s="14"/>
      <c r="AK1141" s="14"/>
      <c r="AL1141" s="50"/>
      <c r="AM1141" s="21">
        <v>0.3527777777777778</v>
      </c>
    </row>
    <row r="1142" spans="1:63" x14ac:dyDescent="0.3">
      <c r="A1142" s="2">
        <v>9665</v>
      </c>
      <c r="B1142" s="2">
        <v>7980</v>
      </c>
      <c r="C1142" s="2">
        <v>24725</v>
      </c>
      <c r="E1142" t="s">
        <v>1166</v>
      </c>
      <c r="I1142" s="15">
        <v>3.206</v>
      </c>
      <c r="L1142" s="15"/>
      <c r="AH1142" s="14"/>
      <c r="AI1142" s="14">
        <v>3.206</v>
      </c>
      <c r="AJ1142" s="14"/>
      <c r="AK1142" s="14"/>
      <c r="AL1142" s="50"/>
      <c r="AM1142" s="19">
        <v>3.1944444444444449E-2</v>
      </c>
    </row>
    <row r="1143" spans="1:63" x14ac:dyDescent="0.3">
      <c r="A1143" s="2">
        <v>9816</v>
      </c>
      <c r="B1143" s="2">
        <v>6614</v>
      </c>
      <c r="C1143" s="2">
        <v>9102</v>
      </c>
      <c r="E1143" t="s">
        <v>1158</v>
      </c>
      <c r="I1143" s="15">
        <v>6.2169999999999996</v>
      </c>
      <c r="L1143" s="15"/>
      <c r="AH1143" s="14"/>
      <c r="AI1143" s="14">
        <v>6.2169999999999996</v>
      </c>
      <c r="AJ1143" s="14"/>
      <c r="AK1143" s="14"/>
      <c r="AL1143" s="50"/>
      <c r="AM1143" s="19">
        <v>0.18333333333333335</v>
      </c>
    </row>
    <row r="1144" spans="1:63" x14ac:dyDescent="0.3">
      <c r="A1144" s="2">
        <v>10295</v>
      </c>
      <c r="B1144" s="2">
        <v>9194</v>
      </c>
      <c r="C1144" s="2">
        <v>21176</v>
      </c>
      <c r="E1144" t="s">
        <v>1004</v>
      </c>
      <c r="I1144" s="15">
        <v>2.5070000000000001</v>
      </c>
      <c r="L1144" s="15"/>
      <c r="AH1144" s="14"/>
      <c r="AI1144" s="14">
        <v>2.5070000000000001</v>
      </c>
      <c r="AJ1144" s="14"/>
      <c r="AK1144" s="14"/>
      <c r="AL1144" s="50"/>
      <c r="AM1144" s="19">
        <v>0.27291666666666664</v>
      </c>
    </row>
    <row r="1145" spans="1:63" x14ac:dyDescent="0.3">
      <c r="A1145" s="2">
        <v>10674</v>
      </c>
      <c r="B1145" s="2">
        <v>8582</v>
      </c>
      <c r="C1145" s="2">
        <v>4619</v>
      </c>
      <c r="E1145" t="s">
        <v>1063</v>
      </c>
      <c r="I1145" s="15">
        <v>12.01</v>
      </c>
      <c r="L1145" s="15"/>
      <c r="AH1145" s="14"/>
      <c r="AI1145" s="14">
        <v>12.01</v>
      </c>
      <c r="AJ1145" s="14"/>
      <c r="AK1145" s="14"/>
      <c r="AL1145" s="50"/>
      <c r="AM1145" s="19">
        <v>0.23819444444444446</v>
      </c>
    </row>
    <row r="1146" spans="1:63" x14ac:dyDescent="0.3">
      <c r="A1146" s="2">
        <v>10700</v>
      </c>
      <c r="B1146" s="2">
        <v>8978</v>
      </c>
      <c r="C1146" s="2">
        <v>13857</v>
      </c>
      <c r="E1146" t="s">
        <v>828</v>
      </c>
      <c r="I1146" s="15">
        <v>3.9180000000000001</v>
      </c>
      <c r="L1146" s="15"/>
      <c r="AH1146" s="14"/>
      <c r="AI1146" s="14">
        <v>3.9180000000000001</v>
      </c>
      <c r="AJ1146" s="14"/>
      <c r="AK1146" s="14"/>
      <c r="AL1146" s="50"/>
      <c r="AM1146" s="21">
        <v>0.1673611111111111</v>
      </c>
    </row>
    <row r="1147" spans="1:63" x14ac:dyDescent="0.3">
      <c r="A1147" s="2">
        <v>10904</v>
      </c>
      <c r="B1147" s="2">
        <v>8669</v>
      </c>
      <c r="C1147" s="2">
        <v>27127</v>
      </c>
      <c r="E1147" t="s">
        <v>1183</v>
      </c>
      <c r="I1147" s="15">
        <v>2.8220000000000001</v>
      </c>
      <c r="L1147" s="15"/>
      <c r="AH1147" s="14"/>
      <c r="AI1147" s="14">
        <v>2.8220000000000001</v>
      </c>
      <c r="AJ1147" s="14"/>
      <c r="AK1147" s="14"/>
      <c r="AL1147" s="50"/>
      <c r="AM1147" s="21">
        <v>9.2361111111111116E-2</v>
      </c>
    </row>
    <row r="1148" spans="1:63" x14ac:dyDescent="0.3">
      <c r="A1148" s="2">
        <v>10990</v>
      </c>
      <c r="B1148" s="2">
        <v>8767</v>
      </c>
      <c r="C1148" s="2">
        <v>3168</v>
      </c>
      <c r="E1148" t="s">
        <v>885</v>
      </c>
      <c r="I1148" s="15">
        <v>13.41</v>
      </c>
      <c r="L1148" s="15"/>
      <c r="M1148" s="15"/>
      <c r="N1148" s="15"/>
      <c r="O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G1148" s="15"/>
      <c r="AH1148" s="14"/>
      <c r="AI1148" s="14">
        <v>13.41</v>
      </c>
      <c r="AJ1148" s="14"/>
      <c r="AK1148" s="14"/>
      <c r="AL1148" s="50"/>
      <c r="AM1148" s="21">
        <v>0.16458333333333333</v>
      </c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</row>
    <row r="1149" spans="1:63" x14ac:dyDescent="0.3">
      <c r="A1149" s="2">
        <v>11096</v>
      </c>
      <c r="B1149" s="2">
        <v>8783</v>
      </c>
      <c r="C1149" s="2">
        <v>6703</v>
      </c>
      <c r="E1149" t="s">
        <v>1189</v>
      </c>
      <c r="I1149" s="15">
        <v>8.2750000000000004</v>
      </c>
      <c r="L1149" s="15"/>
      <c r="AH1149" s="14"/>
      <c r="AI1149" s="14">
        <v>8.2750000000000004</v>
      </c>
      <c r="AJ1149" s="14"/>
      <c r="AK1149" s="14"/>
      <c r="AL1149" s="50"/>
      <c r="AM1149" s="21">
        <v>0.11666666666666665</v>
      </c>
    </row>
    <row r="1150" spans="1:63" x14ac:dyDescent="0.3">
      <c r="A1150" s="2">
        <v>11325</v>
      </c>
      <c r="B1150" s="2">
        <v>7649</v>
      </c>
      <c r="C1150" s="2">
        <v>48965</v>
      </c>
      <c r="E1150" t="s">
        <v>1083</v>
      </c>
      <c r="I1150" s="15">
        <v>1.4730000000000001</v>
      </c>
      <c r="L1150" s="15"/>
      <c r="M1150" s="15"/>
      <c r="N1150" s="15"/>
      <c r="O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G1150" s="15"/>
      <c r="AH1150" s="14"/>
      <c r="AI1150" s="14">
        <v>1.4730000000000001</v>
      </c>
      <c r="AJ1150" s="14"/>
      <c r="AK1150" s="14"/>
      <c r="AL1150" s="50"/>
      <c r="AM1150" s="19">
        <v>4.4444444444444446E-2</v>
      </c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</row>
    <row r="1151" spans="1:63" x14ac:dyDescent="0.3">
      <c r="A1151" s="2">
        <v>11700</v>
      </c>
      <c r="B1151" s="2">
        <v>9065</v>
      </c>
      <c r="C1151" s="2">
        <v>8510</v>
      </c>
      <c r="E1151" t="s">
        <v>1052</v>
      </c>
      <c r="I1151" s="15">
        <v>7.6769999999999996</v>
      </c>
      <c r="L1151" s="15"/>
      <c r="M1151" s="15"/>
      <c r="N1151" s="15"/>
      <c r="O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G1151" s="15"/>
      <c r="AH1151" s="14"/>
      <c r="AI1151" s="14">
        <v>7.6769999999999996</v>
      </c>
      <c r="AJ1151" s="14"/>
      <c r="AK1151" s="14"/>
      <c r="AL1151" s="50"/>
      <c r="AM1151" s="19">
        <v>0.14791666666666667</v>
      </c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</row>
    <row r="1152" spans="1:63" x14ac:dyDescent="0.3">
      <c r="A1152" s="2">
        <v>11772</v>
      </c>
      <c r="B1152" s="2">
        <v>9045</v>
      </c>
      <c r="C1152" s="2">
        <v>24530</v>
      </c>
      <c r="E1152" t="s">
        <v>1107</v>
      </c>
      <c r="I1152" s="15">
        <v>3.1259999999999999</v>
      </c>
      <c r="L1152" s="15"/>
      <c r="AH1152" s="14"/>
      <c r="AI1152" s="14">
        <v>3.1259999999999999</v>
      </c>
      <c r="AJ1152" s="14"/>
      <c r="AK1152" s="14"/>
      <c r="AL1152" s="50"/>
      <c r="AM1152" s="21">
        <v>0.18819444444444444</v>
      </c>
    </row>
    <row r="1153" spans="1:63" x14ac:dyDescent="0.3">
      <c r="A1153" s="2">
        <v>11897</v>
      </c>
      <c r="B1153" s="2">
        <v>9665</v>
      </c>
      <c r="C1153" s="2">
        <v>16867</v>
      </c>
      <c r="E1153" t="s">
        <v>638</v>
      </c>
      <c r="I1153" s="15">
        <v>4.7699999999999996</v>
      </c>
      <c r="L1153" s="15"/>
      <c r="M1153" s="15"/>
      <c r="N1153" s="15"/>
      <c r="O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G1153" s="15"/>
      <c r="AH1153" s="14"/>
      <c r="AI1153" s="14">
        <v>4.7699999999999996</v>
      </c>
      <c r="AJ1153" s="14"/>
      <c r="AK1153" s="14"/>
      <c r="AL1153" s="50"/>
      <c r="AM1153" s="19">
        <v>5.6944444444444443E-2</v>
      </c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</row>
    <row r="1154" spans="1:63" x14ac:dyDescent="0.3">
      <c r="A1154" s="2">
        <v>12049</v>
      </c>
      <c r="B1154" s="2">
        <v>9816</v>
      </c>
      <c r="C1154" s="2">
        <v>11065</v>
      </c>
      <c r="E1154" t="s">
        <v>604</v>
      </c>
      <c r="I1154" s="15">
        <v>5.976</v>
      </c>
      <c r="L1154" s="15"/>
      <c r="M1154" s="15"/>
      <c r="N1154" s="15"/>
      <c r="O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G1154" s="15"/>
      <c r="AH1154" s="14"/>
      <c r="AI1154" s="14">
        <v>5.29</v>
      </c>
      <c r="AJ1154" s="14"/>
      <c r="AK1154" s="14"/>
      <c r="AL1154" s="50"/>
      <c r="AM1154" s="19">
        <v>0.30486111111111108</v>
      </c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</row>
    <row r="1155" spans="1:63" x14ac:dyDescent="0.3">
      <c r="A1155" s="2">
        <v>12099</v>
      </c>
      <c r="B1155" s="2">
        <v>10295</v>
      </c>
      <c r="C1155" s="2">
        <v>11039</v>
      </c>
      <c r="E1155" t="s">
        <v>1105</v>
      </c>
      <c r="I1155" s="15">
        <v>5.157</v>
      </c>
      <c r="L1155" s="15"/>
      <c r="M1155" s="15"/>
      <c r="N1155" s="15"/>
      <c r="O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G1155" s="15"/>
      <c r="AH1155" s="14"/>
      <c r="AI1155" s="14">
        <v>5.157</v>
      </c>
      <c r="AJ1155" s="14"/>
      <c r="AK1155" s="14"/>
      <c r="AL1155" s="50"/>
      <c r="AM1155" s="19">
        <v>0.10833333333333334</v>
      </c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</row>
    <row r="1156" spans="1:63" x14ac:dyDescent="0.3">
      <c r="A1156" s="2">
        <v>12579</v>
      </c>
      <c r="B1156" s="2">
        <v>10700</v>
      </c>
      <c r="C1156" s="2">
        <v>9719</v>
      </c>
      <c r="E1156" t="s">
        <v>1131</v>
      </c>
      <c r="I1156" s="15">
        <v>4.9779999999999998</v>
      </c>
      <c r="L1156" s="15"/>
      <c r="O1156" s="1">
        <f>AG1156/AI1156-1</f>
        <v>-0.33969465648854957</v>
      </c>
      <c r="AG1156" s="1">
        <v>3.2869999999999999</v>
      </c>
      <c r="AH1156" s="14"/>
      <c r="AI1156" s="14">
        <v>4.9779999999999998</v>
      </c>
      <c r="AJ1156" s="14"/>
      <c r="AK1156" s="14"/>
      <c r="AL1156" s="50"/>
      <c r="AM1156" s="19">
        <v>0.17222222222222225</v>
      </c>
    </row>
    <row r="1157" spans="1:63" x14ac:dyDescent="0.3">
      <c r="A1157" s="2">
        <v>12657</v>
      </c>
      <c r="B1157" s="2">
        <v>10904</v>
      </c>
      <c r="C1157" s="2">
        <v>26060</v>
      </c>
      <c r="E1157" t="s">
        <v>1122</v>
      </c>
      <c r="I1157" s="15">
        <v>2.524</v>
      </c>
      <c r="L1157" s="15"/>
      <c r="AH1157" s="14"/>
      <c r="AI1157" s="14">
        <v>2.524</v>
      </c>
      <c r="AJ1157" s="14"/>
      <c r="AK1157" s="14"/>
      <c r="AL1157" s="50"/>
      <c r="AM1157" s="21">
        <v>8.5416666666666655E-2</v>
      </c>
    </row>
    <row r="1158" spans="1:63" x14ac:dyDescent="0.3">
      <c r="A1158" s="2">
        <v>12766</v>
      </c>
      <c r="B1158" s="2">
        <v>10990</v>
      </c>
      <c r="C1158" s="2">
        <v>11058</v>
      </c>
      <c r="E1158" t="s">
        <v>1194</v>
      </c>
      <c r="I1158" s="15">
        <v>7.9269999999999996</v>
      </c>
      <c r="L1158" s="15"/>
      <c r="AH1158" s="14"/>
      <c r="AI1158" s="14">
        <v>7.9269999999999996</v>
      </c>
      <c r="AJ1158" s="14"/>
      <c r="AK1158" s="14"/>
      <c r="AL1158" s="50"/>
      <c r="AM1158" s="21">
        <v>0.11319444444444444</v>
      </c>
    </row>
    <row r="1159" spans="1:63" x14ac:dyDescent="0.3">
      <c r="A1159" s="2">
        <v>12774</v>
      </c>
      <c r="B1159" s="2">
        <v>11096</v>
      </c>
      <c r="C1159" s="2">
        <v>64372</v>
      </c>
      <c r="E1159" t="s">
        <v>1058</v>
      </c>
      <c r="I1159" s="15">
        <v>0.67284100000000002</v>
      </c>
      <c r="L1159" s="15"/>
      <c r="M1159" s="15"/>
      <c r="N1159" s="15"/>
      <c r="O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G1159" s="15"/>
      <c r="AH1159" s="14"/>
      <c r="AI1159" s="14">
        <v>0.67284100000000002</v>
      </c>
      <c r="AJ1159" s="14"/>
      <c r="AK1159" s="14"/>
      <c r="AL1159" s="50"/>
      <c r="AM1159" s="19">
        <v>0.20138888888888887</v>
      </c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</row>
    <row r="1160" spans="1:63" x14ac:dyDescent="0.3">
      <c r="A1160" s="2">
        <v>12812</v>
      </c>
      <c r="B1160" s="2">
        <v>11325</v>
      </c>
      <c r="C1160" s="2">
        <v>10412</v>
      </c>
      <c r="E1160" t="s">
        <v>903</v>
      </c>
      <c r="I1160" s="15">
        <v>7.125</v>
      </c>
      <c r="L1160" s="15"/>
      <c r="AH1160" s="14"/>
      <c r="AI1160" s="14">
        <v>7.125</v>
      </c>
      <c r="AJ1160" s="14"/>
      <c r="AK1160" s="14"/>
      <c r="AL1160" s="50"/>
      <c r="AM1160" s="19">
        <v>0.1125</v>
      </c>
    </row>
    <row r="1161" spans="1:63" x14ac:dyDescent="0.3">
      <c r="A1161" s="2">
        <v>12841</v>
      </c>
      <c r="B1161" s="2">
        <v>11700</v>
      </c>
      <c r="C1161" s="2">
        <v>20256</v>
      </c>
      <c r="E1161" t="s">
        <v>640</v>
      </c>
      <c r="I1161" s="15">
        <v>5.694</v>
      </c>
      <c r="L1161" s="15"/>
      <c r="AH1161" s="14"/>
      <c r="AI1161" s="14">
        <v>3.956</v>
      </c>
      <c r="AJ1161" s="14"/>
      <c r="AK1161" s="14"/>
      <c r="AL1161" s="50"/>
      <c r="AM1161" s="19">
        <v>8.0555555555555561E-2</v>
      </c>
    </row>
    <row r="1162" spans="1:63" x14ac:dyDescent="0.3">
      <c r="A1162" s="2">
        <v>12847</v>
      </c>
      <c r="B1162" s="2">
        <v>11772</v>
      </c>
      <c r="C1162" s="2">
        <v>8078</v>
      </c>
      <c r="E1162" t="s">
        <v>829</v>
      </c>
      <c r="I1162" s="15">
        <v>5.6790000000000003</v>
      </c>
      <c r="L1162" s="15"/>
      <c r="O1162" s="1">
        <f>AG1162/AI1162-1</f>
        <v>0.10829371368198615</v>
      </c>
      <c r="AF1162" s="4"/>
      <c r="AG1162" s="1">
        <v>6.2939999999999996</v>
      </c>
      <c r="AH1162" s="14"/>
      <c r="AI1162" s="14">
        <v>5.6790000000000003</v>
      </c>
      <c r="AJ1162" s="14"/>
      <c r="AK1162" s="14"/>
      <c r="AL1162" s="50"/>
      <c r="AM1162" s="19">
        <v>0.16666666666666666</v>
      </c>
    </row>
    <row r="1163" spans="1:63" ht="12.5" x14ac:dyDescent="0.25">
      <c r="A1163" s="2">
        <v>13139</v>
      </c>
      <c r="B1163" s="2">
        <v>11140</v>
      </c>
      <c r="C1163" s="2">
        <v>20953</v>
      </c>
      <c r="E1163" t="s">
        <v>1022</v>
      </c>
      <c r="I1163" s="15">
        <v>3.5779999999999998</v>
      </c>
      <c r="K1163" s="15"/>
      <c r="L1163" s="15"/>
      <c r="AH1163" s="14"/>
      <c r="AI1163" s="14">
        <v>3.5779999999999998</v>
      </c>
      <c r="AJ1163" s="14"/>
      <c r="AK1163" s="14"/>
      <c r="AL1163" s="50"/>
      <c r="AM1163" s="19">
        <v>8.5416666666666655E-2</v>
      </c>
    </row>
    <row r="1164" spans="1:63" x14ac:dyDescent="0.3">
      <c r="A1164" s="2">
        <v>13198</v>
      </c>
      <c r="B1164" s="2">
        <v>11657</v>
      </c>
      <c r="C1164" s="2">
        <v>37641</v>
      </c>
      <c r="E1164" t="s">
        <v>581</v>
      </c>
      <c r="I1164" s="15">
        <v>1.506</v>
      </c>
      <c r="L1164" s="15"/>
      <c r="AH1164" s="14"/>
      <c r="AI1164" s="14">
        <v>1.5669999999999999</v>
      </c>
      <c r="AJ1164" s="14"/>
      <c r="AK1164" s="14"/>
      <c r="AL1164" s="50"/>
      <c r="AM1164" s="19">
        <v>0.15208333333333332</v>
      </c>
      <c r="AS1164" s="3"/>
      <c r="AT1164" s="3"/>
      <c r="AU1164" s="3"/>
    </row>
    <row r="1165" spans="1:63" x14ac:dyDescent="0.3">
      <c r="A1165" s="2">
        <v>13982</v>
      </c>
      <c r="B1165" s="2">
        <v>12473</v>
      </c>
      <c r="C1165" s="2">
        <v>42731</v>
      </c>
      <c r="E1165" t="s">
        <v>881</v>
      </c>
      <c r="I1165" s="15">
        <v>1.8180000000000001</v>
      </c>
      <c r="L1165" s="15"/>
      <c r="AH1165" s="14"/>
      <c r="AI1165" s="14">
        <v>1.8180000000000001</v>
      </c>
      <c r="AJ1165" s="14"/>
      <c r="AK1165" s="14"/>
      <c r="AL1165" s="50"/>
      <c r="AM1165" s="19">
        <v>3.4722222222222224E-2</v>
      </c>
    </row>
    <row r="1166" spans="1:63" x14ac:dyDescent="0.3">
      <c r="A1166" s="2">
        <v>14138</v>
      </c>
      <c r="B1166" s="2">
        <v>12579</v>
      </c>
      <c r="C1166" s="2">
        <v>21731</v>
      </c>
      <c r="E1166" t="s">
        <v>1161</v>
      </c>
      <c r="I1166" s="15">
        <v>3.4180000000000001</v>
      </c>
      <c r="L1166" s="15"/>
      <c r="AH1166" s="14"/>
      <c r="AI1166" s="14">
        <v>3.4180000000000001</v>
      </c>
      <c r="AJ1166" s="14"/>
      <c r="AK1166" s="14"/>
      <c r="AL1166" s="50"/>
      <c r="AM1166" s="19">
        <v>9.2361111111111116E-2</v>
      </c>
    </row>
    <row r="1167" spans="1:63" x14ac:dyDescent="0.3">
      <c r="A1167" s="2">
        <v>14198</v>
      </c>
      <c r="B1167" s="2">
        <v>12657</v>
      </c>
      <c r="C1167" s="2">
        <v>79439</v>
      </c>
      <c r="E1167" t="s">
        <v>1046</v>
      </c>
      <c r="I1167" s="15">
        <v>0.71810799999999997</v>
      </c>
      <c r="L1167" s="15"/>
      <c r="AH1167" s="14"/>
      <c r="AI1167" s="14">
        <v>0.71810799999999997</v>
      </c>
      <c r="AJ1167" s="14"/>
      <c r="AK1167" s="14"/>
      <c r="AL1167" s="50"/>
      <c r="AM1167" s="19">
        <v>9.8611111111111108E-2</v>
      </c>
    </row>
    <row r="1168" spans="1:63" x14ac:dyDescent="0.3">
      <c r="A1168" s="2">
        <v>14201</v>
      </c>
      <c r="B1168" s="2">
        <v>12766</v>
      </c>
      <c r="C1168" s="2">
        <v>29468</v>
      </c>
      <c r="E1168" t="s">
        <v>872</v>
      </c>
      <c r="I1168" s="15">
        <v>2.0150000000000001</v>
      </c>
      <c r="L1168" s="15"/>
      <c r="AF1168" s="4"/>
      <c r="AH1168" s="14"/>
      <c r="AI1168" s="14">
        <v>2.0150000000000001</v>
      </c>
      <c r="AJ1168" s="14"/>
      <c r="AK1168" s="14"/>
      <c r="AL1168" s="50"/>
      <c r="AM1168" s="19">
        <v>0.22638888888888889</v>
      </c>
    </row>
    <row r="1169" spans="1:63" ht="12.5" x14ac:dyDescent="0.25">
      <c r="A1169" s="2">
        <v>14907</v>
      </c>
      <c r="B1169" s="2">
        <v>12812</v>
      </c>
      <c r="C1169" s="2">
        <v>21829</v>
      </c>
      <c r="E1169" t="s">
        <v>1173</v>
      </c>
      <c r="I1169" s="15">
        <v>3.41</v>
      </c>
      <c r="K1169" s="15"/>
      <c r="L1169" s="15"/>
      <c r="AH1169" s="14"/>
      <c r="AI1169" s="14">
        <v>3.41</v>
      </c>
      <c r="AJ1169" s="14"/>
      <c r="AK1169" s="14"/>
      <c r="AL1169" s="50"/>
      <c r="AM1169" s="19">
        <v>8.1250000000000003E-2</v>
      </c>
    </row>
    <row r="1170" spans="1:63" x14ac:dyDescent="0.3">
      <c r="A1170" s="2">
        <v>14939</v>
      </c>
      <c r="B1170" s="2">
        <v>9655</v>
      </c>
      <c r="C1170" s="2">
        <v>40041</v>
      </c>
      <c r="E1170" t="s">
        <v>634</v>
      </c>
      <c r="I1170" s="15">
        <v>2.0870000000000002</v>
      </c>
      <c r="L1170" s="15"/>
      <c r="AH1170" s="14"/>
      <c r="AI1170" s="14">
        <v>1.7450000000000001</v>
      </c>
      <c r="AJ1170" s="14"/>
      <c r="AK1170" s="14"/>
      <c r="AL1170" s="50"/>
      <c r="AM1170" s="19">
        <v>4.7222222222222221E-2</v>
      </c>
    </row>
    <row r="1171" spans="1:63" ht="12.5" x14ac:dyDescent="0.25">
      <c r="A1171" s="2">
        <v>15187</v>
      </c>
      <c r="B1171" s="2">
        <v>12847</v>
      </c>
      <c r="C1171" s="2">
        <v>12075</v>
      </c>
      <c r="E1171" t="s">
        <v>1177</v>
      </c>
      <c r="I1171" s="15">
        <v>4.9370000000000003</v>
      </c>
      <c r="K1171" s="15"/>
      <c r="L1171" s="15"/>
      <c r="AH1171" s="14"/>
      <c r="AI1171" s="14">
        <v>4.9370000000000003</v>
      </c>
      <c r="AJ1171" s="14"/>
      <c r="AK1171" s="14"/>
      <c r="AL1171" s="50"/>
      <c r="AM1171" s="19">
        <v>0.12222222222222223</v>
      </c>
    </row>
    <row r="1172" spans="1:63" x14ac:dyDescent="0.3">
      <c r="A1172" s="2">
        <v>15239</v>
      </c>
      <c r="B1172" s="2">
        <v>13113</v>
      </c>
      <c r="C1172" s="2">
        <v>25278</v>
      </c>
      <c r="E1172" t="s">
        <v>605</v>
      </c>
      <c r="I1172" s="15">
        <v>1.871</v>
      </c>
      <c r="L1172" s="15"/>
      <c r="AH1172" s="14"/>
      <c r="AI1172" s="14">
        <v>2.0150000000000001</v>
      </c>
      <c r="AJ1172" s="14"/>
      <c r="AK1172" s="14"/>
      <c r="AL1172" s="50"/>
      <c r="AM1172" s="19">
        <v>0.28958333333333336</v>
      </c>
    </row>
    <row r="1173" spans="1:63" x14ac:dyDescent="0.3">
      <c r="A1173" s="2">
        <v>15288</v>
      </c>
      <c r="B1173" s="4">
        <v>13139</v>
      </c>
      <c r="C1173" s="2">
        <v>20138</v>
      </c>
      <c r="E1173" t="s">
        <v>935</v>
      </c>
      <c r="I1173" s="15">
        <v>3.7130000000000001</v>
      </c>
      <c r="L1173" s="15"/>
      <c r="AH1173" s="14"/>
      <c r="AI1173" s="14">
        <v>3.7130000000000001</v>
      </c>
      <c r="AJ1173" s="14"/>
      <c r="AK1173" s="14"/>
      <c r="AL1173" s="50"/>
      <c r="AM1173" s="19">
        <v>0.12569444444444444</v>
      </c>
    </row>
    <row r="1174" spans="1:63" x14ac:dyDescent="0.3">
      <c r="A1174" s="2">
        <v>15361</v>
      </c>
      <c r="B1174" s="2">
        <v>14684</v>
      </c>
      <c r="C1174" s="2">
        <v>11953</v>
      </c>
      <c r="E1174" t="s">
        <v>1017</v>
      </c>
      <c r="I1174" s="15">
        <v>4.7859999999999996</v>
      </c>
      <c r="L1174" s="15"/>
      <c r="AH1174" s="14"/>
      <c r="AI1174" s="14">
        <v>4.7859999999999996</v>
      </c>
      <c r="AJ1174" s="14"/>
      <c r="AK1174" s="14"/>
      <c r="AL1174" s="50"/>
      <c r="AM1174" s="19">
        <v>0.10208333333333335</v>
      </c>
    </row>
    <row r="1175" spans="1:63" x14ac:dyDescent="0.3">
      <c r="A1175" s="2">
        <v>15371</v>
      </c>
      <c r="B1175" s="2">
        <v>15418</v>
      </c>
      <c r="C1175" s="2">
        <v>17066</v>
      </c>
      <c r="E1175" t="s">
        <v>1065</v>
      </c>
      <c r="I1175" s="15">
        <v>3.165</v>
      </c>
      <c r="L1175" s="15"/>
      <c r="AH1175" s="14"/>
      <c r="AI1175" s="14">
        <v>3.165</v>
      </c>
      <c r="AJ1175" s="14"/>
      <c r="AK1175" s="14"/>
      <c r="AL1175" s="50"/>
      <c r="AM1175" s="19">
        <v>0.1173611111111111</v>
      </c>
    </row>
    <row r="1176" spans="1:63" x14ac:dyDescent="0.3">
      <c r="A1176" s="2">
        <v>15418</v>
      </c>
      <c r="B1176" s="2">
        <v>13982</v>
      </c>
      <c r="C1176" s="2">
        <v>17250</v>
      </c>
      <c r="E1176" t="s">
        <v>1113</v>
      </c>
      <c r="I1176" s="15">
        <v>3.47</v>
      </c>
      <c r="L1176" s="15"/>
      <c r="AH1176" s="14"/>
      <c r="AI1176" s="14">
        <v>3.47</v>
      </c>
      <c r="AJ1176" s="14"/>
      <c r="AK1176" s="14"/>
      <c r="AL1176" s="50"/>
      <c r="AM1176" s="21">
        <v>6.1111111111111116E-2</v>
      </c>
    </row>
    <row r="1177" spans="1:63" x14ac:dyDescent="0.3">
      <c r="A1177" s="2">
        <v>15745</v>
      </c>
      <c r="B1177" s="2">
        <v>14138</v>
      </c>
      <c r="C1177" s="2">
        <v>27362</v>
      </c>
      <c r="E1177" t="s">
        <v>1149</v>
      </c>
      <c r="I1177" s="15">
        <v>2.831</v>
      </c>
      <c r="L1177" s="15"/>
      <c r="AH1177" s="14"/>
      <c r="AI1177" s="14">
        <v>2.831</v>
      </c>
      <c r="AJ1177" s="14"/>
      <c r="AK1177" s="14"/>
      <c r="AL1177" s="50"/>
      <c r="AM1177" s="19">
        <v>7.1527777777777787E-2</v>
      </c>
    </row>
    <row r="1178" spans="1:63" x14ac:dyDescent="0.3">
      <c r="A1178" s="2">
        <v>15849</v>
      </c>
      <c r="B1178" s="2">
        <v>14198</v>
      </c>
      <c r="C1178" s="2">
        <v>26671</v>
      </c>
      <c r="E1178" t="s">
        <v>1082</v>
      </c>
      <c r="I1178" s="15">
        <v>2.2999999999999998</v>
      </c>
      <c r="L1178" s="15"/>
      <c r="AF1178" s="4"/>
      <c r="AH1178" s="14"/>
      <c r="AI1178" s="14">
        <v>2.2999999999999998</v>
      </c>
      <c r="AJ1178" s="14"/>
      <c r="AK1178" s="14"/>
      <c r="AL1178" s="50"/>
      <c r="AM1178" s="19">
        <v>0.18194444444444444</v>
      </c>
    </row>
    <row r="1179" spans="1:63" x14ac:dyDescent="0.3">
      <c r="A1179" s="2">
        <v>16208</v>
      </c>
      <c r="B1179" s="2">
        <v>14201</v>
      </c>
      <c r="C1179" s="2">
        <v>4400</v>
      </c>
      <c r="E1179" t="s">
        <v>1100</v>
      </c>
      <c r="I1179" s="15">
        <v>11.2</v>
      </c>
      <c r="L1179" s="15"/>
      <c r="AH1179" s="14"/>
      <c r="AI1179" s="14">
        <v>11.2</v>
      </c>
      <c r="AJ1179" s="14"/>
      <c r="AK1179" s="14"/>
      <c r="AL1179" s="50"/>
      <c r="AM1179" s="19">
        <v>0.22569444444444445</v>
      </c>
    </row>
    <row r="1180" spans="1:63" x14ac:dyDescent="0.3">
      <c r="A1180" s="2">
        <v>16543</v>
      </c>
      <c r="B1180" s="2">
        <v>14530</v>
      </c>
      <c r="C1180" s="2">
        <v>18573</v>
      </c>
      <c r="E1180" t="s">
        <v>793</v>
      </c>
      <c r="I1180" s="15">
        <v>3.4249999999999998</v>
      </c>
      <c r="L1180" s="15"/>
      <c r="O1180" s="59"/>
      <c r="P1180" s="45"/>
      <c r="Q1180" s="45"/>
      <c r="R1180" s="45"/>
      <c r="S1180" s="45"/>
      <c r="T1180" s="59"/>
      <c r="U1180" s="59"/>
      <c r="V1180" s="59"/>
      <c r="W1180" s="59"/>
      <c r="X1180" s="59"/>
      <c r="Y1180" s="59"/>
      <c r="Z1180" s="59"/>
      <c r="AA1180" s="59"/>
      <c r="AB1180" s="59"/>
      <c r="AC1180" s="59"/>
      <c r="AD1180" s="59"/>
      <c r="AE1180" s="59"/>
      <c r="AG1180" s="1">
        <v>3.7559999999999998</v>
      </c>
      <c r="AH1180" s="14"/>
      <c r="AI1180" s="14">
        <v>3.4249999999999998</v>
      </c>
      <c r="AJ1180" s="14"/>
      <c r="AK1180" s="14"/>
      <c r="AL1180" s="50"/>
      <c r="AM1180" s="19">
        <v>0.1173611111111111</v>
      </c>
      <c r="AX1180" s="59"/>
      <c r="AY1180" s="59"/>
      <c r="AZ1180" s="59"/>
      <c r="BA1180" s="59"/>
      <c r="BB1180" s="59"/>
      <c r="BC1180" s="59"/>
      <c r="BD1180" s="59"/>
      <c r="BE1180" s="59"/>
      <c r="BF1180" s="59"/>
      <c r="BG1180" s="59"/>
      <c r="BH1180" s="59"/>
      <c r="BI1180" s="59"/>
      <c r="BJ1180" s="59"/>
      <c r="BK1180" s="59"/>
    </row>
    <row r="1181" spans="1:63" x14ac:dyDescent="0.3">
      <c r="A1181" s="2">
        <v>17112</v>
      </c>
      <c r="B1181" s="4">
        <v>14907</v>
      </c>
      <c r="C1181" s="2">
        <v>79637</v>
      </c>
      <c r="E1181" t="s">
        <v>1144</v>
      </c>
      <c r="I1181" s="15">
        <v>0.89338300000000004</v>
      </c>
      <c r="L1181" s="15"/>
      <c r="AH1181" s="14"/>
      <c r="AI1181" s="14">
        <v>0.89338300000000004</v>
      </c>
      <c r="AJ1181" s="14"/>
      <c r="AK1181" s="14"/>
      <c r="AL1181" s="50"/>
      <c r="AM1181" s="19">
        <v>6.7361111111111108E-2</v>
      </c>
    </row>
    <row r="1182" spans="1:63" x14ac:dyDescent="0.3">
      <c r="A1182" s="2">
        <v>17197</v>
      </c>
      <c r="B1182" s="2">
        <v>14219</v>
      </c>
      <c r="C1182" s="2">
        <v>26621</v>
      </c>
      <c r="E1182" t="s">
        <v>589</v>
      </c>
      <c r="I1182" s="15">
        <v>1.9430000000000001</v>
      </c>
      <c r="L1182" s="15"/>
      <c r="AH1182" s="14"/>
      <c r="AI1182" s="14">
        <v>1.905</v>
      </c>
      <c r="AJ1182" s="14"/>
      <c r="AK1182" s="14"/>
      <c r="AL1182" s="50"/>
      <c r="AM1182" s="19">
        <v>0.18541666666666667</v>
      </c>
    </row>
    <row r="1183" spans="1:63" x14ac:dyDescent="0.3">
      <c r="A1183" s="2">
        <v>17228</v>
      </c>
      <c r="B1183" s="2">
        <v>15187</v>
      </c>
      <c r="C1183" s="2">
        <v>35100</v>
      </c>
      <c r="E1183" t="s">
        <v>1163</v>
      </c>
      <c r="I1183" s="15">
        <v>2.1269999999999998</v>
      </c>
      <c r="L1183" s="15"/>
      <c r="AH1183" s="14"/>
      <c r="AI1183" s="14">
        <v>2.1269999999999998</v>
      </c>
      <c r="AJ1183" s="14"/>
      <c r="AK1183" s="14"/>
      <c r="AL1183" s="50"/>
      <c r="AM1183" s="19">
        <v>8.3333333333333329E-2</v>
      </c>
    </row>
    <row r="1184" spans="1:63" x14ac:dyDescent="0.3">
      <c r="A1184" s="2">
        <v>17442</v>
      </c>
      <c r="B1184" s="2">
        <v>15739</v>
      </c>
      <c r="C1184" s="2">
        <v>3366</v>
      </c>
      <c r="E1184" t="s">
        <v>1176</v>
      </c>
      <c r="I1184" s="2">
        <v>14.31</v>
      </c>
      <c r="AH1184" s="14"/>
      <c r="AI1184" s="14">
        <v>14.31</v>
      </c>
      <c r="AJ1184" s="14"/>
      <c r="AK1184" s="14"/>
      <c r="AL1184" s="50"/>
      <c r="AM1184" s="19">
        <v>8.9583333333333334E-2</v>
      </c>
    </row>
    <row r="1185" spans="1:63" x14ac:dyDescent="0.3">
      <c r="A1185" s="2">
        <v>17510</v>
      </c>
      <c r="B1185" s="2">
        <v>15288</v>
      </c>
      <c r="C1185" s="2">
        <v>48500</v>
      </c>
      <c r="E1185" t="s">
        <v>1055</v>
      </c>
      <c r="I1185" s="15">
        <v>1.2809999999999999</v>
      </c>
      <c r="L1185" s="15"/>
      <c r="AH1185" s="14"/>
      <c r="AI1185" s="14">
        <v>1.2809999999999999</v>
      </c>
      <c r="AJ1185" s="14"/>
      <c r="AK1185" s="14"/>
      <c r="AL1185" s="50"/>
      <c r="AM1185" s="19">
        <v>9.4444444444444442E-2</v>
      </c>
    </row>
    <row r="1186" spans="1:63" x14ac:dyDescent="0.3">
      <c r="A1186" s="2">
        <v>17525</v>
      </c>
      <c r="B1186" s="2">
        <v>15361</v>
      </c>
      <c r="C1186" s="2">
        <v>13661</v>
      </c>
      <c r="E1186" t="s">
        <v>1190</v>
      </c>
      <c r="I1186" s="15">
        <v>3.9020000000000001</v>
      </c>
      <c r="L1186" s="15"/>
      <c r="AF1186" s="4"/>
      <c r="AH1186" s="14"/>
      <c r="AI1186" s="14">
        <v>3.9020000000000001</v>
      </c>
      <c r="AJ1186" s="14"/>
      <c r="AK1186" s="14"/>
      <c r="AL1186" s="50"/>
      <c r="AM1186" s="21">
        <v>0.29166666666666669</v>
      </c>
    </row>
    <row r="1187" spans="1:63" x14ac:dyDescent="0.3">
      <c r="A1187" s="2">
        <v>17706</v>
      </c>
      <c r="B1187" s="2">
        <v>15371</v>
      </c>
      <c r="C1187" s="2">
        <v>8009</v>
      </c>
      <c r="E1187" t="s">
        <v>1098</v>
      </c>
      <c r="I1187" s="15">
        <v>9.6489999999999991</v>
      </c>
      <c r="L1187" s="15"/>
      <c r="AH1187" s="14"/>
      <c r="AI1187" s="14">
        <v>9.6489999999999991</v>
      </c>
      <c r="AJ1187" s="14"/>
      <c r="AK1187" s="14"/>
      <c r="AL1187" s="50"/>
      <c r="AM1187" s="19">
        <v>0.16319444444444445</v>
      </c>
    </row>
    <row r="1188" spans="1:63" x14ac:dyDescent="0.3">
      <c r="A1188" s="2">
        <v>17944</v>
      </c>
      <c r="B1188" s="2">
        <v>15418</v>
      </c>
      <c r="C1188" s="2">
        <v>5893</v>
      </c>
      <c r="E1188" t="s">
        <v>897</v>
      </c>
      <c r="I1188" s="15">
        <v>7.0490000000000004</v>
      </c>
      <c r="L1188" s="15"/>
      <c r="O1188" s="59"/>
      <c r="P1188" s="45"/>
      <c r="Q1188" s="45"/>
      <c r="R1188" s="45"/>
      <c r="S1188" s="45"/>
      <c r="T1188" s="59"/>
      <c r="U1188" s="59"/>
      <c r="V1188" s="59"/>
      <c r="W1188" s="59"/>
      <c r="X1188" s="59"/>
      <c r="Y1188" s="59"/>
      <c r="Z1188" s="59"/>
      <c r="AA1188" s="59"/>
      <c r="AB1188" s="59"/>
      <c r="AC1188" s="59"/>
      <c r="AD1188" s="59"/>
      <c r="AE1188" s="59"/>
      <c r="AG1188" s="1">
        <v>4.444</v>
      </c>
      <c r="AH1188" s="14"/>
      <c r="AI1188" s="14">
        <v>7.0490000000000004</v>
      </c>
      <c r="AJ1188" s="14"/>
      <c r="AK1188" s="14"/>
      <c r="AL1188" s="50"/>
      <c r="AM1188" s="19">
        <v>0.36944444444444446</v>
      </c>
      <c r="AX1188" s="59"/>
      <c r="AY1188" s="59"/>
      <c r="AZ1188" s="59"/>
      <c r="BA1188" s="59"/>
      <c r="BB1188" s="59"/>
      <c r="BC1188" s="59"/>
      <c r="BD1188" s="59"/>
      <c r="BE1188" s="59"/>
      <c r="BF1188" s="59"/>
      <c r="BG1188" s="59"/>
      <c r="BH1188" s="59"/>
      <c r="BI1188" s="59"/>
      <c r="BJ1188" s="59"/>
      <c r="BK1188" s="59"/>
    </row>
    <row r="1189" spans="1:63" x14ac:dyDescent="0.3">
      <c r="A1189" s="2">
        <v>17953</v>
      </c>
      <c r="B1189" s="2">
        <v>15745</v>
      </c>
      <c r="C1189" s="2">
        <v>35787</v>
      </c>
      <c r="E1189" t="s">
        <v>1136</v>
      </c>
      <c r="I1189" s="2">
        <v>1.84</v>
      </c>
      <c r="AF1189" s="4"/>
      <c r="AH1189" s="14"/>
      <c r="AI1189" s="14">
        <v>1.84</v>
      </c>
      <c r="AJ1189" s="14"/>
      <c r="AK1189" s="14"/>
      <c r="AL1189" s="50"/>
      <c r="AM1189" s="19">
        <v>5.2777777777777778E-2</v>
      </c>
    </row>
    <row r="1190" spans="1:63" x14ac:dyDescent="0.3">
      <c r="A1190" s="2">
        <v>18064</v>
      </c>
      <c r="B1190" s="2">
        <v>16208</v>
      </c>
      <c r="C1190" s="2">
        <v>25782</v>
      </c>
      <c r="E1190" t="s">
        <v>835</v>
      </c>
      <c r="I1190" s="15">
        <v>1.5369999999999999</v>
      </c>
      <c r="L1190" s="15"/>
      <c r="O1190" s="59"/>
      <c r="P1190" s="45"/>
      <c r="Q1190" s="45"/>
      <c r="R1190" s="45"/>
      <c r="S1190" s="45"/>
      <c r="T1190" s="59"/>
      <c r="U1190" s="59"/>
      <c r="V1190" s="59"/>
      <c r="W1190" s="59"/>
      <c r="X1190" s="59"/>
      <c r="Y1190" s="59"/>
      <c r="Z1190" s="59"/>
      <c r="AA1190" s="59"/>
      <c r="AB1190" s="59"/>
      <c r="AC1190" s="59"/>
      <c r="AD1190" s="59"/>
      <c r="AE1190" s="59"/>
      <c r="AG1190" s="1">
        <v>2.1549999999999998</v>
      </c>
      <c r="AH1190" s="14"/>
      <c r="AI1190" s="14">
        <v>1.5369999999999999</v>
      </c>
      <c r="AJ1190" s="14"/>
      <c r="AK1190" s="14"/>
      <c r="AL1190" s="50"/>
      <c r="AM1190" s="19">
        <v>0.31875000000000003</v>
      </c>
      <c r="AX1190" s="59"/>
      <c r="AY1190" s="59"/>
      <c r="AZ1190" s="59"/>
      <c r="BA1190" s="59"/>
      <c r="BB1190" s="59"/>
      <c r="BC1190" s="59"/>
      <c r="BD1190" s="59"/>
      <c r="BE1190" s="59"/>
      <c r="BF1190" s="59"/>
      <c r="BG1190" s="59"/>
      <c r="BH1190" s="59"/>
      <c r="BI1190" s="59"/>
      <c r="BJ1190" s="59"/>
      <c r="BK1190" s="59"/>
    </row>
    <row r="1191" spans="1:63" x14ac:dyDescent="0.3">
      <c r="A1191" s="2">
        <v>18312</v>
      </c>
      <c r="B1191" s="2">
        <v>16543</v>
      </c>
      <c r="C1191" s="2">
        <v>50775</v>
      </c>
      <c r="E1191" t="s">
        <v>789</v>
      </c>
      <c r="I1191" s="15">
        <v>1.0680000000000001</v>
      </c>
      <c r="L1191" s="15"/>
      <c r="AH1191" s="14"/>
      <c r="AI1191" s="14">
        <v>1.0680000000000001</v>
      </c>
      <c r="AJ1191" s="14"/>
      <c r="AK1191" s="14"/>
      <c r="AL1191" s="50"/>
      <c r="AM1191" s="19">
        <v>0.16180555555555556</v>
      </c>
    </row>
    <row r="1192" spans="1:63" x14ac:dyDescent="0.3">
      <c r="A1192" s="2">
        <v>18346</v>
      </c>
      <c r="B1192" s="2">
        <v>17112</v>
      </c>
      <c r="C1192" s="2">
        <v>71011</v>
      </c>
      <c r="E1192" t="s">
        <v>631</v>
      </c>
      <c r="I1192" s="15">
        <v>1.2130000000000001</v>
      </c>
      <c r="L1192" s="15"/>
      <c r="AH1192" s="14"/>
      <c r="AI1192" s="14">
        <v>1.02</v>
      </c>
      <c r="AJ1192" s="14"/>
      <c r="AK1192" s="14"/>
      <c r="AL1192" s="50"/>
      <c r="AM1192" s="19">
        <v>3.4722222222222224E-2</v>
      </c>
    </row>
    <row r="1193" spans="1:63" x14ac:dyDescent="0.3">
      <c r="A1193" s="2">
        <v>18479</v>
      </c>
      <c r="B1193" s="2">
        <v>20744</v>
      </c>
      <c r="C1193" s="2">
        <v>25113</v>
      </c>
      <c r="E1193" t="s">
        <v>983</v>
      </c>
      <c r="I1193" s="15">
        <v>1.302</v>
      </c>
      <c r="L1193" s="15"/>
      <c r="AH1193" s="14"/>
      <c r="AI1193" s="14">
        <v>1.302</v>
      </c>
      <c r="AJ1193" s="14"/>
      <c r="AK1193" s="14"/>
      <c r="AL1193" s="50"/>
      <c r="AM1193" s="21">
        <v>0.30486111111111108</v>
      </c>
    </row>
    <row r="1194" spans="1:63" x14ac:dyDescent="0.3">
      <c r="A1194" s="2">
        <v>18792</v>
      </c>
      <c r="B1194" s="2">
        <v>17228</v>
      </c>
      <c r="C1194" s="2">
        <v>18921</v>
      </c>
      <c r="E1194" t="s">
        <v>970</v>
      </c>
      <c r="I1194" s="15">
        <v>4.8689999999999998</v>
      </c>
      <c r="L1194" s="15"/>
      <c r="AH1194" s="14"/>
      <c r="AI1194" s="14">
        <v>4.8689999999999998</v>
      </c>
      <c r="AJ1194" s="14"/>
      <c r="AK1194" s="14"/>
      <c r="AL1194" s="50"/>
      <c r="AM1194" s="21">
        <v>7.5694444444444439E-2</v>
      </c>
    </row>
    <row r="1195" spans="1:63" x14ac:dyDescent="0.3">
      <c r="A1195" s="2">
        <v>18873</v>
      </c>
      <c r="B1195" s="2">
        <v>17442</v>
      </c>
      <c r="C1195" s="2">
        <v>27066</v>
      </c>
      <c r="E1195" t="s">
        <v>868</v>
      </c>
      <c r="I1195" s="15">
        <v>1.9610000000000001</v>
      </c>
      <c r="L1195" s="15"/>
      <c r="AH1195" s="14"/>
      <c r="AI1195" s="14">
        <v>1.9610000000000001</v>
      </c>
      <c r="AJ1195" s="14"/>
      <c r="AK1195" s="14"/>
      <c r="AL1195" s="50"/>
      <c r="AM1195" s="19">
        <v>0.1013888888888889</v>
      </c>
    </row>
    <row r="1196" spans="1:63" x14ac:dyDescent="0.3">
      <c r="A1196" s="2">
        <v>18930</v>
      </c>
      <c r="B1196" s="2">
        <v>17510</v>
      </c>
      <c r="C1196" s="2">
        <v>78052</v>
      </c>
      <c r="E1196" t="s">
        <v>827</v>
      </c>
      <c r="I1196" s="15">
        <v>0.46637099999999998</v>
      </c>
      <c r="L1196" s="15"/>
      <c r="AH1196" s="14"/>
      <c r="AI1196" s="14">
        <v>0.46637099999999998</v>
      </c>
      <c r="AJ1196" s="14"/>
      <c r="AK1196" s="14"/>
      <c r="AL1196" s="50"/>
      <c r="AM1196" s="19">
        <v>0.54583333333333328</v>
      </c>
    </row>
    <row r="1197" spans="1:63" x14ac:dyDescent="0.3">
      <c r="A1197" s="2">
        <v>20062</v>
      </c>
      <c r="B1197" s="2">
        <v>17706</v>
      </c>
      <c r="C1197" s="2">
        <v>14069</v>
      </c>
      <c r="E1197" t="s">
        <v>986</v>
      </c>
      <c r="I1197" s="2">
        <v>4.4260000000000002</v>
      </c>
      <c r="AH1197" s="14"/>
      <c r="AI1197" s="14">
        <v>4.4260000000000002</v>
      </c>
      <c r="AJ1197" s="14"/>
      <c r="AK1197" s="14"/>
      <c r="AL1197" s="50"/>
      <c r="AM1197" s="19">
        <v>0.24305555555555555</v>
      </c>
    </row>
    <row r="1198" spans="1:63" x14ac:dyDescent="0.3">
      <c r="A1198" s="2">
        <v>20211</v>
      </c>
      <c r="B1198" s="2">
        <v>17944</v>
      </c>
      <c r="C1198" s="2">
        <v>19626</v>
      </c>
      <c r="E1198" t="s">
        <v>1029</v>
      </c>
      <c r="I1198" s="15">
        <v>2.5649999999999999</v>
      </c>
      <c r="L1198" s="15"/>
      <c r="AH1198" s="14"/>
      <c r="AI1198" s="14">
        <v>2.5649999999999999</v>
      </c>
      <c r="AJ1198" s="14"/>
      <c r="AK1198" s="14"/>
      <c r="AL1198" s="50"/>
      <c r="AM1198" s="19">
        <v>0.12361111111111112</v>
      </c>
    </row>
    <row r="1199" spans="1:63" x14ac:dyDescent="0.3">
      <c r="A1199" s="2">
        <v>20271</v>
      </c>
      <c r="B1199" s="2">
        <v>17953</v>
      </c>
      <c r="C1199" s="2">
        <v>2052</v>
      </c>
      <c r="E1199" t="s">
        <v>669</v>
      </c>
      <c r="I1199" s="15">
        <v>30.34</v>
      </c>
      <c r="L1199" s="15"/>
      <c r="AH1199" s="14"/>
      <c r="AI1199" s="14">
        <v>30.34</v>
      </c>
      <c r="AJ1199" s="14"/>
      <c r="AK1199" s="14"/>
      <c r="AL1199" s="50"/>
      <c r="AM1199" s="19">
        <v>0.17708333333333334</v>
      </c>
    </row>
    <row r="1200" spans="1:63" x14ac:dyDescent="0.3">
      <c r="A1200" s="2">
        <v>20397</v>
      </c>
      <c r="B1200" s="2">
        <v>18053</v>
      </c>
      <c r="C1200" s="2">
        <v>71452</v>
      </c>
      <c r="E1200" t="s">
        <v>1075</v>
      </c>
      <c r="I1200" s="15">
        <v>0.74738400000000005</v>
      </c>
      <c r="L1200" s="15"/>
      <c r="AH1200" s="14"/>
      <c r="AI1200" s="14">
        <v>0.74738400000000005</v>
      </c>
      <c r="AJ1200" s="14"/>
      <c r="AK1200" s="14"/>
      <c r="AL1200" s="50"/>
      <c r="AM1200" s="21">
        <v>0.12986111111111112</v>
      </c>
    </row>
    <row r="1201" spans="1:63" x14ac:dyDescent="0.3">
      <c r="A1201" s="2">
        <v>20901</v>
      </c>
      <c r="B1201" s="2">
        <v>18064</v>
      </c>
      <c r="C1201" s="2">
        <v>15616</v>
      </c>
      <c r="E1201" t="s">
        <v>947</v>
      </c>
      <c r="F1201" t="s">
        <v>6</v>
      </c>
      <c r="H1201" s="2">
        <v>50</v>
      </c>
      <c r="I1201" s="15">
        <v>2.7959999999999998</v>
      </c>
      <c r="L1201" s="15"/>
      <c r="AG1201" s="1">
        <v>2.012</v>
      </c>
      <c r="AH1201" s="14"/>
      <c r="AI1201" s="14">
        <v>2.7959999999999998</v>
      </c>
      <c r="AJ1201" s="14"/>
      <c r="AK1201" s="14"/>
      <c r="AL1201" s="50"/>
      <c r="AM1201" s="19">
        <v>0.20208333333333331</v>
      </c>
    </row>
    <row r="1202" spans="1:63" x14ac:dyDescent="0.3">
      <c r="A1202" s="2">
        <v>21251</v>
      </c>
      <c r="B1202" s="2">
        <v>18312</v>
      </c>
      <c r="C1202" s="2">
        <v>69212</v>
      </c>
      <c r="E1202" t="s">
        <v>1008</v>
      </c>
      <c r="I1202" s="15">
        <v>0.64367399999999997</v>
      </c>
      <c r="L1202" s="15"/>
      <c r="AH1202" s="14"/>
      <c r="AI1202" s="14">
        <v>0.64367399999999997</v>
      </c>
      <c r="AJ1202" s="14"/>
      <c r="AK1202" s="14"/>
      <c r="AL1202" s="50"/>
      <c r="AM1202" s="19">
        <v>0.21666666666666667</v>
      </c>
    </row>
    <row r="1203" spans="1:63" x14ac:dyDescent="0.3">
      <c r="A1203" s="2">
        <v>22356</v>
      </c>
      <c r="B1203" s="2">
        <v>18479</v>
      </c>
      <c r="C1203" s="2">
        <v>60220</v>
      </c>
      <c r="E1203" t="s">
        <v>614</v>
      </c>
      <c r="I1203" s="15">
        <v>0.76245099999999999</v>
      </c>
      <c r="L1203" s="15"/>
      <c r="AH1203" s="14"/>
      <c r="AI1203" s="14">
        <v>0.83454300000000003</v>
      </c>
      <c r="AJ1203" s="14"/>
      <c r="AK1203" s="14"/>
      <c r="AL1203" s="50"/>
      <c r="AM1203" s="19">
        <v>0.17916666666666667</v>
      </c>
    </row>
    <row r="1204" spans="1:63" x14ac:dyDescent="0.3">
      <c r="A1204" s="2">
        <v>22376</v>
      </c>
      <c r="B1204" s="2">
        <v>18792</v>
      </c>
      <c r="C1204" s="2">
        <v>14353</v>
      </c>
      <c r="E1204" t="s">
        <v>1124</v>
      </c>
      <c r="I1204" s="15">
        <v>3.3420000000000001</v>
      </c>
      <c r="L1204" s="15"/>
      <c r="AH1204" s="14"/>
      <c r="AI1204" s="14">
        <v>3.3420000000000001</v>
      </c>
      <c r="AJ1204" s="14"/>
      <c r="AK1204" s="14"/>
      <c r="AL1204" s="50"/>
      <c r="AM1204" s="21">
        <v>0.1423611111111111</v>
      </c>
    </row>
    <row r="1205" spans="1:63" x14ac:dyDescent="0.3">
      <c r="A1205" s="2">
        <v>22891</v>
      </c>
      <c r="B1205" s="2">
        <v>18873</v>
      </c>
      <c r="C1205" s="2">
        <v>15316</v>
      </c>
      <c r="E1205" t="s">
        <v>850</v>
      </c>
      <c r="I1205" s="15">
        <v>3.3330000000000002</v>
      </c>
      <c r="L1205" s="15"/>
      <c r="O1205" s="1">
        <f>AG1205/AI1205-1</f>
        <v>-0.20642064206420641</v>
      </c>
      <c r="AG1205" s="1">
        <v>2.645</v>
      </c>
      <c r="AH1205" s="14"/>
      <c r="AI1205" s="14">
        <v>3.3330000000000002</v>
      </c>
      <c r="AJ1205" s="14"/>
      <c r="AK1205" s="14"/>
      <c r="AL1205" s="50"/>
      <c r="AM1205" s="19">
        <v>0.1361111111111111</v>
      </c>
    </row>
    <row r="1206" spans="1:63" x14ac:dyDescent="0.3">
      <c r="A1206" s="2">
        <v>23363</v>
      </c>
      <c r="B1206" s="2">
        <v>18930</v>
      </c>
      <c r="C1206" s="2">
        <v>72901</v>
      </c>
      <c r="E1206" t="s">
        <v>1010</v>
      </c>
      <c r="I1206" s="15">
        <v>0.82244600000000001</v>
      </c>
      <c r="L1206" s="15"/>
      <c r="AH1206" s="14"/>
      <c r="AI1206" s="14">
        <v>0.82244600000000001</v>
      </c>
      <c r="AJ1206" s="14"/>
      <c r="AK1206" s="14"/>
      <c r="AL1206" s="50"/>
      <c r="AM1206" s="19">
        <v>8.1250000000000003E-2</v>
      </c>
    </row>
    <row r="1207" spans="1:63" x14ac:dyDescent="0.3">
      <c r="A1207" s="2">
        <v>23812</v>
      </c>
      <c r="B1207" s="2">
        <v>19800</v>
      </c>
      <c r="C1207" s="2">
        <v>52889</v>
      </c>
      <c r="E1207" t="s">
        <v>582</v>
      </c>
      <c r="I1207" s="15">
        <v>1.143</v>
      </c>
      <c r="L1207" s="15"/>
      <c r="AH1207" s="14"/>
      <c r="AI1207" s="14">
        <v>0.83321299999999998</v>
      </c>
      <c r="AJ1207" s="14"/>
      <c r="AK1207" s="14"/>
      <c r="AL1207" s="50"/>
      <c r="AM1207" s="19">
        <v>0.33749999999999997</v>
      </c>
    </row>
    <row r="1208" spans="1:63" ht="12.5" x14ac:dyDescent="0.25">
      <c r="A1208" s="2">
        <v>24398</v>
      </c>
      <c r="B1208" s="2">
        <v>20062</v>
      </c>
      <c r="C1208" s="2">
        <v>12636</v>
      </c>
      <c r="E1208" t="s">
        <v>1095</v>
      </c>
      <c r="I1208" s="15">
        <v>4.9509999999999996</v>
      </c>
      <c r="K1208" s="15"/>
      <c r="L1208" s="15"/>
      <c r="AH1208" s="14"/>
      <c r="AI1208" s="14">
        <v>4.9509999999999996</v>
      </c>
      <c r="AJ1208" s="14"/>
      <c r="AK1208" s="14"/>
      <c r="AL1208" s="50"/>
      <c r="AM1208" s="19">
        <v>0.17569444444444446</v>
      </c>
    </row>
    <row r="1209" spans="1:63" x14ac:dyDescent="0.3">
      <c r="A1209" s="2">
        <v>25334</v>
      </c>
      <c r="B1209" s="2">
        <v>20211</v>
      </c>
      <c r="C1209" s="2">
        <v>45197</v>
      </c>
      <c r="E1209" t="s">
        <v>610</v>
      </c>
      <c r="I1209" s="15">
        <v>1.218</v>
      </c>
      <c r="L1209" s="15"/>
      <c r="AH1209" s="14"/>
      <c r="AI1209" s="14">
        <v>1.23</v>
      </c>
      <c r="AJ1209" s="14"/>
      <c r="AK1209" s="14"/>
      <c r="AL1209" s="50"/>
      <c r="AM1209" s="19">
        <v>0.47638888888888892</v>
      </c>
    </row>
    <row r="1210" spans="1:63" x14ac:dyDescent="0.3">
      <c r="A1210" s="2">
        <v>26083</v>
      </c>
      <c r="B1210" s="2">
        <v>20397</v>
      </c>
      <c r="C1210" s="2">
        <v>19557</v>
      </c>
      <c r="E1210" t="s">
        <v>1115</v>
      </c>
      <c r="I1210" s="15">
        <v>3.0289999999999999</v>
      </c>
      <c r="L1210" s="15"/>
      <c r="O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  <c r="AD1210" s="58"/>
      <c r="AE1210" s="58"/>
      <c r="AG1210" s="1">
        <v>2.4910000000000001</v>
      </c>
      <c r="AH1210" s="14"/>
      <c r="AI1210" s="14">
        <v>3.0289999999999999</v>
      </c>
      <c r="AJ1210" s="14"/>
      <c r="AK1210" s="14"/>
      <c r="AL1210" s="50"/>
      <c r="AM1210" s="21">
        <v>0.11458333333333333</v>
      </c>
      <c r="AX1210" s="58"/>
      <c r="AY1210" s="58"/>
      <c r="AZ1210" s="58"/>
      <c r="BA1210" s="58"/>
      <c r="BB1210" s="58"/>
      <c r="BC1210" s="58"/>
      <c r="BD1210" s="58"/>
      <c r="BE1210" s="58"/>
      <c r="BF1210" s="58"/>
      <c r="BG1210" s="58"/>
      <c r="BH1210" s="58"/>
      <c r="BI1210" s="58"/>
      <c r="BJ1210" s="58"/>
      <c r="BK1210" s="58"/>
    </row>
    <row r="1211" spans="1:63" x14ac:dyDescent="0.3">
      <c r="A1211" s="2">
        <v>26211</v>
      </c>
      <c r="B1211" s="2">
        <v>20901</v>
      </c>
      <c r="C1211" s="2">
        <v>47275</v>
      </c>
      <c r="E1211" t="s">
        <v>1211</v>
      </c>
      <c r="I1211" s="14">
        <v>1.371</v>
      </c>
      <c r="O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  <c r="AD1211" s="58"/>
      <c r="AE1211" s="58"/>
      <c r="AG1211" s="1">
        <v>1.3260000000000001</v>
      </c>
      <c r="AH1211" s="14"/>
      <c r="AI1211" s="14">
        <v>1.371</v>
      </c>
      <c r="AJ1211" s="14"/>
      <c r="AK1211" s="14"/>
      <c r="AL1211" s="50"/>
      <c r="AM1211" s="19">
        <v>0.12361111111111112</v>
      </c>
      <c r="AX1211" s="58"/>
      <c r="AY1211" s="58"/>
      <c r="AZ1211" s="58"/>
      <c r="BA1211" s="58"/>
      <c r="BB1211" s="58"/>
      <c r="BC1211" s="58"/>
      <c r="BD1211" s="58"/>
      <c r="BE1211" s="58"/>
      <c r="BF1211" s="58"/>
      <c r="BG1211" s="58"/>
      <c r="BH1211" s="58"/>
      <c r="BI1211" s="58"/>
      <c r="BJ1211" s="58"/>
      <c r="BK1211" s="58"/>
    </row>
    <row r="1212" spans="1:63" x14ac:dyDescent="0.3">
      <c r="A1212" s="2">
        <v>26323</v>
      </c>
      <c r="B1212" s="2">
        <v>21251</v>
      </c>
      <c r="C1212" s="2">
        <v>46851</v>
      </c>
      <c r="E1212" t="s">
        <v>994</v>
      </c>
      <c r="I1212" s="15">
        <v>0.93803700000000001</v>
      </c>
      <c r="L1212" s="15"/>
      <c r="O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  <c r="AD1212" s="58"/>
      <c r="AE1212" s="58"/>
      <c r="AG1212" s="1">
        <v>1.151</v>
      </c>
      <c r="AH1212" s="14"/>
      <c r="AI1212" s="14">
        <v>0.93803700000000001</v>
      </c>
      <c r="AJ1212" s="14"/>
      <c r="AK1212" s="14"/>
      <c r="AL1212" s="50"/>
      <c r="AM1212" s="19">
        <v>0.23333333333333331</v>
      </c>
      <c r="AX1212" s="58"/>
      <c r="AY1212" s="58"/>
      <c r="AZ1212" s="58"/>
      <c r="BA1212" s="58"/>
      <c r="BB1212" s="58"/>
      <c r="BC1212" s="58"/>
      <c r="BD1212" s="58"/>
      <c r="BE1212" s="58"/>
      <c r="BF1212" s="58"/>
      <c r="BG1212" s="58"/>
      <c r="BH1212" s="58"/>
      <c r="BI1212" s="58"/>
      <c r="BJ1212" s="58"/>
      <c r="BK1212" s="58"/>
    </row>
    <row r="1213" spans="1:63" x14ac:dyDescent="0.3">
      <c r="A1213" s="2">
        <v>26693</v>
      </c>
      <c r="B1213" s="2">
        <v>21998</v>
      </c>
      <c r="C1213" s="2">
        <v>24558</v>
      </c>
      <c r="E1213" t="s">
        <v>1127</v>
      </c>
      <c r="I1213" s="15">
        <v>2.6469999999999998</v>
      </c>
      <c r="L1213" s="15"/>
      <c r="AH1213" s="14"/>
      <c r="AI1213" s="14">
        <v>2.6469999999999998</v>
      </c>
      <c r="AJ1213" s="14"/>
      <c r="AK1213" s="14"/>
      <c r="AL1213" s="50"/>
      <c r="AM1213" s="21">
        <v>0.15763888888888888</v>
      </c>
    </row>
    <row r="1214" spans="1:63" x14ac:dyDescent="0.3">
      <c r="B1214" s="2">
        <v>26530</v>
      </c>
      <c r="C1214" s="2">
        <v>6841</v>
      </c>
      <c r="E1214" t="s">
        <v>1247</v>
      </c>
      <c r="I1214" s="15"/>
      <c r="L1214" s="15"/>
      <c r="AG1214" s="1">
        <v>7.9820000000000002</v>
      </c>
      <c r="AH1214" s="14"/>
      <c r="AI1214" s="14"/>
      <c r="AJ1214" s="14"/>
      <c r="AK1214" s="14"/>
      <c r="AL1214" s="50"/>
      <c r="AM1214" s="21"/>
    </row>
    <row r="1215" spans="1:63" x14ac:dyDescent="0.3">
      <c r="A1215" s="2">
        <v>26826</v>
      </c>
      <c r="B1215" s="2">
        <v>22376</v>
      </c>
      <c r="C1215" s="2">
        <v>42719</v>
      </c>
      <c r="E1215" t="s">
        <v>826</v>
      </c>
      <c r="I1215" s="15">
        <v>1.3540000000000001</v>
      </c>
      <c r="L1215" s="15"/>
      <c r="O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  <c r="AD1215" s="58"/>
      <c r="AE1215" s="58"/>
      <c r="AG1215" s="14">
        <v>0.77548799999999996</v>
      </c>
      <c r="AH1215" s="14"/>
      <c r="AI1215" s="14">
        <v>1.3540000000000001</v>
      </c>
      <c r="AJ1215" s="14"/>
      <c r="AK1215" s="14"/>
      <c r="AL1215" s="50"/>
      <c r="AM1215" s="19">
        <v>0.1277777777777778</v>
      </c>
      <c r="AX1215" s="58"/>
      <c r="AY1215" s="58"/>
      <c r="AZ1215" s="58"/>
      <c r="BA1215" s="58"/>
      <c r="BB1215" s="58"/>
      <c r="BC1215" s="58"/>
      <c r="BD1215" s="58"/>
      <c r="BE1215" s="58"/>
      <c r="BF1215" s="58"/>
      <c r="BG1215" s="58"/>
      <c r="BH1215" s="58"/>
      <c r="BI1215" s="58"/>
      <c r="BJ1215" s="58"/>
      <c r="BK1215" s="58"/>
    </row>
    <row r="1216" spans="1:63" x14ac:dyDescent="0.3">
      <c r="B1216" s="2">
        <v>22891</v>
      </c>
      <c r="E1216" t="s">
        <v>1248</v>
      </c>
      <c r="I1216" s="15"/>
      <c r="L1216" s="15"/>
      <c r="O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  <c r="AD1216" s="58"/>
      <c r="AE1216" s="58"/>
      <c r="AG1216" s="14"/>
      <c r="AH1216" s="14"/>
      <c r="AI1216" s="14">
        <v>14.21</v>
      </c>
      <c r="AJ1216" s="14"/>
      <c r="AK1216" s="14"/>
      <c r="AL1216" s="50"/>
      <c r="AM1216" s="19"/>
      <c r="AX1216" s="58"/>
      <c r="AY1216" s="58"/>
      <c r="AZ1216" s="58"/>
      <c r="BA1216" s="58"/>
      <c r="BB1216" s="58"/>
      <c r="BC1216" s="58"/>
      <c r="BD1216" s="58"/>
      <c r="BE1216" s="58"/>
      <c r="BF1216" s="58"/>
      <c r="BG1216" s="58"/>
      <c r="BH1216" s="58"/>
      <c r="BI1216" s="58"/>
      <c r="BJ1216" s="58"/>
      <c r="BK1216" s="58"/>
    </row>
    <row r="1217" spans="1:39" x14ac:dyDescent="0.3">
      <c r="A1217" s="2">
        <v>27230</v>
      </c>
      <c r="B1217" s="2">
        <v>23363</v>
      </c>
      <c r="C1217" s="2">
        <v>22448</v>
      </c>
      <c r="E1217" t="s">
        <v>1116</v>
      </c>
      <c r="I1217" s="15">
        <v>2.8860000000000001</v>
      </c>
      <c r="L1217" s="15"/>
      <c r="AH1217" s="14"/>
      <c r="AI1217" s="14">
        <v>2.8860000000000001</v>
      </c>
      <c r="AJ1217" s="14"/>
      <c r="AK1217" s="14"/>
      <c r="AL1217" s="50"/>
      <c r="AM1217" s="21">
        <v>0.2076388888888889</v>
      </c>
    </row>
    <row r="1218" spans="1:39" x14ac:dyDescent="0.3">
      <c r="A1218" s="2">
        <v>30008</v>
      </c>
      <c r="B1218" s="2">
        <v>27488</v>
      </c>
      <c r="C1218" s="2">
        <v>46587</v>
      </c>
      <c r="D1218" s="2">
        <v>64015</v>
      </c>
      <c r="E1218" t="s">
        <v>1038</v>
      </c>
      <c r="I1218" s="15">
        <v>0.93698099999999995</v>
      </c>
      <c r="L1218" s="15"/>
      <c r="P1218" s="14">
        <v>1.054</v>
      </c>
      <c r="AH1218" s="14"/>
      <c r="AI1218" s="14">
        <v>0.93698099999999995</v>
      </c>
      <c r="AJ1218" s="14"/>
      <c r="AK1218" s="14"/>
      <c r="AL1218" s="50"/>
      <c r="AM1218" s="19">
        <v>6.458333333333334E-2</v>
      </c>
    </row>
    <row r="1219" spans="1:39" x14ac:dyDescent="0.3">
      <c r="A1219" s="2">
        <v>16353</v>
      </c>
      <c r="B1219" s="2">
        <v>34646</v>
      </c>
      <c r="C1219" s="2">
        <v>11139</v>
      </c>
      <c r="D1219" s="2">
        <v>20101</v>
      </c>
      <c r="E1219" t="s">
        <v>1018</v>
      </c>
      <c r="I1219" s="15">
        <v>2.1360000000000001</v>
      </c>
      <c r="L1219" s="15"/>
      <c r="P1219" s="14">
        <v>3.21</v>
      </c>
      <c r="AH1219" s="14"/>
      <c r="AI1219" s="14">
        <v>2.1360000000000001</v>
      </c>
      <c r="AJ1219" s="14"/>
      <c r="AK1219" s="14"/>
      <c r="AL1219" s="50"/>
      <c r="AM1219" s="19">
        <v>0.20069444444444443</v>
      </c>
    </row>
    <row r="1220" spans="1:39" x14ac:dyDescent="0.3">
      <c r="A1220" s="2">
        <v>99753</v>
      </c>
      <c r="B1220" s="2">
        <v>77760</v>
      </c>
      <c r="C1220" s="2">
        <v>15352</v>
      </c>
      <c r="D1220" s="2">
        <v>9193</v>
      </c>
      <c r="E1220" t="s">
        <v>966</v>
      </c>
      <c r="I1220" s="15">
        <v>5.883</v>
      </c>
      <c r="L1220" s="15"/>
      <c r="P1220" s="14">
        <v>3.0339999999999998</v>
      </c>
      <c r="AH1220" s="14"/>
      <c r="AI1220" s="14">
        <v>5.883</v>
      </c>
      <c r="AJ1220" s="14"/>
      <c r="AK1220" s="14"/>
      <c r="AL1220" s="50"/>
      <c r="AM1220" s="19">
        <v>0.31319444444444444</v>
      </c>
    </row>
    <row r="1221" spans="1:39" x14ac:dyDescent="0.3">
      <c r="A1221" s="2">
        <v>7614</v>
      </c>
      <c r="B1221" s="2">
        <v>35088</v>
      </c>
      <c r="C1221" s="2">
        <v>15601</v>
      </c>
      <c r="D1221" s="2">
        <v>50232</v>
      </c>
      <c r="E1221" t="s">
        <v>837</v>
      </c>
      <c r="I1221" s="15">
        <v>1.163</v>
      </c>
      <c r="L1221" s="15"/>
      <c r="P1221" s="14">
        <v>3.13</v>
      </c>
      <c r="AF1221" s="14"/>
      <c r="AG1221" s="14"/>
      <c r="AH1221" s="14"/>
      <c r="AI1221" s="14">
        <v>1.163</v>
      </c>
      <c r="AJ1221" s="14"/>
      <c r="AK1221" s="14"/>
      <c r="AL1221" s="50"/>
      <c r="AM1221" s="19">
        <v>0.1388888888888889</v>
      </c>
    </row>
    <row r="1222" spans="1:39" x14ac:dyDescent="0.3">
      <c r="A1222" s="2">
        <v>11537</v>
      </c>
      <c r="B1222" s="2">
        <v>26826</v>
      </c>
      <c r="C1222" s="2">
        <v>17513</v>
      </c>
      <c r="D1222" s="2">
        <v>53655</v>
      </c>
      <c r="E1222" t="s">
        <v>861</v>
      </c>
      <c r="I1222" s="15">
        <v>1.0249999999999999</v>
      </c>
      <c r="L1222" s="15"/>
      <c r="P1222" s="14">
        <v>3.0619999999999998</v>
      </c>
      <c r="AH1222" s="14"/>
      <c r="AI1222" s="14">
        <v>1.0249999999999999</v>
      </c>
      <c r="AJ1222" s="14"/>
      <c r="AK1222" s="14"/>
      <c r="AL1222" s="50"/>
      <c r="AM1222" s="21">
        <v>0.11805555555555557</v>
      </c>
    </row>
    <row r="1223" spans="1:39" x14ac:dyDescent="0.3">
      <c r="A1223" s="2">
        <v>38733</v>
      </c>
      <c r="B1223" s="2">
        <v>38293</v>
      </c>
      <c r="C1223" s="2">
        <v>20806</v>
      </c>
      <c r="D1223" s="2">
        <v>17261</v>
      </c>
      <c r="E1223" t="s">
        <v>1024</v>
      </c>
      <c r="I1223" s="15">
        <v>2.7839999999999998</v>
      </c>
      <c r="L1223" s="15"/>
      <c r="P1223" s="14">
        <v>2.06</v>
      </c>
      <c r="AF1223" s="14"/>
      <c r="AG1223" s="14"/>
      <c r="AH1223" s="14"/>
      <c r="AI1223" s="14">
        <v>2.7839999999999998</v>
      </c>
      <c r="AJ1223" s="14"/>
      <c r="AK1223" s="14"/>
      <c r="AL1223" s="50"/>
      <c r="AM1223" s="19">
        <v>0.17152777777777775</v>
      </c>
    </row>
    <row r="1224" spans="1:39" x14ac:dyDescent="0.3">
      <c r="A1224" s="2">
        <v>30966</v>
      </c>
      <c r="B1224" s="2">
        <v>28879</v>
      </c>
      <c r="C1224" s="2">
        <v>25184</v>
      </c>
      <c r="D1224" s="2">
        <v>28464</v>
      </c>
      <c r="E1224" t="s">
        <v>870</v>
      </c>
      <c r="I1224" s="15">
        <v>1.9510000000000001</v>
      </c>
      <c r="L1224" s="15"/>
      <c r="P1224" s="14">
        <v>2.2000000000000002</v>
      </c>
      <c r="AH1224" s="14"/>
      <c r="AI1224" s="14">
        <v>1.9510000000000001</v>
      </c>
      <c r="AJ1224" s="14"/>
      <c r="AK1224" s="14"/>
      <c r="AL1224" s="50"/>
      <c r="AM1224" s="19">
        <v>0.14652777777777778</v>
      </c>
    </row>
    <row r="1225" spans="1:39" x14ac:dyDescent="0.3">
      <c r="A1225" s="2">
        <v>51108</v>
      </c>
      <c r="B1225" s="2">
        <v>36761</v>
      </c>
      <c r="C1225" s="2">
        <v>29445</v>
      </c>
      <c r="D1225" s="2">
        <v>24646</v>
      </c>
      <c r="E1225" t="s">
        <v>1145</v>
      </c>
      <c r="I1225" s="15">
        <v>3.6629999999999998</v>
      </c>
      <c r="L1225" s="15"/>
      <c r="P1225" s="14">
        <v>2.6070000000000002</v>
      </c>
      <c r="AF1225" s="14"/>
      <c r="AG1225" s="14"/>
      <c r="AH1225" s="14"/>
      <c r="AI1225" s="14">
        <v>3.6629999999999998</v>
      </c>
      <c r="AJ1225" s="14"/>
      <c r="AK1225" s="14"/>
      <c r="AL1225" s="50"/>
      <c r="AM1225" s="19">
        <v>0.15</v>
      </c>
    </row>
    <row r="1226" spans="1:39" x14ac:dyDescent="0.3">
      <c r="A1226" s="2">
        <v>23350</v>
      </c>
      <c r="B1226" s="2">
        <v>40124</v>
      </c>
      <c r="C1226" s="2">
        <v>34037</v>
      </c>
      <c r="D1226" s="2">
        <v>37519</v>
      </c>
      <c r="E1226" t="s">
        <v>1035</v>
      </c>
      <c r="H1226" s="2">
        <v>0</v>
      </c>
      <c r="I1226" s="15">
        <v>1.4039999999999999</v>
      </c>
      <c r="L1226" s="15"/>
      <c r="P1226" s="14">
        <v>1.373</v>
      </c>
      <c r="AF1226" s="14"/>
      <c r="AG1226" s="14"/>
      <c r="AH1226" s="14"/>
      <c r="AI1226" s="14">
        <v>1.4039999999999999</v>
      </c>
      <c r="AJ1226" s="14"/>
      <c r="AK1226" s="14"/>
      <c r="AL1226" s="50"/>
      <c r="AM1226" s="19">
        <v>0.27013888888888887</v>
      </c>
    </row>
    <row r="1227" spans="1:39" x14ac:dyDescent="0.3">
      <c r="A1227" s="2">
        <v>24513</v>
      </c>
      <c r="B1227" s="2">
        <v>73985</v>
      </c>
      <c r="C1227" s="2">
        <v>35150</v>
      </c>
      <c r="D1227" s="2">
        <v>61616</v>
      </c>
      <c r="E1227" t="s">
        <v>1084</v>
      </c>
      <c r="I1227" s="15">
        <v>1.0389999999999999</v>
      </c>
      <c r="L1227" s="15"/>
      <c r="P1227" s="14">
        <v>1.653</v>
      </c>
      <c r="AF1227" s="14"/>
      <c r="AG1227" s="14"/>
      <c r="AH1227" s="14"/>
      <c r="AI1227" s="14">
        <v>1.0389999999999999</v>
      </c>
      <c r="AJ1227" s="14"/>
      <c r="AK1227" s="14"/>
      <c r="AL1227" s="50"/>
      <c r="AM1227" s="19">
        <v>0.13125000000000001</v>
      </c>
    </row>
    <row r="1228" spans="1:39" x14ac:dyDescent="0.3">
      <c r="A1228" s="2">
        <v>12868</v>
      </c>
      <c r="B1228" s="2">
        <v>41697</v>
      </c>
      <c r="C1228" s="2">
        <v>35520</v>
      </c>
      <c r="D1228" s="2">
        <v>69247</v>
      </c>
      <c r="E1228" t="s">
        <v>1036</v>
      </c>
      <c r="H1228" s="2">
        <v>100000</v>
      </c>
      <c r="I1228" s="15">
        <v>0.939438</v>
      </c>
      <c r="L1228" s="15"/>
      <c r="P1228" s="14">
        <v>1.528</v>
      </c>
      <c r="AF1228" s="14"/>
      <c r="AG1228" s="14"/>
      <c r="AH1228" s="14"/>
      <c r="AI1228" s="14">
        <v>0.939438</v>
      </c>
      <c r="AJ1228" s="14"/>
      <c r="AK1228" s="14"/>
      <c r="AL1228" s="50"/>
      <c r="AM1228" s="19">
        <v>6.0416666666666667E-2</v>
      </c>
    </row>
    <row r="1229" spans="1:39" x14ac:dyDescent="0.3">
      <c r="A1229" s="2">
        <v>28606</v>
      </c>
      <c r="B1229" s="2">
        <v>47038</v>
      </c>
      <c r="C1229" s="2">
        <v>37067</v>
      </c>
      <c r="D1229" s="2">
        <v>56427</v>
      </c>
      <c r="E1229" t="s">
        <v>1040</v>
      </c>
      <c r="H1229" s="2" t="s">
        <v>1533</v>
      </c>
      <c r="I1229" s="15">
        <v>0.88661800000000002</v>
      </c>
      <c r="L1229" s="15"/>
      <c r="P1229" s="14">
        <v>1.202</v>
      </c>
      <c r="AF1229" s="14"/>
      <c r="AG1229" s="14"/>
      <c r="AH1229" s="14"/>
      <c r="AI1229" s="14">
        <v>0.88661800000000002</v>
      </c>
      <c r="AJ1229" s="14"/>
      <c r="AK1229" s="14"/>
      <c r="AL1229" s="50"/>
      <c r="AM1229" s="19">
        <v>0.11388888888888889</v>
      </c>
    </row>
    <row r="1230" spans="1:39" x14ac:dyDescent="0.3">
      <c r="A1230" s="2">
        <v>304259</v>
      </c>
      <c r="B1230" s="2" t="s">
        <v>772</v>
      </c>
      <c r="C1230" s="2">
        <v>39037</v>
      </c>
      <c r="D1230" s="2" t="s">
        <v>772</v>
      </c>
      <c r="E1230" t="s">
        <v>1527</v>
      </c>
      <c r="I1230" s="14">
        <v>1.1950000000000001</v>
      </c>
      <c r="L1230" s="15"/>
      <c r="P1230" s="14">
        <v>1.1950000000000001</v>
      </c>
      <c r="AH1230" s="14"/>
      <c r="AI1230" s="14"/>
      <c r="AJ1230" s="14"/>
      <c r="AK1230" s="14"/>
      <c r="AL1230" s="50"/>
      <c r="AM1230" s="19"/>
    </row>
    <row r="1231" spans="1:39" x14ac:dyDescent="0.3">
      <c r="A1231" s="2">
        <v>18431</v>
      </c>
      <c r="B1231" s="2">
        <v>56722</v>
      </c>
      <c r="C1231" s="2">
        <v>39966</v>
      </c>
      <c r="D1231" s="2">
        <v>179853</v>
      </c>
      <c r="E1231" t="s">
        <v>856</v>
      </c>
      <c r="I1231" s="15">
        <v>0.18307699999999999</v>
      </c>
      <c r="L1231" s="15"/>
      <c r="P1231" s="14">
        <v>0.96015200000000001</v>
      </c>
      <c r="AF1231" s="14"/>
      <c r="AG1231" s="14"/>
      <c r="AH1231" s="14"/>
      <c r="AI1231" s="14">
        <v>0.18307699999999999</v>
      </c>
      <c r="AJ1231" s="14"/>
      <c r="AK1231" s="14"/>
      <c r="AL1231" s="50"/>
      <c r="AM1231" s="19">
        <v>0.33124999999999999</v>
      </c>
    </row>
    <row r="1232" spans="1:39" x14ac:dyDescent="0.3">
      <c r="A1232" s="2">
        <v>42751</v>
      </c>
      <c r="B1232" s="2">
        <v>28538</v>
      </c>
      <c r="C1232" s="2">
        <v>42296</v>
      </c>
      <c r="D1232" s="2">
        <v>25651</v>
      </c>
      <c r="E1232" t="s">
        <v>1102</v>
      </c>
      <c r="I1232" s="15">
        <v>2.145</v>
      </c>
      <c r="L1232" s="15"/>
      <c r="P1232" s="14">
        <v>0.83133599999999996</v>
      </c>
      <c r="AH1232" s="14"/>
      <c r="AI1232" s="14">
        <v>2.145</v>
      </c>
      <c r="AJ1232" s="14"/>
      <c r="AK1232" s="14"/>
      <c r="AL1232" s="50"/>
      <c r="AM1232" s="19">
        <v>0.17083333333333331</v>
      </c>
    </row>
    <row r="1233" spans="1:63" x14ac:dyDescent="0.3">
      <c r="A1233" s="2">
        <v>29865</v>
      </c>
      <c r="B1233" s="2">
        <v>30286</v>
      </c>
      <c r="C1233" s="2">
        <v>42430</v>
      </c>
      <c r="D1233" s="2">
        <v>42126</v>
      </c>
      <c r="E1233" t="s">
        <v>1009</v>
      </c>
      <c r="H1233" s="2" t="s">
        <v>1532</v>
      </c>
      <c r="I1233" s="15">
        <v>1.387</v>
      </c>
      <c r="L1233" s="15"/>
      <c r="P1233" s="14">
        <v>1.073</v>
      </c>
      <c r="AH1233" s="14"/>
      <c r="AI1233" s="14">
        <v>1.387</v>
      </c>
      <c r="AJ1233" s="14"/>
      <c r="AK1233" s="14"/>
      <c r="AL1233" s="50"/>
      <c r="AM1233" s="19">
        <v>0.1173611111111111</v>
      </c>
    </row>
    <row r="1234" spans="1:63" x14ac:dyDescent="0.3">
      <c r="A1234" s="2">
        <v>36957</v>
      </c>
      <c r="B1234" s="2">
        <v>48750</v>
      </c>
      <c r="C1234" s="2">
        <v>43012</v>
      </c>
      <c r="D1234" s="2">
        <v>56854</v>
      </c>
      <c r="E1234" t="s">
        <v>1016</v>
      </c>
      <c r="I1234" s="15">
        <v>0.75953000000000004</v>
      </c>
      <c r="L1234" s="15"/>
      <c r="P1234" s="14">
        <v>1.103</v>
      </c>
      <c r="AF1234" s="14"/>
      <c r="AG1234" s="14"/>
      <c r="AH1234" s="14"/>
      <c r="AI1234" s="14">
        <v>0.75953000000000004</v>
      </c>
      <c r="AJ1234" s="14"/>
      <c r="AK1234" s="14"/>
      <c r="AL1234" s="50"/>
      <c r="AM1234" s="19">
        <v>0.14305555555555557</v>
      </c>
    </row>
    <row r="1235" spans="1:63" x14ac:dyDescent="0.3">
      <c r="A1235" s="2">
        <v>86729</v>
      </c>
      <c r="B1235" s="2">
        <v>80600</v>
      </c>
      <c r="C1235" s="2">
        <v>44580</v>
      </c>
      <c r="D1235" s="2">
        <v>57632</v>
      </c>
      <c r="E1235" t="s">
        <v>1111</v>
      </c>
      <c r="I1235" s="15">
        <v>0.75457799999999997</v>
      </c>
      <c r="L1235" s="15"/>
      <c r="P1235" s="14">
        <v>0.99699000000000004</v>
      </c>
      <c r="AF1235" s="14"/>
      <c r="AG1235" s="14"/>
      <c r="AH1235" s="14"/>
      <c r="AI1235" s="14">
        <v>0.75457799999999997</v>
      </c>
      <c r="AJ1235" s="14"/>
      <c r="AK1235" s="14"/>
      <c r="AL1235" s="50"/>
      <c r="AM1235" s="21">
        <v>0.1763888888888889</v>
      </c>
    </row>
    <row r="1236" spans="1:63" x14ac:dyDescent="0.3">
      <c r="A1236" s="2">
        <v>22991</v>
      </c>
      <c r="B1236" s="2">
        <v>61697</v>
      </c>
      <c r="C1236" s="2">
        <v>44767</v>
      </c>
      <c r="D1236" s="2">
        <v>121842</v>
      </c>
      <c r="E1236" t="s">
        <v>779</v>
      </c>
      <c r="H1236" s="2" t="s">
        <v>1531</v>
      </c>
      <c r="I1236" s="15">
        <v>0.39068900000000001</v>
      </c>
      <c r="L1236" s="15"/>
      <c r="O1236" s="58"/>
      <c r="P1236" s="14">
        <v>1.109</v>
      </c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  <c r="AD1236" s="58"/>
      <c r="AE1236" s="58"/>
      <c r="AF1236" s="14"/>
      <c r="AG1236" s="14">
        <v>0.42218</v>
      </c>
      <c r="AH1236" s="14"/>
      <c r="AI1236" s="14">
        <v>0.39068900000000001</v>
      </c>
      <c r="AJ1236" s="14"/>
      <c r="AK1236" s="14"/>
      <c r="AL1236" s="50"/>
      <c r="AM1236" s="19">
        <v>0.1173611111111111</v>
      </c>
      <c r="AX1236" s="58"/>
      <c r="AY1236" s="58"/>
      <c r="AZ1236" s="58"/>
      <c r="BA1236" s="58"/>
      <c r="BB1236" s="58"/>
      <c r="BC1236" s="58"/>
      <c r="BD1236" s="58"/>
      <c r="BE1236" s="58"/>
      <c r="BF1236" s="58"/>
      <c r="BG1236" s="58"/>
      <c r="BH1236" s="58"/>
      <c r="BI1236" s="58"/>
      <c r="BJ1236" s="58"/>
      <c r="BK1236" s="58"/>
    </row>
    <row r="1237" spans="1:63" x14ac:dyDescent="0.3">
      <c r="A1237" s="2">
        <v>25275</v>
      </c>
      <c r="B1237" s="2">
        <v>28394</v>
      </c>
      <c r="C1237" s="2">
        <v>44930</v>
      </c>
      <c r="D1237" s="2">
        <v>51991</v>
      </c>
      <c r="E1237" t="s">
        <v>1180</v>
      </c>
      <c r="I1237" s="15">
        <v>1.3440000000000001</v>
      </c>
      <c r="L1237" s="15"/>
      <c r="P1237" s="14">
        <v>1.3280000000000001</v>
      </c>
      <c r="AH1237" s="14"/>
      <c r="AI1237" s="14">
        <v>1.3440000000000001</v>
      </c>
      <c r="AJ1237" s="14"/>
      <c r="AK1237" s="14"/>
      <c r="AL1237" s="50"/>
      <c r="AM1237" s="21">
        <v>7.9861111111111105E-2</v>
      </c>
    </row>
    <row r="1238" spans="1:63" x14ac:dyDescent="0.3">
      <c r="A1238" s="2">
        <v>21046</v>
      </c>
      <c r="B1238" s="2">
        <v>38983</v>
      </c>
      <c r="C1238" s="2">
        <v>45341</v>
      </c>
      <c r="D1238" s="2">
        <v>41040</v>
      </c>
      <c r="E1238" t="s">
        <v>1106</v>
      </c>
      <c r="I1238" s="15">
        <v>0.95647000000000004</v>
      </c>
      <c r="L1238" s="15"/>
      <c r="P1238" s="14">
        <v>0.64963300000000002</v>
      </c>
      <c r="AF1238" s="14"/>
      <c r="AG1238" s="14"/>
      <c r="AH1238" s="14"/>
      <c r="AI1238" s="14">
        <v>0.95647000000000004</v>
      </c>
      <c r="AJ1238" s="14"/>
      <c r="AK1238" s="14"/>
      <c r="AL1238" s="50"/>
      <c r="AM1238" s="19">
        <v>0.25</v>
      </c>
    </row>
    <row r="1239" spans="1:63" x14ac:dyDescent="0.3">
      <c r="A1239" s="2">
        <v>31415</v>
      </c>
      <c r="B1239" s="2">
        <v>63508</v>
      </c>
      <c r="C1239" s="2">
        <v>45533</v>
      </c>
      <c r="D1239" s="2">
        <v>91364</v>
      </c>
      <c r="E1239" t="s">
        <v>1033</v>
      </c>
      <c r="H1239" s="2" t="s">
        <v>1530</v>
      </c>
      <c r="I1239" s="15">
        <v>0.54338699999999995</v>
      </c>
      <c r="L1239" s="15"/>
      <c r="P1239" s="14">
        <v>1.157</v>
      </c>
      <c r="AF1239" s="14"/>
      <c r="AG1239" s="14"/>
      <c r="AH1239" s="14"/>
      <c r="AI1239" s="14">
        <v>0.54338699999999995</v>
      </c>
      <c r="AJ1239" s="14"/>
      <c r="AK1239" s="14"/>
      <c r="AL1239" s="50"/>
      <c r="AM1239" s="19">
        <v>0.1388888888888889</v>
      </c>
    </row>
    <row r="1240" spans="1:63" x14ac:dyDescent="0.3">
      <c r="A1240" s="2">
        <v>29526</v>
      </c>
      <c r="B1240" s="2">
        <v>32363</v>
      </c>
      <c r="C1240" s="2">
        <v>46863</v>
      </c>
      <c r="D1240" s="2">
        <v>60520</v>
      </c>
      <c r="E1240" t="s">
        <v>1044</v>
      </c>
      <c r="H1240" s="2" t="s">
        <v>1529</v>
      </c>
      <c r="I1240" s="15">
        <v>0.98753800000000003</v>
      </c>
      <c r="L1240" s="15"/>
      <c r="P1240" s="14">
        <v>0.966943</v>
      </c>
      <c r="AH1240" s="14"/>
      <c r="AI1240" s="14">
        <v>0.98753800000000003</v>
      </c>
      <c r="AJ1240" s="14"/>
      <c r="AK1240" s="14"/>
      <c r="AL1240" s="50"/>
      <c r="AM1240" s="19">
        <v>6.9444444444444434E-2</v>
      </c>
    </row>
    <row r="1241" spans="1:63" x14ac:dyDescent="0.3">
      <c r="A1241" s="2">
        <v>36706</v>
      </c>
      <c r="B1241" s="2">
        <v>42170</v>
      </c>
      <c r="C1241" s="2">
        <v>48953</v>
      </c>
      <c r="D1241" s="2">
        <v>43294</v>
      </c>
      <c r="E1241" t="s">
        <v>1147</v>
      </c>
      <c r="I1241" s="15">
        <v>1.6140000000000001</v>
      </c>
      <c r="L1241" s="15"/>
      <c r="P1241" s="14">
        <v>1.1930000000000001</v>
      </c>
      <c r="AF1241" s="14"/>
      <c r="AG1241" s="14"/>
      <c r="AH1241" s="14"/>
      <c r="AI1241" s="14">
        <v>1.6140000000000001</v>
      </c>
      <c r="AJ1241" s="14"/>
      <c r="AK1241" s="14"/>
      <c r="AL1241" s="50"/>
      <c r="AM1241" s="19">
        <v>0.1763888888888889</v>
      </c>
    </row>
    <row r="1242" spans="1:63" x14ac:dyDescent="0.3">
      <c r="A1242" s="2">
        <v>92327</v>
      </c>
      <c r="B1242" s="2">
        <v>76768</v>
      </c>
      <c r="C1242" s="2">
        <v>50622</v>
      </c>
      <c r="D1242" s="2">
        <v>53218</v>
      </c>
      <c r="E1242" t="s">
        <v>1032</v>
      </c>
      <c r="H1242" s="2" t="s">
        <v>1528</v>
      </c>
      <c r="I1242" s="15">
        <v>0.80736399999999997</v>
      </c>
      <c r="L1242" s="15"/>
      <c r="P1242" s="14">
        <v>0.84666799999999998</v>
      </c>
      <c r="AF1242" s="14"/>
      <c r="AG1242" s="14"/>
      <c r="AH1242" s="14"/>
      <c r="AI1242" s="14">
        <v>0.80736399999999997</v>
      </c>
      <c r="AJ1242" s="14"/>
      <c r="AK1242" s="14"/>
      <c r="AL1242" s="50"/>
      <c r="AM1242" s="19">
        <v>0.17777777777777778</v>
      </c>
    </row>
    <row r="1243" spans="1:63" x14ac:dyDescent="0.3">
      <c r="A1243" s="2">
        <v>34867</v>
      </c>
      <c r="B1243" s="2">
        <v>28125</v>
      </c>
      <c r="C1243" s="2">
        <v>53817</v>
      </c>
      <c r="D1243" s="2">
        <v>43863</v>
      </c>
      <c r="E1243" t="s">
        <v>964</v>
      </c>
      <c r="I1243" s="15">
        <v>1.8029999999999999</v>
      </c>
      <c r="L1243" s="15"/>
      <c r="P1243" s="14">
        <v>1.2909999999999999</v>
      </c>
      <c r="AH1243" s="14"/>
      <c r="AI1243" s="14">
        <v>1.8029999999999999</v>
      </c>
      <c r="AJ1243" s="14"/>
      <c r="AK1243" s="14"/>
      <c r="AL1243" s="50"/>
      <c r="AM1243" s="19">
        <v>0.13958333333333334</v>
      </c>
    </row>
    <row r="1244" spans="1:63" x14ac:dyDescent="0.3">
      <c r="A1244" s="2">
        <v>43550</v>
      </c>
      <c r="B1244" s="2">
        <v>25457</v>
      </c>
      <c r="C1244" s="2">
        <v>54819</v>
      </c>
      <c r="D1244" s="2" t="s">
        <v>772</v>
      </c>
      <c r="E1244" t="s">
        <v>1249</v>
      </c>
      <c r="H1244" s="2">
        <v>1000</v>
      </c>
      <c r="I1244" s="15"/>
      <c r="L1244" s="15"/>
      <c r="O1244" s="58"/>
      <c r="P1244" s="14">
        <v>0.83074599999999998</v>
      </c>
      <c r="T1244" s="58"/>
      <c r="U1244" s="58"/>
      <c r="V1244" s="58"/>
      <c r="W1244" s="58"/>
      <c r="X1244" s="58"/>
      <c r="Y1244" s="58"/>
      <c r="Z1244" s="58"/>
      <c r="AA1244" s="58"/>
      <c r="AB1244" s="58"/>
      <c r="AC1244" s="58"/>
      <c r="AD1244" s="58"/>
      <c r="AE1244" s="58"/>
      <c r="AG1244" s="1">
        <v>2.9209999999999998</v>
      </c>
      <c r="AH1244" s="14"/>
      <c r="AI1244" s="14">
        <v>0</v>
      </c>
      <c r="AJ1244" s="14"/>
      <c r="AK1244" s="14"/>
      <c r="AL1244" s="50"/>
      <c r="AM1244" s="19"/>
      <c r="AX1244" s="58"/>
      <c r="AY1244" s="58"/>
      <c r="AZ1244" s="58"/>
      <c r="BA1244" s="58"/>
      <c r="BB1244" s="58"/>
      <c r="BC1244" s="58"/>
      <c r="BD1244" s="58"/>
      <c r="BE1244" s="58"/>
      <c r="BF1244" s="58"/>
      <c r="BG1244" s="58"/>
      <c r="BH1244" s="58"/>
      <c r="BI1244" s="58"/>
      <c r="BJ1244" s="58"/>
      <c r="BK1244" s="58"/>
    </row>
    <row r="1245" spans="1:63" x14ac:dyDescent="0.3">
      <c r="A1245" s="2">
        <v>40623</v>
      </c>
      <c r="B1245" s="2">
        <v>35336</v>
      </c>
      <c r="C1245" s="2">
        <v>55872</v>
      </c>
      <c r="D1245" s="2">
        <v>84797</v>
      </c>
      <c r="E1245" t="s">
        <v>816</v>
      </c>
      <c r="H1245" s="2">
        <v>2000</v>
      </c>
      <c r="I1245" s="15">
        <v>0.75510100000000002</v>
      </c>
      <c r="L1245" s="15"/>
      <c r="O1245" s="58"/>
      <c r="P1245" s="14">
        <v>0.70862800000000004</v>
      </c>
      <c r="T1245" s="58"/>
      <c r="U1245" s="58"/>
      <c r="V1245" s="58"/>
      <c r="W1245" s="58"/>
      <c r="X1245" s="58"/>
      <c r="Y1245" s="58"/>
      <c r="Z1245" s="58"/>
      <c r="AA1245" s="58"/>
      <c r="AB1245" s="58"/>
      <c r="AC1245" s="58"/>
      <c r="AD1245" s="58"/>
      <c r="AE1245" s="58"/>
      <c r="AF1245" s="14"/>
      <c r="AG1245" s="14">
        <v>0.59559099999999998</v>
      </c>
      <c r="AH1245" s="14"/>
      <c r="AI1245" s="14">
        <v>0.75510100000000002</v>
      </c>
      <c r="AJ1245" s="14"/>
      <c r="AK1245" s="14"/>
      <c r="AL1245" s="50"/>
      <c r="AM1245" s="19">
        <v>7.3611111111111113E-2</v>
      </c>
      <c r="AX1245" s="58"/>
      <c r="AY1245" s="58"/>
      <c r="AZ1245" s="58"/>
      <c r="BA1245" s="58"/>
      <c r="BB1245" s="58"/>
      <c r="BC1245" s="58"/>
      <c r="BD1245" s="58"/>
      <c r="BE1245" s="58"/>
      <c r="BF1245" s="58"/>
      <c r="BG1245" s="58"/>
      <c r="BH1245" s="58"/>
      <c r="BI1245" s="58"/>
      <c r="BJ1245" s="58"/>
      <c r="BK1245" s="58"/>
    </row>
    <row r="1246" spans="1:63" x14ac:dyDescent="0.3">
      <c r="A1246" s="2">
        <v>45437</v>
      </c>
      <c r="B1246" s="2">
        <v>37666</v>
      </c>
      <c r="C1246" s="2">
        <v>56089</v>
      </c>
      <c r="D1246" s="2">
        <v>61277</v>
      </c>
      <c r="E1246" t="s">
        <v>858</v>
      </c>
      <c r="H1246" s="2">
        <v>1000</v>
      </c>
      <c r="I1246" s="15">
        <v>0.80319799999999997</v>
      </c>
      <c r="L1246" s="15"/>
      <c r="O1246" s="58"/>
      <c r="P1246" s="14">
        <v>0.65766100000000005</v>
      </c>
      <c r="T1246" s="58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58"/>
      <c r="AE1246" s="58"/>
      <c r="AF1246" s="14"/>
      <c r="AG1246" s="14">
        <v>0.5605</v>
      </c>
      <c r="AH1246" s="14"/>
      <c r="AI1246" s="14">
        <v>0.80319799999999997</v>
      </c>
      <c r="AJ1246" s="14"/>
      <c r="AK1246" s="14"/>
      <c r="AL1246" s="50"/>
      <c r="AM1246" s="19">
        <v>0.17986111111111111</v>
      </c>
      <c r="AX1246" s="58"/>
      <c r="AY1246" s="58"/>
      <c r="AZ1246" s="58"/>
      <c r="BA1246" s="58"/>
      <c r="BB1246" s="58"/>
      <c r="BC1246" s="58"/>
      <c r="BD1246" s="58"/>
      <c r="BE1246" s="58"/>
      <c r="BF1246" s="58"/>
      <c r="BG1246" s="58"/>
      <c r="BH1246" s="58"/>
      <c r="BI1246" s="58"/>
      <c r="BJ1246" s="58"/>
      <c r="BK1246" s="58"/>
    </row>
    <row r="1247" spans="1:63" s="113" customFormat="1" x14ac:dyDescent="0.3">
      <c r="A1247" s="112">
        <v>13082</v>
      </c>
      <c r="B1247" s="112" t="s">
        <v>772</v>
      </c>
      <c r="C1247" s="112">
        <v>58163</v>
      </c>
      <c r="D1247" s="112" t="s">
        <v>772</v>
      </c>
      <c r="E1247" s="113" t="s">
        <v>613</v>
      </c>
      <c r="H1247" s="112"/>
      <c r="I1247" s="117">
        <v>0.70934799999999998</v>
      </c>
      <c r="J1247" s="114"/>
      <c r="K1247" s="115"/>
      <c r="L1247" s="114"/>
      <c r="M1247" s="116"/>
      <c r="N1247" s="116"/>
      <c r="O1247" s="116"/>
      <c r="P1247" s="117">
        <v>0.70934799999999998</v>
      </c>
      <c r="Q1247" s="117"/>
      <c r="R1247" s="117"/>
      <c r="S1247" s="117"/>
      <c r="T1247" s="116"/>
      <c r="U1247" s="116"/>
      <c r="V1247" s="116"/>
      <c r="W1247" s="116"/>
      <c r="X1247" s="116"/>
      <c r="Y1247" s="116"/>
      <c r="Z1247" s="116"/>
      <c r="AA1247" s="116"/>
      <c r="AB1247" s="116"/>
      <c r="AC1247" s="116"/>
      <c r="AD1247" s="116"/>
      <c r="AE1247" s="116"/>
      <c r="AF1247" s="117"/>
      <c r="AG1247" s="117"/>
      <c r="AH1247" s="117"/>
      <c r="AI1247" s="117"/>
      <c r="AJ1247" s="117"/>
      <c r="AK1247" s="117"/>
      <c r="AL1247" s="118"/>
      <c r="AM1247" s="119"/>
      <c r="AX1247" s="116"/>
      <c r="AY1247" s="116"/>
      <c r="AZ1247" s="116"/>
      <c r="BA1247" s="116"/>
      <c r="BB1247" s="116"/>
      <c r="BC1247" s="116"/>
      <c r="BD1247" s="116"/>
      <c r="BE1247" s="116"/>
      <c r="BF1247" s="116"/>
      <c r="BG1247" s="116"/>
      <c r="BH1247" s="116"/>
      <c r="BI1247" s="116"/>
      <c r="BJ1247" s="116"/>
      <c r="BK1247" s="116"/>
    </row>
    <row r="1248" spans="1:63" x14ac:dyDescent="0.3">
      <c r="A1248" s="2">
        <v>97483</v>
      </c>
      <c r="B1248" s="2">
        <v>80167</v>
      </c>
      <c r="C1248" s="2">
        <v>58717</v>
      </c>
      <c r="D1248" s="2">
        <v>85799</v>
      </c>
      <c r="E1248" t="s">
        <v>997</v>
      </c>
      <c r="I1248" s="15">
        <v>0.83872800000000003</v>
      </c>
      <c r="L1248" s="15"/>
      <c r="P1248" s="14">
        <v>0.98565899999999995</v>
      </c>
      <c r="AF1248" s="14"/>
      <c r="AG1248" s="14"/>
      <c r="AH1248" s="14"/>
      <c r="AI1248" s="14">
        <v>0.83872800000000003</v>
      </c>
      <c r="AJ1248" s="14"/>
      <c r="AK1248" s="14"/>
      <c r="AL1248" s="50"/>
      <c r="AM1248" s="19">
        <v>5.2083333333333336E-2</v>
      </c>
    </row>
    <row r="1249" spans="1:63" x14ac:dyDescent="0.3">
      <c r="A1249" s="2">
        <v>91214</v>
      </c>
      <c r="B1249" s="2">
        <v>57277</v>
      </c>
      <c r="C1249" s="2">
        <v>60522</v>
      </c>
      <c r="D1249" s="2">
        <v>40671</v>
      </c>
      <c r="E1249" t="s">
        <v>960</v>
      </c>
      <c r="I1249" s="15">
        <v>0.88869299999999996</v>
      </c>
      <c r="L1249" s="15"/>
      <c r="P1249" s="14">
        <v>0.53266999999999998</v>
      </c>
      <c r="AF1249" s="14"/>
      <c r="AG1249" s="14"/>
      <c r="AH1249" s="14"/>
      <c r="AI1249" s="14">
        <v>0.88869299999999996</v>
      </c>
      <c r="AJ1249" s="14"/>
      <c r="AK1249" s="14"/>
      <c r="AL1249" s="50"/>
      <c r="AM1249" s="19">
        <v>0.19930555555555554</v>
      </c>
    </row>
    <row r="1250" spans="1:63" x14ac:dyDescent="0.3">
      <c r="A1250" s="2">
        <v>77129</v>
      </c>
      <c r="B1250" s="2">
        <v>25984</v>
      </c>
      <c r="C1250" s="2">
        <v>62599</v>
      </c>
      <c r="D1250" s="2">
        <v>24090</v>
      </c>
      <c r="E1250" t="s">
        <v>807</v>
      </c>
      <c r="I1250" s="15">
        <v>2.9129999999999998</v>
      </c>
      <c r="L1250" s="15"/>
      <c r="O1250" s="58"/>
      <c r="P1250" s="14">
        <v>0.68540000000000001</v>
      </c>
      <c r="T1250" s="58"/>
      <c r="U1250" s="58"/>
      <c r="V1250" s="58"/>
      <c r="W1250" s="58"/>
      <c r="X1250" s="58"/>
      <c r="Y1250" s="58"/>
      <c r="Z1250" s="58"/>
      <c r="AA1250" s="58"/>
      <c r="AB1250" s="58"/>
      <c r="AC1250" s="58"/>
      <c r="AD1250" s="58"/>
      <c r="AE1250" s="58"/>
      <c r="AF1250" s="14"/>
      <c r="AG1250" s="14">
        <v>1.9079999999999999</v>
      </c>
      <c r="AH1250" s="14"/>
      <c r="AI1250" s="14">
        <v>2.9129999999999998</v>
      </c>
      <c r="AJ1250" s="14"/>
      <c r="AK1250" s="14"/>
      <c r="AL1250" s="50"/>
      <c r="AM1250" s="19">
        <v>8.1944444444444445E-2</v>
      </c>
      <c r="AX1250" s="58"/>
      <c r="AY1250" s="58"/>
      <c r="AZ1250" s="58"/>
      <c r="BA1250" s="58"/>
      <c r="BB1250" s="58"/>
      <c r="BC1250" s="58"/>
      <c r="BD1250" s="58"/>
      <c r="BE1250" s="58"/>
      <c r="BF1250" s="58"/>
      <c r="BG1250" s="58"/>
      <c r="BH1250" s="58"/>
      <c r="BI1250" s="58"/>
      <c r="BJ1250" s="58"/>
      <c r="BK1250" s="58"/>
    </row>
    <row r="1251" spans="1:63" x14ac:dyDescent="0.3">
      <c r="A1251" s="2">
        <v>72562</v>
      </c>
      <c r="B1251" s="2">
        <v>34025</v>
      </c>
      <c r="C1251" s="2">
        <v>70096</v>
      </c>
      <c r="D1251" s="2">
        <v>44526</v>
      </c>
      <c r="E1251" t="s">
        <v>1089</v>
      </c>
      <c r="I1251" s="15">
        <v>1.7010000000000001</v>
      </c>
      <c r="L1251" s="15"/>
      <c r="P1251" s="14">
        <v>0.81814699999999996</v>
      </c>
      <c r="AH1251" s="14"/>
      <c r="AI1251" s="14">
        <v>1.7010000000000001</v>
      </c>
      <c r="AJ1251" s="14"/>
      <c r="AK1251" s="14"/>
      <c r="AL1251" s="50"/>
      <c r="AM1251" s="21">
        <v>4.5833333333333337E-2</v>
      </c>
    </row>
    <row r="1252" spans="1:63" x14ac:dyDescent="0.3">
      <c r="A1252" s="2">
        <v>26291</v>
      </c>
      <c r="B1252" s="2">
        <v>32082</v>
      </c>
      <c r="C1252" s="2">
        <v>74870</v>
      </c>
      <c r="D1252" s="2">
        <v>81464</v>
      </c>
      <c r="E1252" t="s">
        <v>1011</v>
      </c>
      <c r="I1252" s="15">
        <v>0.72070299999999998</v>
      </c>
      <c r="L1252" s="15"/>
      <c r="P1252" s="14">
        <v>0.61924299999999999</v>
      </c>
      <c r="AH1252" s="14"/>
      <c r="AI1252" s="14">
        <v>0.72070299999999998</v>
      </c>
      <c r="AJ1252" s="14"/>
      <c r="AK1252" s="14"/>
      <c r="AL1252" s="50"/>
      <c r="AM1252" s="19">
        <v>0.11041666666666666</v>
      </c>
    </row>
    <row r="1253" spans="1:63" x14ac:dyDescent="0.3">
      <c r="A1253" s="2">
        <v>146828</v>
      </c>
      <c r="B1253" s="2">
        <v>72506</v>
      </c>
      <c r="C1253" s="2">
        <v>80347</v>
      </c>
      <c r="D1253" s="2">
        <v>80107</v>
      </c>
      <c r="E1253" t="s">
        <v>911</v>
      </c>
      <c r="I1253" s="15">
        <v>8.0106999999999998E-2</v>
      </c>
      <c r="L1253" s="15"/>
      <c r="O1253" s="58"/>
      <c r="P1253" s="14">
        <v>0.50256900000000004</v>
      </c>
      <c r="T1253" s="58"/>
      <c r="U1253" s="58"/>
      <c r="V1253" s="58"/>
      <c r="W1253" s="58"/>
      <c r="X1253" s="58"/>
      <c r="Y1253" s="58"/>
      <c r="Z1253" s="58"/>
      <c r="AA1253" s="58"/>
      <c r="AB1253" s="58"/>
      <c r="AC1253" s="58"/>
      <c r="AD1253" s="58"/>
      <c r="AE1253" s="58"/>
      <c r="AF1253" s="14"/>
      <c r="AG1253" s="14">
        <v>0.453461</v>
      </c>
      <c r="AH1253" s="14"/>
      <c r="AI1253" s="14">
        <v>8.0106999999999998E-2</v>
      </c>
      <c r="AJ1253" s="14"/>
      <c r="AK1253" s="14"/>
      <c r="AL1253" s="50"/>
      <c r="AM1253" s="19">
        <v>0.14722222222222223</v>
      </c>
      <c r="AX1253" s="58"/>
      <c r="AY1253" s="58"/>
      <c r="AZ1253" s="58"/>
      <c r="BA1253" s="58"/>
      <c r="BB1253" s="58"/>
      <c r="BC1253" s="58"/>
      <c r="BD1253" s="58"/>
      <c r="BE1253" s="58"/>
      <c r="BF1253" s="58"/>
      <c r="BG1253" s="58"/>
      <c r="BH1253" s="58"/>
      <c r="BI1253" s="58"/>
      <c r="BJ1253" s="58"/>
      <c r="BK1253" s="58"/>
    </row>
    <row r="1254" spans="1:63" ht="12.5" x14ac:dyDescent="0.25">
      <c r="A1254" s="2">
        <v>92903</v>
      </c>
      <c r="B1254" s="2">
        <v>87014</v>
      </c>
      <c r="C1254" s="2">
        <v>81565</v>
      </c>
      <c r="D1254" s="2">
        <v>69720</v>
      </c>
      <c r="E1254" t="s">
        <v>1056</v>
      </c>
      <c r="I1254" s="15">
        <v>0.87467099999999998</v>
      </c>
      <c r="K1254" s="15"/>
      <c r="L1254" s="15"/>
      <c r="P1254" s="14">
        <v>0.63717900000000005</v>
      </c>
      <c r="AF1254" s="14"/>
      <c r="AG1254" s="14"/>
      <c r="AH1254" s="14"/>
      <c r="AI1254" s="14">
        <v>0.87467099999999998</v>
      </c>
      <c r="AJ1254" s="14"/>
      <c r="AK1254" s="14"/>
      <c r="AL1254" s="50"/>
      <c r="AM1254" s="19">
        <v>6.6666666666666666E-2</v>
      </c>
    </row>
    <row r="1255" spans="1:63" x14ac:dyDescent="0.3">
      <c r="A1255" s="2">
        <v>42490</v>
      </c>
      <c r="B1255" s="2">
        <v>52176</v>
      </c>
      <c r="C1255" s="2">
        <v>86926</v>
      </c>
      <c r="D1255" s="2">
        <v>127697</v>
      </c>
      <c r="E1255" t="s">
        <v>788</v>
      </c>
      <c r="H1255" s="2">
        <v>18000</v>
      </c>
      <c r="I1255" s="15">
        <v>0.38327699999999998</v>
      </c>
      <c r="L1255" s="15"/>
      <c r="P1255" s="14">
        <v>0.51489099999999999</v>
      </c>
      <c r="AF1255" s="14"/>
      <c r="AG1255" s="14">
        <v>0.33562700000000001</v>
      </c>
      <c r="AH1255" s="14"/>
      <c r="AI1255" s="14">
        <v>0.38327699999999998</v>
      </c>
      <c r="AJ1255" s="14"/>
      <c r="AK1255" s="14"/>
      <c r="AL1255" s="50"/>
      <c r="AM1255" s="19">
        <v>0.11875000000000001</v>
      </c>
    </row>
    <row r="1256" spans="1:63" x14ac:dyDescent="0.3">
      <c r="A1256" s="2">
        <v>130643</v>
      </c>
      <c r="B1256" s="2">
        <v>35137</v>
      </c>
      <c r="C1256" s="2">
        <v>88781</v>
      </c>
      <c r="D1256" s="2">
        <v>71605</v>
      </c>
      <c r="E1256" t="s">
        <v>936</v>
      </c>
      <c r="I1256" s="15">
        <v>0.80907300000000004</v>
      </c>
      <c r="L1256" s="15"/>
      <c r="O1256" s="58"/>
      <c r="P1256" s="14">
        <v>0.55212600000000001</v>
      </c>
      <c r="T1256" s="58"/>
      <c r="U1256" s="58"/>
      <c r="V1256" s="58"/>
      <c r="W1256" s="58"/>
      <c r="X1256" s="58"/>
      <c r="Y1256" s="58"/>
      <c r="Z1256" s="58"/>
      <c r="AA1256" s="58"/>
      <c r="AB1256" s="58"/>
      <c r="AC1256" s="58"/>
      <c r="AD1256" s="58"/>
      <c r="AE1256" s="58"/>
      <c r="AF1256" s="14"/>
      <c r="AG1256" s="14">
        <v>0.46458500000000003</v>
      </c>
      <c r="AH1256" s="14"/>
      <c r="AI1256" s="14">
        <v>0.80907300000000004</v>
      </c>
      <c r="AJ1256" s="14"/>
      <c r="AK1256" s="14"/>
      <c r="AL1256" s="50"/>
      <c r="AM1256" s="19">
        <v>0.12291666666666667</v>
      </c>
      <c r="AX1256" s="58"/>
      <c r="AY1256" s="58"/>
      <c r="AZ1256" s="58"/>
      <c r="BA1256" s="58"/>
      <c r="BB1256" s="58"/>
      <c r="BC1256" s="58"/>
      <c r="BD1256" s="58"/>
      <c r="BE1256" s="58"/>
      <c r="BF1256" s="58"/>
      <c r="BG1256" s="58"/>
      <c r="BH1256" s="58"/>
      <c r="BI1256" s="58"/>
      <c r="BJ1256" s="58"/>
      <c r="BK1256" s="58"/>
    </row>
    <row r="1257" spans="1:63" s="113" customFormat="1" x14ac:dyDescent="0.3">
      <c r="A1257" s="112">
        <v>38766</v>
      </c>
      <c r="B1257" s="112">
        <v>58426</v>
      </c>
      <c r="C1257" s="112">
        <v>93050</v>
      </c>
      <c r="D1257" s="112">
        <v>107141</v>
      </c>
      <c r="E1257" s="113" t="s">
        <v>996</v>
      </c>
      <c r="H1257" s="112"/>
      <c r="I1257" s="114">
        <v>0.72270199999999996</v>
      </c>
      <c r="J1257" s="114"/>
      <c r="K1257" s="115"/>
      <c r="L1257" s="114"/>
      <c r="M1257" s="116"/>
      <c r="N1257" s="116"/>
      <c r="O1257" s="116"/>
      <c r="P1257" s="117">
        <v>0.689886</v>
      </c>
      <c r="Q1257" s="117"/>
      <c r="R1257" s="117"/>
      <c r="S1257" s="117"/>
      <c r="T1257" s="116"/>
      <c r="U1257" s="116"/>
      <c r="V1257" s="116"/>
      <c r="W1257" s="116"/>
      <c r="X1257" s="116"/>
      <c r="Y1257" s="116"/>
      <c r="Z1257" s="116"/>
      <c r="AA1257" s="116"/>
      <c r="AB1257" s="116"/>
      <c r="AC1257" s="116"/>
      <c r="AD1257" s="116"/>
      <c r="AE1257" s="116"/>
      <c r="AF1257" s="117"/>
      <c r="AG1257" s="117"/>
      <c r="AH1257" s="117"/>
      <c r="AI1257" s="117">
        <v>0.72270199999999996</v>
      </c>
      <c r="AJ1257" s="117"/>
      <c r="AK1257" s="117"/>
      <c r="AL1257" s="118"/>
      <c r="AM1257" s="119">
        <v>6.6666666666666666E-2</v>
      </c>
      <c r="AX1257" s="116"/>
      <c r="AY1257" s="116"/>
      <c r="AZ1257" s="116"/>
      <c r="BA1257" s="116"/>
      <c r="BB1257" s="116"/>
      <c r="BC1257" s="116"/>
      <c r="BD1257" s="116"/>
      <c r="BE1257" s="116"/>
      <c r="BF1257" s="116"/>
      <c r="BG1257" s="116"/>
      <c r="BH1257" s="116"/>
      <c r="BI1257" s="116"/>
      <c r="BJ1257" s="116"/>
      <c r="BK1257" s="116"/>
    </row>
    <row r="1258" spans="1:63" x14ac:dyDescent="0.3">
      <c r="A1258" s="2">
        <v>61711</v>
      </c>
      <c r="B1258" s="2">
        <v>59465</v>
      </c>
      <c r="C1258" s="2">
        <v>96271</v>
      </c>
      <c r="D1258" s="2">
        <v>106245</v>
      </c>
      <c r="E1258" t="s">
        <v>962</v>
      </c>
      <c r="I1258" s="15">
        <v>0.57583700000000004</v>
      </c>
      <c r="L1258" s="15"/>
      <c r="P1258" s="14">
        <v>0.55473799999999995</v>
      </c>
      <c r="AF1258" s="14"/>
      <c r="AG1258" s="14"/>
      <c r="AH1258" s="14"/>
      <c r="AI1258" s="14">
        <v>0.57583700000000004</v>
      </c>
      <c r="AJ1258" s="14"/>
      <c r="AK1258" s="14"/>
      <c r="AL1258" s="50"/>
      <c r="AM1258" s="19">
        <v>0.12430555555555556</v>
      </c>
    </row>
    <row r="1259" spans="1:63" x14ac:dyDescent="0.3">
      <c r="A1259" s="2">
        <v>117216</v>
      </c>
      <c r="B1259" s="2">
        <v>32200</v>
      </c>
      <c r="C1259" s="2">
        <v>99185</v>
      </c>
      <c r="D1259" s="2">
        <v>32089</v>
      </c>
      <c r="E1259" t="s">
        <v>971</v>
      </c>
      <c r="I1259" s="15">
        <v>2.7610000000000001</v>
      </c>
      <c r="L1259" s="15"/>
      <c r="P1259" s="14">
        <v>0.59353599999999995</v>
      </c>
      <c r="AH1259" s="14"/>
      <c r="AI1259" s="14">
        <v>2.7610000000000001</v>
      </c>
      <c r="AJ1259" s="14"/>
      <c r="AK1259" s="14"/>
      <c r="AL1259" s="50"/>
      <c r="AM1259" s="21">
        <v>5.6250000000000001E-2</v>
      </c>
    </row>
    <row r="1260" spans="1:63" x14ac:dyDescent="0.3">
      <c r="A1260" s="2">
        <v>30335</v>
      </c>
      <c r="B1260" s="2">
        <v>28394</v>
      </c>
      <c r="C1260" s="2">
        <v>100260</v>
      </c>
      <c r="D1260" s="2">
        <v>96734</v>
      </c>
      <c r="E1260" t="s">
        <v>990</v>
      </c>
      <c r="I1260" s="15">
        <v>0.46610499999999999</v>
      </c>
      <c r="L1260" s="15"/>
      <c r="P1260" s="14">
        <v>0.380911</v>
      </c>
      <c r="AH1260" s="14"/>
      <c r="AI1260" s="14">
        <v>0.46610499999999999</v>
      </c>
      <c r="AJ1260" s="14"/>
      <c r="AK1260" s="14"/>
      <c r="AL1260" s="50"/>
      <c r="AM1260" s="21">
        <v>0.16041666666666668</v>
      </c>
    </row>
    <row r="1261" spans="1:63" x14ac:dyDescent="0.3">
      <c r="A1261" s="2">
        <v>91553</v>
      </c>
      <c r="B1261" s="2">
        <v>48972</v>
      </c>
      <c r="C1261" s="2">
        <v>100994</v>
      </c>
      <c r="D1261" s="2">
        <v>108759</v>
      </c>
      <c r="E1261" t="s">
        <v>912</v>
      </c>
      <c r="I1261" s="15">
        <v>0.522698</v>
      </c>
      <c r="L1261" s="15"/>
      <c r="P1261" s="14">
        <v>0.354406</v>
      </c>
      <c r="AF1261" s="14"/>
      <c r="AG1261" s="14"/>
      <c r="AH1261" s="14"/>
      <c r="AI1261" s="14">
        <v>0.522698</v>
      </c>
      <c r="AJ1261" s="14"/>
      <c r="AK1261" s="14"/>
      <c r="AL1261" s="50"/>
      <c r="AM1261" s="19">
        <v>0.17500000000000002</v>
      </c>
    </row>
    <row r="1262" spans="1:63" x14ac:dyDescent="0.3">
      <c r="A1262" s="2">
        <v>314186</v>
      </c>
      <c r="B1262" s="2">
        <v>87024</v>
      </c>
      <c r="C1262" s="2">
        <v>103476</v>
      </c>
      <c r="D1262" s="2">
        <v>79737</v>
      </c>
      <c r="E1262" t="s">
        <v>929</v>
      </c>
      <c r="I1262" s="15">
        <v>0.32195000000000001</v>
      </c>
      <c r="L1262" s="15"/>
      <c r="P1262" s="14">
        <v>0.25049700000000003</v>
      </c>
      <c r="AF1262" s="14"/>
      <c r="AG1262" s="14"/>
      <c r="AH1262" s="14"/>
      <c r="AI1262" s="14">
        <v>0.32195000000000001</v>
      </c>
      <c r="AJ1262" s="14"/>
      <c r="AK1262" s="14"/>
      <c r="AL1262" s="50"/>
      <c r="AM1262" s="19">
        <v>0.26874999999999999</v>
      </c>
    </row>
    <row r="1263" spans="1:63" x14ac:dyDescent="0.3">
      <c r="A1263" s="2">
        <v>48466</v>
      </c>
      <c r="B1263" s="2">
        <v>37029</v>
      </c>
      <c r="C1263" s="2">
        <v>107616</v>
      </c>
      <c r="D1263" s="2">
        <v>109343</v>
      </c>
      <c r="E1263" t="s">
        <v>784</v>
      </c>
      <c r="H1263" s="2" t="s">
        <v>1526</v>
      </c>
      <c r="I1263" s="15">
        <v>0.49878899999999998</v>
      </c>
      <c r="L1263" s="15"/>
      <c r="P1263" s="14">
        <v>0.45130399999999998</v>
      </c>
      <c r="AF1263" s="14"/>
      <c r="AG1263" s="14"/>
      <c r="AH1263" s="14"/>
      <c r="AI1263" s="14">
        <v>0.49878899999999998</v>
      </c>
      <c r="AJ1263" s="14"/>
      <c r="AK1263" s="14"/>
      <c r="AL1263" s="50"/>
      <c r="AM1263" s="19">
        <v>7.0833333333333331E-2</v>
      </c>
    </row>
    <row r="1264" spans="1:63" x14ac:dyDescent="0.3">
      <c r="A1264" s="2">
        <v>114538</v>
      </c>
      <c r="B1264" s="2">
        <v>83377</v>
      </c>
      <c r="C1264" s="2">
        <v>110947</v>
      </c>
      <c r="D1264" s="2">
        <v>127653</v>
      </c>
      <c r="E1264" t="s">
        <v>1012</v>
      </c>
      <c r="I1264" s="15">
        <v>0.36705199999999999</v>
      </c>
      <c r="L1264" s="15"/>
      <c r="P1264" s="14">
        <v>0.35671599999999998</v>
      </c>
      <c r="AF1264" s="14"/>
      <c r="AG1264" s="14"/>
      <c r="AH1264" s="14"/>
      <c r="AI1264" s="14">
        <v>0.36705199999999999</v>
      </c>
      <c r="AJ1264" s="14"/>
      <c r="AK1264" s="14"/>
      <c r="AL1264" s="50"/>
      <c r="AM1264" s="19">
        <v>0.1173611111111111</v>
      </c>
    </row>
    <row r="1265" spans="1:63" x14ac:dyDescent="0.3">
      <c r="A1265" s="2">
        <v>39913</v>
      </c>
      <c r="B1265" s="2">
        <v>83458</v>
      </c>
      <c r="C1265" s="2">
        <v>111137</v>
      </c>
      <c r="D1265" s="2">
        <v>245028</v>
      </c>
      <c r="E1265" t="s">
        <v>782</v>
      </c>
      <c r="H1265" s="2">
        <v>100000</v>
      </c>
      <c r="I1265" s="15">
        <v>0.19157099999999999</v>
      </c>
      <c r="L1265" s="15"/>
      <c r="O1265" s="58"/>
      <c r="P1265" s="14">
        <v>0.452511</v>
      </c>
      <c r="T1265" s="58"/>
      <c r="U1265" s="58"/>
      <c r="V1265" s="58"/>
      <c r="W1265" s="58"/>
      <c r="X1265" s="58"/>
      <c r="Y1265" s="58"/>
      <c r="Z1265" s="58"/>
      <c r="AA1265" s="58"/>
      <c r="AB1265" s="58"/>
      <c r="AC1265" s="58"/>
      <c r="AD1265" s="58"/>
      <c r="AE1265" s="58"/>
      <c r="AF1265" s="14"/>
      <c r="AG1265" s="14">
        <v>0.20640800000000001</v>
      </c>
      <c r="AH1265" s="14"/>
      <c r="AI1265" s="14">
        <v>0.19157099999999999</v>
      </c>
      <c r="AJ1265" s="14"/>
      <c r="AK1265" s="14"/>
      <c r="AL1265" s="50"/>
      <c r="AM1265" s="19">
        <v>4.1666666666666664E-2</v>
      </c>
      <c r="AX1265" s="58"/>
      <c r="AY1265" s="58"/>
      <c r="AZ1265" s="58"/>
      <c r="BA1265" s="58"/>
      <c r="BB1265" s="58"/>
      <c r="BC1265" s="58"/>
      <c r="BD1265" s="58"/>
      <c r="BE1265" s="58"/>
      <c r="BF1265" s="58"/>
      <c r="BG1265" s="58"/>
      <c r="BH1265" s="58"/>
      <c r="BI1265" s="58"/>
      <c r="BJ1265" s="58"/>
      <c r="BK1265" s="58"/>
    </row>
    <row r="1266" spans="1:63" x14ac:dyDescent="0.3">
      <c r="A1266" s="2">
        <v>33996</v>
      </c>
      <c r="B1266" s="2">
        <v>36040</v>
      </c>
      <c r="C1266" s="2">
        <v>113033</v>
      </c>
      <c r="D1266" s="2">
        <v>129720</v>
      </c>
      <c r="E1266" t="s">
        <v>374</v>
      </c>
      <c r="I1266" s="14">
        <v>0.50827100000000003</v>
      </c>
      <c r="P1266" s="14">
        <v>0.50827100000000003</v>
      </c>
      <c r="AE1266" s="2">
        <v>0.49841400000000002</v>
      </c>
      <c r="AF1266" s="14" t="s">
        <v>772</v>
      </c>
      <c r="AG1266" s="14" t="s">
        <v>772</v>
      </c>
      <c r="AH1266" s="14" t="s">
        <v>772</v>
      </c>
      <c r="AI1266" s="14" t="s">
        <v>772</v>
      </c>
      <c r="AJ1266" s="14" t="s">
        <v>772</v>
      </c>
      <c r="AK1266" s="14" t="s">
        <v>772</v>
      </c>
      <c r="AL1266" s="54" t="s">
        <v>772</v>
      </c>
      <c r="AM1266" s="19">
        <v>2.7083333333333334E-2</v>
      </c>
      <c r="AN1266" s="8">
        <f>(39/60)*AE1266</f>
        <v>0.32396910000000001</v>
      </c>
    </row>
    <row r="1267" spans="1:63" x14ac:dyDescent="0.3">
      <c r="A1267" s="2">
        <v>91876</v>
      </c>
      <c r="B1267" s="2" t="s">
        <v>772</v>
      </c>
      <c r="C1267" s="2">
        <v>119137</v>
      </c>
      <c r="D1267" s="2" t="s">
        <v>772</v>
      </c>
      <c r="E1267" t="s">
        <v>1523</v>
      </c>
      <c r="I1267" s="14">
        <v>0.38639200000000001</v>
      </c>
      <c r="L1267" s="15"/>
      <c r="P1267" s="14">
        <v>0.38639200000000001</v>
      </c>
      <c r="AF1267" s="14"/>
      <c r="AG1267" s="14"/>
      <c r="AH1267" s="14"/>
      <c r="AI1267" s="14"/>
      <c r="AJ1267" s="14"/>
      <c r="AK1267" s="14"/>
      <c r="AL1267" s="50"/>
      <c r="AM1267" s="19"/>
    </row>
    <row r="1268" spans="1:63" s="3" customFormat="1" x14ac:dyDescent="0.3">
      <c r="A1268" s="4">
        <v>67298</v>
      </c>
      <c r="B1268" s="4">
        <v>67293</v>
      </c>
      <c r="C1268" s="4">
        <v>123495</v>
      </c>
      <c r="D1268" s="4">
        <v>134561</v>
      </c>
      <c r="E1268" s="3" t="s">
        <v>909</v>
      </c>
      <c r="H1268" s="4">
        <v>2000</v>
      </c>
      <c r="I1268" s="16">
        <v>5.7058999999999999E-2</v>
      </c>
      <c r="J1268" s="16"/>
      <c r="K1268" s="16"/>
      <c r="L1268" s="16"/>
      <c r="M1268" s="9"/>
      <c r="N1268" s="9"/>
      <c r="O1268" s="59"/>
      <c r="P1268" s="45">
        <v>0.36550700000000003</v>
      </c>
      <c r="Q1268" s="45"/>
      <c r="R1268" s="45"/>
      <c r="S1268" s="45"/>
      <c r="T1268" s="59"/>
      <c r="U1268" s="59"/>
      <c r="V1268" s="59"/>
      <c r="W1268" s="59"/>
      <c r="X1268" s="59"/>
      <c r="Y1268" s="59"/>
      <c r="Z1268" s="59"/>
      <c r="AA1268" s="59"/>
      <c r="AB1268" s="59"/>
      <c r="AC1268" s="59"/>
      <c r="AD1268" s="59"/>
      <c r="AE1268" s="59"/>
      <c r="AF1268" s="45"/>
      <c r="AG1268" s="45">
        <v>7.0493E-2</v>
      </c>
      <c r="AH1268" s="45"/>
      <c r="AI1268" s="45">
        <v>5.7058999999999999E-2</v>
      </c>
      <c r="AJ1268" s="45"/>
      <c r="AK1268" s="45"/>
      <c r="AL1268" s="51"/>
      <c r="AM1268" s="47">
        <v>5.9722222222222225E-2</v>
      </c>
      <c r="AX1268" s="59"/>
      <c r="AY1268" s="59"/>
      <c r="AZ1268" s="59"/>
      <c r="BA1268" s="59"/>
      <c r="BB1268" s="59"/>
      <c r="BC1268" s="59"/>
      <c r="BD1268" s="59"/>
      <c r="BE1268" s="59"/>
      <c r="BF1268" s="59"/>
      <c r="BG1268" s="59"/>
      <c r="BH1268" s="59"/>
      <c r="BI1268" s="59"/>
      <c r="BJ1268" s="59"/>
      <c r="BK1268" s="59"/>
    </row>
    <row r="1269" spans="1:63" x14ac:dyDescent="0.3">
      <c r="A1269" s="2">
        <v>36963</v>
      </c>
      <c r="B1269" s="2">
        <v>19800</v>
      </c>
      <c r="C1269" s="2">
        <v>125912</v>
      </c>
      <c r="D1269" s="2">
        <v>94773</v>
      </c>
      <c r="E1269" t="s">
        <v>1078</v>
      </c>
      <c r="I1269" s="15">
        <v>0.80048799999999998</v>
      </c>
      <c r="L1269" s="15"/>
      <c r="P1269" s="14">
        <v>0.444685</v>
      </c>
      <c r="AF1269" s="14"/>
      <c r="AG1269" s="14"/>
      <c r="AH1269" s="14"/>
      <c r="AI1269" s="14">
        <v>0.80048799999999998</v>
      </c>
      <c r="AJ1269" s="14"/>
      <c r="AK1269" s="14"/>
      <c r="AL1269" s="50"/>
      <c r="AM1269" s="19">
        <v>3.0555555555555555E-2</v>
      </c>
    </row>
    <row r="1270" spans="1:63" x14ac:dyDescent="0.3">
      <c r="A1270" s="2">
        <v>161556</v>
      </c>
      <c r="B1270" s="2" t="s">
        <v>772</v>
      </c>
      <c r="C1270" s="2">
        <v>126055</v>
      </c>
      <c r="D1270" s="2" t="s">
        <v>772</v>
      </c>
      <c r="E1270" t="s">
        <v>1525</v>
      </c>
      <c r="I1270" s="15">
        <v>0.41258400000000001</v>
      </c>
      <c r="L1270" s="15"/>
      <c r="P1270" s="14">
        <v>0.41258400000000001</v>
      </c>
      <c r="AF1270" s="14"/>
      <c r="AG1270" s="14"/>
      <c r="AH1270" s="14"/>
      <c r="AI1270" s="14"/>
      <c r="AJ1270" s="14"/>
      <c r="AK1270" s="14"/>
      <c r="AL1270" s="50"/>
      <c r="AM1270" s="19"/>
    </row>
    <row r="1271" spans="1:63" x14ac:dyDescent="0.3">
      <c r="A1271" s="2">
        <v>119378</v>
      </c>
      <c r="B1271" s="2">
        <v>64252</v>
      </c>
      <c r="C1271" s="2">
        <v>127306</v>
      </c>
      <c r="D1271" s="2">
        <v>106624</v>
      </c>
      <c r="E1271" t="s">
        <v>937</v>
      </c>
      <c r="I1271" s="15">
        <v>0.54640999999999995</v>
      </c>
      <c r="L1271" s="15"/>
      <c r="P1271" s="14">
        <v>0.39355200000000001</v>
      </c>
      <c r="AF1271" s="14"/>
      <c r="AG1271" s="14"/>
      <c r="AH1271" s="14"/>
      <c r="AI1271" s="14">
        <v>0.54640999999999995</v>
      </c>
      <c r="AJ1271" s="14"/>
      <c r="AK1271" s="14"/>
      <c r="AL1271" s="50"/>
      <c r="AM1271" s="19">
        <v>5.5555555555555552E-2</v>
      </c>
    </row>
    <row r="1272" spans="1:63" x14ac:dyDescent="0.3">
      <c r="A1272" s="2">
        <v>86016</v>
      </c>
      <c r="B1272" s="2">
        <v>82940</v>
      </c>
      <c r="C1272" s="2">
        <v>128226</v>
      </c>
      <c r="D1272" s="2">
        <v>173729</v>
      </c>
      <c r="E1272" t="s">
        <v>965</v>
      </c>
      <c r="I1272" s="15">
        <v>0.38967299999999999</v>
      </c>
      <c r="L1272" s="15"/>
      <c r="P1272" s="14">
        <v>0.48916500000000002</v>
      </c>
      <c r="AF1272" s="14"/>
      <c r="AG1272" s="14"/>
      <c r="AH1272" s="14"/>
      <c r="AI1272" s="14">
        <v>0.38967299999999999</v>
      </c>
      <c r="AJ1272" s="14"/>
      <c r="AK1272" s="14"/>
      <c r="AL1272" s="50"/>
      <c r="AM1272" s="19">
        <v>0.1451388888888889</v>
      </c>
    </row>
    <row r="1273" spans="1:63" x14ac:dyDescent="0.3">
      <c r="A1273" s="2">
        <v>80332</v>
      </c>
      <c r="B1273" s="2">
        <v>73876</v>
      </c>
      <c r="C1273" s="2">
        <v>134038</v>
      </c>
      <c r="D1273" s="2">
        <v>76451</v>
      </c>
      <c r="E1273" t="s">
        <v>802</v>
      </c>
      <c r="H1273" s="2">
        <v>3700</v>
      </c>
      <c r="I1273" s="15">
        <v>0.65510400000000002</v>
      </c>
      <c r="L1273" s="15"/>
      <c r="P1273" s="14">
        <v>0.286408</v>
      </c>
      <c r="AF1273" s="14"/>
      <c r="AG1273" s="14"/>
      <c r="AH1273" s="14"/>
      <c r="AI1273" s="14">
        <v>0.65510400000000002</v>
      </c>
      <c r="AJ1273" s="14"/>
      <c r="AK1273" s="14"/>
      <c r="AL1273" s="50"/>
      <c r="AM1273" s="19">
        <v>6.1111111111111116E-2</v>
      </c>
    </row>
    <row r="1274" spans="1:63" x14ac:dyDescent="0.3">
      <c r="A1274" s="2">
        <v>118312</v>
      </c>
      <c r="B1274" s="2" t="s">
        <v>772</v>
      </c>
      <c r="C1274" s="2">
        <v>137855</v>
      </c>
      <c r="D1274" s="2" t="s">
        <v>772</v>
      </c>
      <c r="E1274" t="s">
        <v>1524</v>
      </c>
      <c r="I1274" s="15">
        <v>0.30118400000000001</v>
      </c>
      <c r="L1274" s="15"/>
      <c r="P1274" s="14">
        <v>0.30118400000000001</v>
      </c>
      <c r="AF1274" s="14"/>
      <c r="AG1274" s="14"/>
      <c r="AH1274" s="14"/>
      <c r="AI1274" s="14"/>
      <c r="AJ1274" s="14"/>
      <c r="AK1274" s="14"/>
      <c r="AL1274" s="50"/>
      <c r="AM1274" s="19"/>
    </row>
    <row r="1275" spans="1:63" x14ac:dyDescent="0.3">
      <c r="A1275" s="2">
        <v>177847</v>
      </c>
      <c r="B1275" s="2">
        <v>60214</v>
      </c>
      <c r="C1275" s="2">
        <v>139672</v>
      </c>
      <c r="D1275" s="2">
        <v>64874</v>
      </c>
      <c r="E1275" t="s">
        <v>1072</v>
      </c>
      <c r="I1275" s="15">
        <v>0.71190200000000003</v>
      </c>
      <c r="L1275" s="15"/>
      <c r="P1275" s="14">
        <v>0.24148800000000001</v>
      </c>
      <c r="AF1275" s="14"/>
      <c r="AG1275" s="14"/>
      <c r="AH1275" s="14"/>
      <c r="AI1275" s="14">
        <v>0.71190200000000003</v>
      </c>
      <c r="AJ1275" s="14"/>
      <c r="AK1275" s="14"/>
      <c r="AL1275" s="50"/>
      <c r="AM1275" s="19">
        <v>9.8611111111111108E-2</v>
      </c>
    </row>
    <row r="1276" spans="1:63" x14ac:dyDescent="0.3">
      <c r="A1276" s="2">
        <v>156073</v>
      </c>
      <c r="B1276" s="2">
        <v>60053</v>
      </c>
      <c r="C1276" s="2">
        <v>141112</v>
      </c>
      <c r="D1276" s="2">
        <v>56764</v>
      </c>
      <c r="E1276" t="s">
        <v>1103</v>
      </c>
      <c r="I1276" s="15">
        <v>1.431</v>
      </c>
      <c r="L1276" s="15"/>
      <c r="P1276" s="14">
        <v>0.36645100000000003</v>
      </c>
      <c r="AF1276" s="14"/>
      <c r="AG1276" s="14"/>
      <c r="AH1276" s="14"/>
      <c r="AI1276" s="14">
        <v>1.431</v>
      </c>
      <c r="AJ1276" s="14"/>
      <c r="AK1276" s="14"/>
      <c r="AL1276" s="50"/>
      <c r="AM1276" s="19">
        <v>5.9722222222222225E-2</v>
      </c>
    </row>
    <row r="1277" spans="1:63" x14ac:dyDescent="0.3">
      <c r="A1277" s="2">
        <v>76058</v>
      </c>
      <c r="B1277" s="2">
        <v>73683</v>
      </c>
      <c r="C1277" s="2">
        <v>156608</v>
      </c>
      <c r="D1277" s="2">
        <v>82269</v>
      </c>
      <c r="E1277" t="s">
        <v>1080</v>
      </c>
      <c r="I1277" s="15">
        <v>0.64739599999999997</v>
      </c>
      <c r="L1277" s="15"/>
      <c r="P1277" s="14">
        <v>0.26078000000000001</v>
      </c>
      <c r="AF1277" s="14"/>
      <c r="AG1277" s="14"/>
      <c r="AH1277" s="14"/>
      <c r="AI1277" s="14">
        <v>0.64739599999999997</v>
      </c>
      <c r="AJ1277" s="14"/>
      <c r="AK1277" s="14"/>
      <c r="AL1277" s="50"/>
      <c r="AM1277" s="19">
        <v>0.19305555555555554</v>
      </c>
    </row>
    <row r="1278" spans="1:63" x14ac:dyDescent="0.3">
      <c r="A1278" s="2">
        <v>64097</v>
      </c>
      <c r="B1278" s="2">
        <v>62871</v>
      </c>
      <c r="C1278" s="2">
        <v>158336</v>
      </c>
      <c r="D1278" s="2">
        <v>81867</v>
      </c>
      <c r="E1278" t="s">
        <v>1013</v>
      </c>
      <c r="H1278" s="2">
        <v>4.5999999999999996</v>
      </c>
      <c r="I1278" s="15">
        <v>0.55604799999999999</v>
      </c>
      <c r="L1278" s="15"/>
      <c r="P1278" s="14">
        <v>0.21112400000000001</v>
      </c>
      <c r="AF1278" s="14"/>
      <c r="AG1278" s="14"/>
      <c r="AH1278" s="14"/>
      <c r="AI1278" s="14">
        <v>0.55604799999999999</v>
      </c>
      <c r="AJ1278" s="14"/>
      <c r="AK1278" s="14"/>
      <c r="AL1278" s="50"/>
      <c r="AM1278" s="19">
        <v>0.11527777777777777</v>
      </c>
    </row>
    <row r="1279" spans="1:63" x14ac:dyDescent="0.3">
      <c r="A1279" s="2">
        <v>104718</v>
      </c>
      <c r="B1279" s="2">
        <v>56210</v>
      </c>
      <c r="C1279" s="2">
        <v>158484</v>
      </c>
      <c r="D1279" s="2">
        <v>77864</v>
      </c>
      <c r="E1279" t="s">
        <v>932</v>
      </c>
      <c r="H1279" s="2">
        <v>250</v>
      </c>
      <c r="I1279" s="15">
        <v>0.77962500000000001</v>
      </c>
      <c r="L1279" s="15"/>
      <c r="P1279" s="14">
        <v>0.28218599999999999</v>
      </c>
      <c r="AF1279" s="14"/>
      <c r="AG1279" s="14"/>
      <c r="AH1279" s="14"/>
      <c r="AI1279" s="14">
        <v>0.77962500000000001</v>
      </c>
      <c r="AJ1279" s="14"/>
      <c r="AK1279" s="14"/>
      <c r="AL1279" s="50"/>
      <c r="AM1279" s="19">
        <v>0.12708333333333333</v>
      </c>
    </row>
    <row r="1280" spans="1:63" x14ac:dyDescent="0.3">
      <c r="A1280" s="2">
        <v>47691</v>
      </c>
      <c r="B1280" s="2">
        <v>72645</v>
      </c>
      <c r="C1280" s="2">
        <v>162092</v>
      </c>
      <c r="D1280" s="2">
        <v>338552</v>
      </c>
      <c r="E1280" t="s">
        <v>991</v>
      </c>
      <c r="I1280" s="15">
        <v>7.8987000000000002E-2</v>
      </c>
      <c r="L1280" s="15"/>
      <c r="P1280" s="14">
        <v>0.14683099999999999</v>
      </c>
      <c r="AF1280" s="14"/>
      <c r="AG1280" s="14"/>
      <c r="AH1280" s="14"/>
      <c r="AI1280" s="14">
        <v>7.8987000000000002E-2</v>
      </c>
      <c r="AJ1280" s="14"/>
      <c r="AK1280" s="14"/>
      <c r="AL1280" s="50"/>
      <c r="AM1280" s="19">
        <v>0.19583333333333333</v>
      </c>
    </row>
    <row r="1281" spans="1:63" x14ac:dyDescent="0.3">
      <c r="A1281" s="2">
        <v>312712</v>
      </c>
      <c r="B1281" s="2">
        <v>78266</v>
      </c>
      <c r="C1281" s="2">
        <v>163581</v>
      </c>
      <c r="D1281" s="2">
        <v>108303</v>
      </c>
      <c r="E1281" t="s">
        <v>998</v>
      </c>
      <c r="I1281" s="15">
        <v>0.54505300000000001</v>
      </c>
      <c r="L1281" s="15"/>
      <c r="P1281" s="14">
        <v>0.240115</v>
      </c>
      <c r="AF1281" s="14"/>
      <c r="AG1281" s="14"/>
      <c r="AH1281" s="14"/>
      <c r="AI1281" s="14">
        <v>0.54505300000000001</v>
      </c>
      <c r="AJ1281" s="14"/>
      <c r="AK1281" s="14"/>
      <c r="AL1281" s="50"/>
      <c r="AM1281" s="19">
        <v>0.12013888888888889</v>
      </c>
    </row>
    <row r="1282" spans="1:63" s="121" customFormat="1" x14ac:dyDescent="0.3">
      <c r="A1282" s="120">
        <v>192906</v>
      </c>
      <c r="B1282" s="120">
        <v>55354</v>
      </c>
      <c r="C1282" s="120">
        <v>186935</v>
      </c>
      <c r="D1282" s="120">
        <v>70450</v>
      </c>
      <c r="E1282" s="121" t="s">
        <v>939</v>
      </c>
      <c r="H1282" s="120">
        <v>23.5</v>
      </c>
      <c r="I1282" s="122">
        <v>0.63859900000000003</v>
      </c>
      <c r="J1282" s="122"/>
      <c r="K1282" s="123"/>
      <c r="L1282" s="122"/>
      <c r="M1282" s="124"/>
      <c r="N1282" s="124"/>
      <c r="O1282" s="128"/>
      <c r="P1282" s="125">
        <v>0.18746699999999999</v>
      </c>
      <c r="Q1282" s="125"/>
      <c r="R1282" s="125"/>
      <c r="S1282" s="125"/>
      <c r="T1282" s="128"/>
      <c r="U1282" s="128"/>
      <c r="V1282" s="128"/>
      <c r="W1282" s="128"/>
      <c r="X1282" s="128"/>
      <c r="Y1282" s="128"/>
      <c r="Z1282" s="128"/>
      <c r="AA1282" s="128"/>
      <c r="AB1282" s="128"/>
      <c r="AC1282" s="128"/>
      <c r="AD1282" s="128"/>
      <c r="AE1282" s="128"/>
      <c r="AF1282" s="125"/>
      <c r="AG1282" s="125">
        <v>0.43057200000000001</v>
      </c>
      <c r="AH1282" s="125"/>
      <c r="AI1282" s="125">
        <v>0.63859900000000003</v>
      </c>
      <c r="AJ1282" s="125"/>
      <c r="AK1282" s="125"/>
      <c r="AL1282" s="126"/>
      <c r="AM1282" s="127">
        <v>0.18611111111111112</v>
      </c>
      <c r="AX1282" s="128"/>
      <c r="AY1282" s="128"/>
      <c r="AZ1282" s="128"/>
      <c r="BA1282" s="128"/>
      <c r="BB1282" s="128"/>
      <c r="BC1282" s="128"/>
      <c r="BD1282" s="128"/>
      <c r="BE1282" s="128"/>
      <c r="BF1282" s="128"/>
      <c r="BG1282" s="128"/>
      <c r="BH1282" s="128"/>
      <c r="BI1282" s="128"/>
      <c r="BJ1282" s="128"/>
      <c r="BK1282" s="128"/>
    </row>
    <row r="1283" spans="1:63" x14ac:dyDescent="0.3">
      <c r="A1283" s="2">
        <v>118700</v>
      </c>
      <c r="B1283" s="2">
        <v>63237</v>
      </c>
      <c r="C1283" s="2">
        <v>187282</v>
      </c>
      <c r="D1283" s="2">
        <v>94603</v>
      </c>
      <c r="E1283" t="s">
        <v>923</v>
      </c>
      <c r="H1283" s="2">
        <v>100</v>
      </c>
      <c r="I1283" s="15">
        <v>0.36492400000000003</v>
      </c>
      <c r="L1283" s="15"/>
      <c r="P1283" s="14">
        <v>0.183282</v>
      </c>
      <c r="AF1283" s="14"/>
      <c r="AG1283" s="14">
        <v>0.30067199999999999</v>
      </c>
      <c r="AH1283" s="14"/>
      <c r="AI1283" s="14">
        <v>0.36492400000000003</v>
      </c>
      <c r="AJ1283" s="14"/>
      <c r="AK1283" s="14"/>
      <c r="AL1283" s="50"/>
      <c r="AM1283" s="19">
        <v>0.48680555555555555</v>
      </c>
    </row>
    <row r="1284" spans="1:63" s="113" customFormat="1" x14ac:dyDescent="0.3">
      <c r="A1284" s="112">
        <v>53701</v>
      </c>
      <c r="B1284" s="112">
        <v>53051</v>
      </c>
      <c r="C1284" s="112">
        <v>191670</v>
      </c>
      <c r="D1284" s="112">
        <v>237636</v>
      </c>
      <c r="E1284" s="113" t="s">
        <v>1088</v>
      </c>
      <c r="H1284" s="112"/>
      <c r="I1284" s="114">
        <v>0.270791</v>
      </c>
      <c r="J1284" s="114"/>
      <c r="K1284" s="115"/>
      <c r="L1284" s="114"/>
      <c r="M1284" s="116"/>
      <c r="N1284" s="116"/>
      <c r="O1284" s="116"/>
      <c r="P1284" s="117">
        <v>0.25684899999999999</v>
      </c>
      <c r="Q1284" s="117"/>
      <c r="R1284" s="117"/>
      <c r="S1284" s="117"/>
      <c r="T1284" s="116"/>
      <c r="U1284" s="116"/>
      <c r="V1284" s="116"/>
      <c r="W1284" s="116"/>
      <c r="X1284" s="116"/>
      <c r="Y1284" s="116"/>
      <c r="Z1284" s="116"/>
      <c r="AA1284" s="116"/>
      <c r="AB1284" s="116"/>
      <c r="AC1284" s="116"/>
      <c r="AD1284" s="116"/>
      <c r="AE1284" s="116"/>
      <c r="AF1284" s="117"/>
      <c r="AG1284" s="117"/>
      <c r="AH1284" s="117"/>
      <c r="AI1284" s="117">
        <v>0.270791</v>
      </c>
      <c r="AJ1284" s="117"/>
      <c r="AK1284" s="117"/>
      <c r="AL1284" s="118"/>
      <c r="AM1284" s="119">
        <v>3.888888888888889E-2</v>
      </c>
      <c r="AX1284" s="116"/>
      <c r="AY1284" s="116"/>
      <c r="AZ1284" s="116"/>
      <c r="BA1284" s="116"/>
      <c r="BB1284" s="116"/>
      <c r="BC1284" s="116"/>
      <c r="BD1284" s="116"/>
      <c r="BE1284" s="116"/>
      <c r="BF1284" s="116"/>
      <c r="BG1284" s="116"/>
      <c r="BH1284" s="116"/>
      <c r="BI1284" s="116"/>
      <c r="BJ1284" s="116"/>
      <c r="BK1284" s="116"/>
    </row>
    <row r="1285" spans="1:63" s="3" customFormat="1" x14ac:dyDescent="0.3">
      <c r="A1285" s="107">
        <v>61218</v>
      </c>
      <c r="B1285" s="107">
        <v>67868</v>
      </c>
      <c r="C1285" s="107">
        <v>210089</v>
      </c>
      <c r="D1285" s="107">
        <v>237693</v>
      </c>
      <c r="E1285" s="108" t="s">
        <v>1481</v>
      </c>
      <c r="F1285" s="108"/>
      <c r="G1285" s="108"/>
      <c r="H1285" s="107">
        <v>5</v>
      </c>
      <c r="I1285" s="109">
        <v>0.236956</v>
      </c>
      <c r="J1285" s="109"/>
      <c r="K1285" s="109"/>
      <c r="L1285" s="109"/>
      <c r="M1285" s="110"/>
      <c r="N1285" s="110"/>
      <c r="O1285" s="110"/>
      <c r="P1285" s="111">
        <v>0.26049299999999997</v>
      </c>
      <c r="Q1285" s="111"/>
      <c r="R1285" s="111"/>
      <c r="S1285" s="111"/>
      <c r="T1285" s="110"/>
      <c r="U1285" s="110"/>
      <c r="V1285" s="110"/>
      <c r="W1285" s="110"/>
      <c r="X1285" s="110"/>
      <c r="Y1285" s="110"/>
      <c r="Z1285" s="110"/>
      <c r="AA1285" s="110"/>
      <c r="AB1285" s="110"/>
      <c r="AC1285" s="110"/>
      <c r="AD1285" s="110"/>
      <c r="AE1285" s="110"/>
      <c r="AF1285" s="111"/>
      <c r="AG1285" s="111"/>
      <c r="AH1285" s="111"/>
      <c r="AI1285" s="111"/>
      <c r="AJ1285" s="45"/>
      <c r="AK1285" s="45"/>
      <c r="AL1285" s="51"/>
      <c r="AM1285" s="22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</row>
    <row r="1286" spans="1:63" s="121" customFormat="1" x14ac:dyDescent="0.3">
      <c r="A1286" s="120">
        <v>80001</v>
      </c>
      <c r="B1286" s="120">
        <v>133001</v>
      </c>
      <c r="C1286" s="120">
        <v>211292</v>
      </c>
      <c r="D1286" s="120">
        <v>257447</v>
      </c>
      <c r="E1286" s="121" t="s">
        <v>1520</v>
      </c>
      <c r="H1286" s="120"/>
      <c r="I1286" s="122">
        <v>0.17968899999999999</v>
      </c>
      <c r="J1286" s="122"/>
      <c r="K1286" s="123"/>
      <c r="L1286" s="122"/>
      <c r="M1286" s="124"/>
      <c r="N1286" s="124"/>
      <c r="O1286" s="124"/>
      <c r="P1286" s="125">
        <v>0.22983400000000001</v>
      </c>
      <c r="Q1286" s="125"/>
      <c r="R1286" s="125"/>
      <c r="S1286" s="125"/>
      <c r="T1286" s="124"/>
      <c r="U1286" s="124"/>
      <c r="V1286" s="124"/>
      <c r="W1286" s="124"/>
      <c r="X1286" s="124"/>
      <c r="Y1286" s="124"/>
      <c r="Z1286" s="124"/>
      <c r="AA1286" s="124"/>
      <c r="AB1286" s="124"/>
      <c r="AC1286" s="124"/>
      <c r="AD1286" s="124"/>
      <c r="AE1286" s="124"/>
      <c r="AF1286" s="120"/>
      <c r="AG1286" s="124"/>
      <c r="AH1286" s="125"/>
      <c r="AI1286" s="125"/>
      <c r="AJ1286" s="125"/>
      <c r="AK1286" s="125"/>
      <c r="AL1286" s="126"/>
      <c r="AM1286" s="127"/>
      <c r="AX1286" s="124"/>
      <c r="AY1286" s="124"/>
      <c r="AZ1286" s="124"/>
      <c r="BA1286" s="124"/>
      <c r="BB1286" s="124"/>
      <c r="BC1286" s="124"/>
      <c r="BD1286" s="124"/>
      <c r="BE1286" s="124"/>
      <c r="BF1286" s="124"/>
      <c r="BG1286" s="124"/>
      <c r="BH1286" s="124"/>
      <c r="BI1286" s="124"/>
      <c r="BJ1286" s="124"/>
      <c r="BK1286" s="124"/>
    </row>
    <row r="1287" spans="1:63" x14ac:dyDescent="0.3">
      <c r="A1287" s="2">
        <v>274799</v>
      </c>
      <c r="B1287" s="2">
        <v>24398</v>
      </c>
      <c r="C1287" s="2">
        <v>225024</v>
      </c>
      <c r="D1287" s="2">
        <v>58522</v>
      </c>
      <c r="E1287" t="s">
        <v>1159</v>
      </c>
      <c r="I1287" s="15">
        <v>0.62439100000000003</v>
      </c>
      <c r="L1287" s="15"/>
      <c r="P1287" s="14">
        <v>0.15188299999999999</v>
      </c>
      <c r="AH1287" s="14"/>
      <c r="AI1287" s="14">
        <v>0.62439100000000003</v>
      </c>
      <c r="AJ1287" s="14"/>
      <c r="AK1287" s="14"/>
      <c r="AL1287" s="50"/>
      <c r="AM1287" s="19">
        <v>0.27013888888888887</v>
      </c>
    </row>
    <row r="1288" spans="1:63" x14ac:dyDescent="0.3">
      <c r="A1288" s="2">
        <v>1094663</v>
      </c>
      <c r="B1288" s="2">
        <v>46675</v>
      </c>
      <c r="C1288" s="2">
        <v>243602</v>
      </c>
      <c r="D1288" s="2">
        <v>33418</v>
      </c>
      <c r="E1288" t="s">
        <v>836</v>
      </c>
      <c r="I1288" s="15">
        <v>1.7669999999999999</v>
      </c>
      <c r="L1288" s="15"/>
      <c r="P1288" s="14">
        <v>0.174647</v>
      </c>
      <c r="AF1288" s="14"/>
      <c r="AG1288" s="14"/>
      <c r="AH1288" s="14"/>
      <c r="AI1288" s="14">
        <v>1.7669999999999999</v>
      </c>
      <c r="AJ1288" s="14"/>
      <c r="AK1288" s="14"/>
      <c r="AL1288" s="50"/>
      <c r="AM1288" s="19">
        <v>0.13194444444444445</v>
      </c>
    </row>
    <row r="1289" spans="1:63" x14ac:dyDescent="0.3">
      <c r="A1289" s="2">
        <v>84071</v>
      </c>
      <c r="B1289" s="2">
        <v>55724</v>
      </c>
      <c r="C1289" s="2">
        <v>275796</v>
      </c>
      <c r="D1289" s="2">
        <v>209170</v>
      </c>
      <c r="E1289" t="s">
        <v>1037</v>
      </c>
      <c r="H1289" s="2" t="s">
        <v>1534</v>
      </c>
      <c r="I1289" s="15">
        <v>0.298043</v>
      </c>
      <c r="L1289" s="15"/>
      <c r="P1289" s="14">
        <v>0.14572599999999999</v>
      </c>
      <c r="AF1289" s="14"/>
      <c r="AG1289" s="14"/>
      <c r="AH1289" s="14"/>
      <c r="AI1289" s="14">
        <v>0.298043</v>
      </c>
      <c r="AJ1289" s="14"/>
      <c r="AK1289" s="14"/>
      <c r="AL1289" s="50"/>
      <c r="AM1289" s="19">
        <v>2.2916666666666669E-2</v>
      </c>
    </row>
    <row r="1290" spans="1:63" x14ac:dyDescent="0.3">
      <c r="A1290" s="2">
        <v>219670</v>
      </c>
      <c r="B1290" s="2" t="s">
        <v>772</v>
      </c>
      <c r="C1290" s="2">
        <v>293295</v>
      </c>
      <c r="D1290" s="2" t="s">
        <v>772</v>
      </c>
      <c r="E1290" t="s">
        <v>1522</v>
      </c>
      <c r="I1290" s="14">
        <v>0.12867899999999999</v>
      </c>
      <c r="L1290" s="15"/>
      <c r="P1290" s="14">
        <v>0.12867899999999999</v>
      </c>
      <c r="AF1290" s="14"/>
      <c r="AG1290" s="14"/>
      <c r="AH1290" s="14"/>
      <c r="AI1290" s="14"/>
      <c r="AJ1290" s="14"/>
      <c r="AK1290" s="14"/>
      <c r="AL1290" s="50"/>
      <c r="AM1290" s="19"/>
    </row>
    <row r="1291" spans="1:63" x14ac:dyDescent="0.3">
      <c r="A1291" s="2">
        <v>501142</v>
      </c>
      <c r="B1291" s="2">
        <v>48169</v>
      </c>
      <c r="C1291" s="2">
        <v>318458</v>
      </c>
      <c r="D1291" s="2">
        <v>150491</v>
      </c>
      <c r="E1291" t="s">
        <v>1129</v>
      </c>
      <c r="I1291" s="15">
        <v>0.288435</v>
      </c>
      <c r="L1291" s="15"/>
      <c r="P1291" s="14">
        <v>9.5369999999999996E-2</v>
      </c>
      <c r="AF1291" s="14"/>
      <c r="AG1291" s="14"/>
      <c r="AH1291" s="14"/>
      <c r="AI1291" s="14">
        <v>0.288435</v>
      </c>
      <c r="AJ1291" s="14"/>
      <c r="AK1291" s="14"/>
      <c r="AL1291" s="50"/>
      <c r="AM1291" s="19">
        <v>0.47569444444444442</v>
      </c>
    </row>
    <row r="1292" spans="1:63" x14ac:dyDescent="0.3">
      <c r="A1292" s="2">
        <v>87349</v>
      </c>
      <c r="B1292" s="2">
        <v>76768</v>
      </c>
      <c r="C1292" s="2">
        <v>67096</v>
      </c>
      <c r="E1292" t="s">
        <v>1054</v>
      </c>
      <c r="I1292" s="15">
        <v>0.86591899999999999</v>
      </c>
      <c r="L1292" s="15"/>
      <c r="AH1292" s="14"/>
      <c r="AI1292" s="14">
        <v>0.86591899999999999</v>
      </c>
      <c r="AJ1292" s="14"/>
      <c r="AK1292" s="14"/>
      <c r="AL1292" s="50"/>
      <c r="AM1292" s="19">
        <v>0.10416666666666667</v>
      </c>
    </row>
    <row r="1293" spans="1:63" x14ac:dyDescent="0.3">
      <c r="A1293" s="2">
        <v>92899</v>
      </c>
      <c r="B1293" s="2">
        <v>77760</v>
      </c>
      <c r="C1293" s="2">
        <v>340633</v>
      </c>
      <c r="E1293" t="s">
        <v>1043</v>
      </c>
      <c r="I1293" s="15">
        <v>0.16528000000000001</v>
      </c>
      <c r="L1293" s="15"/>
      <c r="AH1293" s="14"/>
      <c r="AI1293" s="14">
        <v>0.16528000000000001</v>
      </c>
      <c r="AJ1293" s="14"/>
      <c r="AK1293" s="14"/>
      <c r="AL1293" s="50"/>
      <c r="AM1293" s="19">
        <v>3.5416666666666666E-2</v>
      </c>
    </row>
    <row r="1294" spans="1:63" x14ac:dyDescent="0.3">
      <c r="A1294" s="2">
        <v>94046</v>
      </c>
      <c r="B1294" s="2">
        <v>78266</v>
      </c>
      <c r="C1294" s="2">
        <v>187478</v>
      </c>
      <c r="E1294" t="s">
        <v>834</v>
      </c>
      <c r="I1294" s="15">
        <v>0.26639200000000002</v>
      </c>
      <c r="L1294" s="15"/>
      <c r="AH1294" s="14"/>
      <c r="AI1294" s="14">
        <v>0.26639200000000002</v>
      </c>
      <c r="AJ1294" s="14"/>
      <c r="AK1294" s="14"/>
      <c r="AL1294" s="50"/>
      <c r="AM1294" s="19">
        <v>7.9166666666666663E-2</v>
      </c>
    </row>
    <row r="1295" spans="1:63" x14ac:dyDescent="0.3">
      <c r="A1295" s="2">
        <v>95981</v>
      </c>
      <c r="B1295" s="2">
        <v>80167</v>
      </c>
      <c r="C1295" s="2">
        <v>245260</v>
      </c>
      <c r="E1295" t="s">
        <v>981</v>
      </c>
      <c r="I1295" s="15">
        <v>0.277696</v>
      </c>
      <c r="L1295" s="15"/>
      <c r="AH1295" s="14"/>
      <c r="AI1295" s="14">
        <v>0.277696</v>
      </c>
      <c r="AJ1295" s="14"/>
      <c r="AK1295" s="14"/>
      <c r="AL1295" s="50"/>
      <c r="AM1295" s="21">
        <v>3.0555555555555555E-2</v>
      </c>
    </row>
    <row r="1296" spans="1:63" x14ac:dyDescent="0.3">
      <c r="A1296" s="2">
        <v>98542</v>
      </c>
      <c r="B1296" s="2">
        <v>80600</v>
      </c>
      <c r="C1296" s="2">
        <v>116137</v>
      </c>
      <c r="E1296" t="s">
        <v>821</v>
      </c>
      <c r="I1296" s="15">
        <v>0.50777300000000003</v>
      </c>
      <c r="L1296" s="15"/>
      <c r="O1296" s="58"/>
      <c r="T1296" s="58"/>
      <c r="U1296" s="58"/>
      <c r="V1296" s="58"/>
      <c r="W1296" s="58"/>
      <c r="X1296" s="58"/>
      <c r="Y1296" s="58"/>
      <c r="Z1296" s="58"/>
      <c r="AA1296" s="58"/>
      <c r="AB1296" s="58"/>
      <c r="AC1296" s="58"/>
      <c r="AD1296" s="58"/>
      <c r="AE1296" s="58"/>
      <c r="AG1296" s="1">
        <v>0.237149</v>
      </c>
      <c r="AH1296" s="14"/>
      <c r="AI1296" s="14">
        <v>0.50777300000000003</v>
      </c>
      <c r="AJ1296" s="14"/>
      <c r="AK1296" s="14"/>
      <c r="AL1296" s="50"/>
      <c r="AM1296" s="19">
        <v>0.13333333333333333</v>
      </c>
      <c r="AX1296" s="58"/>
      <c r="AY1296" s="58"/>
      <c r="AZ1296" s="58"/>
      <c r="BA1296" s="58"/>
      <c r="BB1296" s="58"/>
      <c r="BC1296" s="58"/>
      <c r="BD1296" s="58"/>
      <c r="BE1296" s="58"/>
      <c r="BF1296" s="58"/>
      <c r="BG1296" s="58"/>
      <c r="BH1296" s="58"/>
      <c r="BI1296" s="58"/>
      <c r="BJ1296" s="58"/>
      <c r="BK1296" s="58"/>
    </row>
    <row r="1297" spans="1:63" x14ac:dyDescent="0.3">
      <c r="A1297" s="2">
        <v>98570</v>
      </c>
      <c r="B1297" s="2">
        <v>82222</v>
      </c>
      <c r="C1297" s="2">
        <v>315147</v>
      </c>
      <c r="E1297" t="s">
        <v>915</v>
      </c>
      <c r="I1297" s="15">
        <v>0.121147</v>
      </c>
      <c r="L1297" s="15"/>
      <c r="AH1297" s="14"/>
      <c r="AI1297" s="14">
        <v>0.121147</v>
      </c>
      <c r="AJ1297" s="14"/>
      <c r="AK1297" s="14"/>
      <c r="AL1297" s="50"/>
      <c r="AM1297" s="19">
        <v>0.34652777777777777</v>
      </c>
    </row>
    <row r="1298" spans="1:63" x14ac:dyDescent="0.3">
      <c r="A1298" s="2">
        <v>100195</v>
      </c>
      <c r="B1298" s="2">
        <v>82940</v>
      </c>
      <c r="C1298" s="2">
        <v>79530</v>
      </c>
      <c r="E1298" t="s">
        <v>1014</v>
      </c>
      <c r="I1298" s="15">
        <v>0.54786999999999997</v>
      </c>
      <c r="L1298" s="15"/>
      <c r="AH1298" s="14"/>
      <c r="AI1298" s="14">
        <v>0.54786999999999997</v>
      </c>
      <c r="AJ1298" s="14"/>
      <c r="AK1298" s="14"/>
      <c r="AL1298" s="50"/>
      <c r="AM1298" s="21">
        <v>0.19444444444444445</v>
      </c>
    </row>
    <row r="1299" spans="1:63" x14ac:dyDescent="0.3">
      <c r="A1299" s="2">
        <v>410506</v>
      </c>
      <c r="B1299" s="2">
        <v>82222</v>
      </c>
      <c r="C1299" s="2">
        <v>392077</v>
      </c>
      <c r="D1299" s="2">
        <v>96800</v>
      </c>
      <c r="E1299" t="s">
        <v>795</v>
      </c>
      <c r="I1299" s="15">
        <v>0.65190700000000001</v>
      </c>
      <c r="L1299" s="15"/>
      <c r="O1299" s="58"/>
      <c r="P1299" s="14">
        <v>9.1136999999999996E-2</v>
      </c>
      <c r="T1299" s="58"/>
      <c r="U1299" s="58"/>
      <c r="V1299" s="58"/>
      <c r="W1299" s="58"/>
      <c r="X1299" s="58"/>
      <c r="Y1299" s="58"/>
      <c r="Z1299" s="58"/>
      <c r="AA1299" s="58"/>
      <c r="AB1299" s="58"/>
      <c r="AC1299" s="58"/>
      <c r="AD1299" s="58"/>
      <c r="AE1299" s="58"/>
      <c r="AG1299" s="1">
        <v>0.26882099999999998</v>
      </c>
      <c r="AH1299" s="14"/>
      <c r="AI1299" s="14">
        <v>0.65190700000000001</v>
      </c>
      <c r="AJ1299" s="14"/>
      <c r="AK1299" s="14"/>
      <c r="AL1299" s="50"/>
      <c r="AM1299" s="19">
        <v>9.8611111111111108E-2</v>
      </c>
      <c r="AX1299" s="58"/>
      <c r="AY1299" s="58"/>
      <c r="AZ1299" s="58"/>
      <c r="BA1299" s="58"/>
      <c r="BB1299" s="58"/>
      <c r="BC1299" s="58"/>
      <c r="BD1299" s="58"/>
      <c r="BE1299" s="58"/>
      <c r="BF1299" s="58"/>
      <c r="BG1299" s="58"/>
      <c r="BH1299" s="58"/>
      <c r="BI1299" s="58"/>
      <c r="BJ1299" s="58"/>
      <c r="BK1299" s="58"/>
    </row>
    <row r="1300" spans="1:63" x14ac:dyDescent="0.3">
      <c r="A1300" s="2">
        <v>101119</v>
      </c>
      <c r="B1300" s="2">
        <v>70448</v>
      </c>
      <c r="C1300" s="2">
        <v>438532</v>
      </c>
      <c r="D1300" s="2">
        <v>332914</v>
      </c>
      <c r="E1300" t="s">
        <v>1041</v>
      </c>
      <c r="I1300" s="15">
        <v>0.123067</v>
      </c>
      <c r="L1300" s="15"/>
      <c r="P1300" s="14">
        <v>6.7419000000000007E-2</v>
      </c>
      <c r="AH1300" s="14"/>
      <c r="AI1300" s="14">
        <v>0.123067</v>
      </c>
      <c r="AJ1300" s="14"/>
      <c r="AK1300" s="14"/>
      <c r="AL1300" s="50"/>
      <c r="AM1300" s="19">
        <v>7.8472222222222221E-2</v>
      </c>
    </row>
    <row r="1301" spans="1:63" x14ac:dyDescent="0.3">
      <c r="A1301" s="2">
        <v>252955</v>
      </c>
      <c r="B1301" s="2">
        <v>42270</v>
      </c>
      <c r="C1301" s="2">
        <v>473176</v>
      </c>
      <c r="D1301" s="2">
        <v>132544</v>
      </c>
      <c r="E1301" t="s">
        <v>1025</v>
      </c>
      <c r="I1301" s="15">
        <v>0.34871999999999997</v>
      </c>
      <c r="L1301" s="15"/>
      <c r="P1301" s="14">
        <v>5.0846000000000002E-2</v>
      </c>
      <c r="AG1301" s="14"/>
      <c r="AH1301" s="14"/>
      <c r="AI1301" s="14">
        <v>0.34871999999999997</v>
      </c>
      <c r="AJ1301" s="14"/>
      <c r="AK1301" s="14"/>
      <c r="AL1301" s="50"/>
      <c r="AM1301" s="19">
        <v>0.1277777777777778</v>
      </c>
    </row>
    <row r="1302" spans="1:63" x14ac:dyDescent="0.3">
      <c r="A1302" s="2">
        <v>100959</v>
      </c>
      <c r="B1302" s="2">
        <v>83377</v>
      </c>
      <c r="C1302" s="2">
        <v>450951</v>
      </c>
      <c r="E1302" t="s">
        <v>865</v>
      </c>
      <c r="I1302" s="15">
        <v>5.9858000000000001E-2</v>
      </c>
      <c r="L1302" s="15"/>
      <c r="AH1302" s="14"/>
      <c r="AI1302" s="14">
        <v>5.9858000000000001E-2</v>
      </c>
      <c r="AJ1302" s="14"/>
      <c r="AK1302" s="14"/>
      <c r="AL1302" s="50"/>
      <c r="AM1302" s="21">
        <v>0.43194444444444446</v>
      </c>
    </row>
    <row r="1303" spans="1:63" x14ac:dyDescent="0.3">
      <c r="A1303" s="2">
        <v>137579</v>
      </c>
      <c r="B1303" s="2">
        <v>65401</v>
      </c>
      <c r="C1303" s="2">
        <v>514906</v>
      </c>
      <c r="D1303" s="2">
        <v>320264</v>
      </c>
      <c r="E1303" t="s">
        <v>1042</v>
      </c>
      <c r="I1303" s="15">
        <v>0.166854</v>
      </c>
      <c r="L1303" s="15"/>
      <c r="P1303" s="14">
        <v>6.1173999999999999E-2</v>
      </c>
      <c r="AH1303" s="14"/>
      <c r="AI1303" s="14">
        <v>0.166854</v>
      </c>
      <c r="AJ1303" s="14"/>
      <c r="AK1303" s="14"/>
      <c r="AL1303" s="50"/>
      <c r="AM1303" s="19">
        <v>2.361111111111111E-2</v>
      </c>
    </row>
    <row r="1304" spans="1:63" x14ac:dyDescent="0.3">
      <c r="A1304" s="2">
        <v>104851</v>
      </c>
      <c r="B1304" s="2">
        <v>83458</v>
      </c>
      <c r="C1304" s="2">
        <v>191322</v>
      </c>
      <c r="E1304" t="s">
        <v>934</v>
      </c>
      <c r="I1304" s="15">
        <v>0.27698</v>
      </c>
      <c r="L1304" s="15"/>
      <c r="AH1304" s="14"/>
      <c r="AI1304" s="14">
        <v>0.27698</v>
      </c>
      <c r="AJ1304" s="14"/>
      <c r="AK1304" s="14"/>
      <c r="AL1304" s="50"/>
      <c r="AM1304" s="19">
        <v>9.375E-2</v>
      </c>
    </row>
    <row r="1305" spans="1:63" x14ac:dyDescent="0.3">
      <c r="A1305" s="2">
        <v>109230</v>
      </c>
      <c r="B1305" s="2">
        <v>84038</v>
      </c>
      <c r="C1305" s="2">
        <v>448033</v>
      </c>
      <c r="E1305" t="s">
        <v>847</v>
      </c>
      <c r="I1305" s="15">
        <v>8.3721000000000004E-2</v>
      </c>
      <c r="L1305" s="15"/>
      <c r="AH1305" s="14"/>
      <c r="AI1305" s="14">
        <v>8.3721000000000004E-2</v>
      </c>
      <c r="AJ1305" s="14"/>
      <c r="AK1305" s="14"/>
      <c r="AL1305" s="50"/>
      <c r="AM1305" s="19">
        <v>0.17083333333333331</v>
      </c>
    </row>
    <row r="1306" spans="1:63" x14ac:dyDescent="0.3">
      <c r="A1306" s="2">
        <v>110954</v>
      </c>
      <c r="B1306" s="2">
        <v>87014</v>
      </c>
      <c r="C1306" s="2">
        <v>161346</v>
      </c>
      <c r="E1306" t="s">
        <v>867</v>
      </c>
      <c r="I1306" s="15">
        <v>0.25052099999999999</v>
      </c>
      <c r="L1306" s="15"/>
      <c r="AH1306" s="14"/>
      <c r="AI1306" s="14">
        <v>0.25052099999999999</v>
      </c>
      <c r="AJ1306" s="14"/>
      <c r="AK1306" s="14"/>
      <c r="AL1306" s="50"/>
      <c r="AM1306" s="21">
        <v>0.23055555555555554</v>
      </c>
    </row>
    <row r="1307" spans="1:63" x14ac:dyDescent="0.3">
      <c r="A1307" s="2">
        <v>112151</v>
      </c>
      <c r="B1307" s="2">
        <v>87024</v>
      </c>
      <c r="C1307" s="2">
        <v>171189</v>
      </c>
      <c r="E1307" t="s">
        <v>982</v>
      </c>
      <c r="I1307" s="15">
        <v>0.357184</v>
      </c>
      <c r="L1307" s="15"/>
      <c r="AH1307" s="14"/>
      <c r="AI1307" s="14">
        <v>0.357184</v>
      </c>
      <c r="AJ1307" s="14"/>
      <c r="AK1307" s="14"/>
      <c r="AL1307" s="50"/>
      <c r="AM1307" s="21">
        <v>4.3055555555555562E-2</v>
      </c>
    </row>
    <row r="1308" spans="1:63" x14ac:dyDescent="0.3">
      <c r="A1308" s="2">
        <v>112417</v>
      </c>
      <c r="B1308" s="2">
        <v>87349</v>
      </c>
      <c r="C1308" s="2">
        <v>139460</v>
      </c>
      <c r="E1308" t="s">
        <v>1034</v>
      </c>
      <c r="I1308" s="15">
        <v>0.29633799999999999</v>
      </c>
      <c r="L1308" s="15"/>
      <c r="AH1308" s="14"/>
      <c r="AI1308" s="14">
        <v>0.29633799999999999</v>
      </c>
      <c r="AJ1308" s="14"/>
      <c r="AK1308" s="14"/>
      <c r="AL1308" s="50"/>
      <c r="AM1308" s="19">
        <v>0.23194444444444443</v>
      </c>
    </row>
    <row r="1309" spans="1:63" x14ac:dyDescent="0.3">
      <c r="A1309" s="2">
        <v>114126</v>
      </c>
      <c r="B1309" s="2">
        <v>92899</v>
      </c>
      <c r="C1309" s="2">
        <v>669602</v>
      </c>
      <c r="E1309" t="s">
        <v>952</v>
      </c>
      <c r="I1309" s="15">
        <v>3.7558000000000001E-2</v>
      </c>
      <c r="L1309" s="15"/>
      <c r="AH1309" s="14"/>
      <c r="AI1309" s="14">
        <v>3.7558000000000001E-2</v>
      </c>
      <c r="AJ1309" s="14"/>
      <c r="AK1309" s="14"/>
      <c r="AL1309" s="50"/>
      <c r="AM1309" s="19">
        <v>6.9444444444444434E-2</v>
      </c>
    </row>
    <row r="1310" spans="1:63" x14ac:dyDescent="0.3">
      <c r="A1310" s="2">
        <v>115744</v>
      </c>
      <c r="B1310" s="2">
        <v>94046</v>
      </c>
      <c r="C1310" s="2">
        <v>289102</v>
      </c>
      <c r="E1310" t="s">
        <v>803</v>
      </c>
      <c r="I1310" s="15">
        <v>0.17391100000000001</v>
      </c>
      <c r="L1310" s="15"/>
      <c r="AG1310" s="1">
        <v>0.17697499999999999</v>
      </c>
      <c r="AH1310" s="14"/>
      <c r="AI1310" s="14">
        <v>0.17391100000000001</v>
      </c>
      <c r="AJ1310" s="14"/>
      <c r="AK1310" s="14"/>
      <c r="AL1310" s="50"/>
      <c r="AM1310" s="21">
        <v>6.458333333333334E-2</v>
      </c>
    </row>
    <row r="1311" spans="1:63" x14ac:dyDescent="0.3">
      <c r="A1311" s="2">
        <v>299613</v>
      </c>
      <c r="B1311" s="2">
        <v>30929</v>
      </c>
      <c r="C1311" s="2">
        <v>538014</v>
      </c>
      <c r="D1311" s="2">
        <v>71965</v>
      </c>
      <c r="E1311" t="s">
        <v>572</v>
      </c>
      <c r="I1311" s="15">
        <v>0.75358099999999995</v>
      </c>
      <c r="L1311" s="15"/>
      <c r="P1311" s="14">
        <v>6.6324999999999995E-2</v>
      </c>
      <c r="AH1311" s="14"/>
      <c r="AI1311" s="14">
        <v>0.75358099999999995</v>
      </c>
      <c r="AJ1311" s="14"/>
      <c r="AK1311" s="14"/>
      <c r="AL1311" s="50"/>
      <c r="AM1311" s="19">
        <v>5.4166666666666669E-2</v>
      </c>
    </row>
    <row r="1312" spans="1:63" x14ac:dyDescent="0.3">
      <c r="A1312" s="2">
        <v>120338</v>
      </c>
      <c r="B1312" s="2">
        <v>95981</v>
      </c>
      <c r="C1312" s="2">
        <v>155266</v>
      </c>
      <c r="E1312" t="s">
        <v>794</v>
      </c>
      <c r="I1312" s="15">
        <v>0.24010600000000001</v>
      </c>
      <c r="L1312" s="15"/>
      <c r="AH1312" s="14"/>
      <c r="AI1312" s="14">
        <v>0.24010600000000001</v>
      </c>
      <c r="AJ1312" s="14"/>
      <c r="AK1312" s="14"/>
      <c r="AL1312" s="50"/>
      <c r="AM1312" s="19">
        <v>0.30833333333333335</v>
      </c>
    </row>
    <row r="1313" spans="1:63" x14ac:dyDescent="0.3">
      <c r="A1313" s="2">
        <v>125085</v>
      </c>
      <c r="B1313" s="2">
        <v>98542</v>
      </c>
      <c r="C1313" s="2">
        <v>284365</v>
      </c>
      <c r="E1313" t="s">
        <v>978</v>
      </c>
      <c r="I1313" s="15">
        <v>0.23280300000000001</v>
      </c>
      <c r="L1313" s="15"/>
      <c r="AH1313" s="14"/>
      <c r="AI1313" s="14">
        <v>0.23280300000000001</v>
      </c>
      <c r="AJ1313" s="14"/>
      <c r="AK1313" s="14"/>
      <c r="AL1313" s="50"/>
      <c r="AM1313" s="21">
        <v>1.6666666666666666E-2</v>
      </c>
    </row>
    <row r="1314" spans="1:63" x14ac:dyDescent="0.3">
      <c r="A1314" s="2">
        <v>128783</v>
      </c>
      <c r="B1314" s="2">
        <v>98570</v>
      </c>
      <c r="C1314" s="2">
        <v>210686</v>
      </c>
      <c r="E1314" t="s">
        <v>1068</v>
      </c>
      <c r="I1314" s="15">
        <v>0.21390899999999999</v>
      </c>
      <c r="L1314" s="15"/>
      <c r="AH1314" s="14"/>
      <c r="AI1314" s="14">
        <v>0.21390899999999999</v>
      </c>
      <c r="AJ1314" s="14"/>
      <c r="AK1314" s="14"/>
      <c r="AL1314" s="50"/>
      <c r="AM1314" s="21">
        <v>9.3055555555555558E-2</v>
      </c>
    </row>
    <row r="1315" spans="1:63" x14ac:dyDescent="0.3">
      <c r="A1315" s="2">
        <v>131042</v>
      </c>
      <c r="B1315" s="2">
        <v>100195</v>
      </c>
      <c r="C1315" s="2">
        <v>531260</v>
      </c>
      <c r="E1315" t="s">
        <v>1045</v>
      </c>
      <c r="I1315" s="15">
        <v>7.1768999999999999E-2</v>
      </c>
      <c r="L1315" s="15"/>
      <c r="AH1315" s="14"/>
      <c r="AI1315" s="14">
        <v>7.1768999999999999E-2</v>
      </c>
      <c r="AJ1315" s="14"/>
      <c r="AK1315" s="14"/>
      <c r="AL1315" s="50"/>
      <c r="AM1315" s="19">
        <v>8.4722222222222213E-2</v>
      </c>
    </row>
    <row r="1316" spans="1:63" x14ac:dyDescent="0.3">
      <c r="A1316" s="2">
        <v>135127</v>
      </c>
      <c r="B1316" s="2">
        <v>100959</v>
      </c>
      <c r="C1316" s="2">
        <v>625610</v>
      </c>
      <c r="E1316" t="s">
        <v>798</v>
      </c>
      <c r="I1316" s="15">
        <v>6.4711000000000005E-2</v>
      </c>
      <c r="L1316" s="15"/>
      <c r="AH1316" s="14"/>
      <c r="AI1316" s="14">
        <v>6.4711000000000005E-2</v>
      </c>
      <c r="AJ1316" s="14"/>
      <c r="AK1316" s="14"/>
      <c r="AL1316" s="50"/>
      <c r="AM1316" s="19">
        <v>5.0694444444444452E-2</v>
      </c>
    </row>
    <row r="1317" spans="1:63" x14ac:dyDescent="0.3">
      <c r="A1317" s="2">
        <v>138955</v>
      </c>
      <c r="B1317" s="2">
        <v>104851</v>
      </c>
      <c r="C1317" s="2">
        <v>414216</v>
      </c>
      <c r="E1317" t="s">
        <v>818</v>
      </c>
      <c r="I1317" s="15">
        <v>9.7415000000000002E-2</v>
      </c>
      <c r="L1317" s="15"/>
      <c r="AH1317" s="14"/>
      <c r="AI1317" s="14">
        <v>9.7415000000000002E-2</v>
      </c>
      <c r="AJ1317" s="14"/>
      <c r="AK1317" s="14"/>
      <c r="AL1317" s="50"/>
      <c r="AM1317" s="19">
        <v>0.1111111111111111</v>
      </c>
    </row>
    <row r="1318" spans="1:63" x14ac:dyDescent="0.3">
      <c r="A1318" s="2">
        <v>144189</v>
      </c>
      <c r="B1318" s="2">
        <v>109230</v>
      </c>
      <c r="C1318" s="2">
        <v>448435</v>
      </c>
      <c r="E1318" t="s">
        <v>928</v>
      </c>
      <c r="I1318" s="15">
        <v>7.8155000000000002E-2</v>
      </c>
      <c r="L1318" s="15"/>
      <c r="AH1318" s="14"/>
      <c r="AI1318" s="14">
        <v>7.8155000000000002E-2</v>
      </c>
      <c r="AJ1318" s="14"/>
      <c r="AK1318" s="14"/>
      <c r="AL1318" s="50"/>
      <c r="AM1318" s="19">
        <v>0.47152777777777777</v>
      </c>
    </row>
    <row r="1319" spans="1:63" x14ac:dyDescent="0.3">
      <c r="A1319" s="2">
        <v>145685</v>
      </c>
      <c r="B1319" s="2">
        <v>110954</v>
      </c>
      <c r="C1319" s="2">
        <v>61350</v>
      </c>
      <c r="E1319" t="s">
        <v>1181</v>
      </c>
      <c r="I1319" s="15">
        <v>0.93016699999999997</v>
      </c>
      <c r="L1319" s="15"/>
      <c r="AH1319" s="14"/>
      <c r="AI1319" s="14">
        <v>0.93016699999999997</v>
      </c>
      <c r="AJ1319" s="14"/>
      <c r="AK1319" s="14"/>
      <c r="AL1319" s="50"/>
      <c r="AM1319" s="21">
        <v>0.12569444444444444</v>
      </c>
    </row>
    <row r="1320" spans="1:63" x14ac:dyDescent="0.3">
      <c r="A1320" s="2">
        <v>148264</v>
      </c>
      <c r="B1320" s="2">
        <v>112151</v>
      </c>
      <c r="C1320" s="2">
        <v>102014</v>
      </c>
      <c r="E1320" t="s">
        <v>1114</v>
      </c>
      <c r="I1320" s="15">
        <v>0.36461100000000002</v>
      </c>
      <c r="L1320" s="15"/>
      <c r="AH1320" s="14"/>
      <c r="AI1320" s="14">
        <v>0.36461100000000002</v>
      </c>
      <c r="AJ1320" s="14"/>
      <c r="AK1320" s="14"/>
      <c r="AL1320" s="50"/>
      <c r="AM1320" s="21">
        <v>0.20486111111111113</v>
      </c>
    </row>
    <row r="1321" spans="1:63" x14ac:dyDescent="0.3">
      <c r="A1321" s="2">
        <v>148434</v>
      </c>
      <c r="B1321" s="2">
        <v>112417</v>
      </c>
      <c r="C1321" s="2">
        <v>168328</v>
      </c>
      <c r="E1321" t="s">
        <v>866</v>
      </c>
      <c r="I1321" s="15">
        <v>0.31137399999999998</v>
      </c>
      <c r="L1321" s="15"/>
      <c r="O1321" s="58"/>
      <c r="T1321" s="58"/>
      <c r="U1321" s="58"/>
      <c r="V1321" s="58"/>
      <c r="W1321" s="58"/>
      <c r="X1321" s="58"/>
      <c r="Y1321" s="58"/>
      <c r="Z1321" s="58"/>
      <c r="AA1321" s="58"/>
      <c r="AB1321" s="58"/>
      <c r="AC1321" s="58"/>
      <c r="AD1321" s="58"/>
      <c r="AE1321" s="58"/>
      <c r="AG1321" s="1">
        <v>0.13262499999999999</v>
      </c>
      <c r="AH1321" s="14"/>
      <c r="AI1321" s="14">
        <v>0.31137399999999998</v>
      </c>
      <c r="AJ1321" s="14"/>
      <c r="AK1321" s="14"/>
      <c r="AL1321" s="50"/>
      <c r="AM1321" s="19">
        <v>5.7638888888888885E-2</v>
      </c>
      <c r="AX1321" s="58"/>
      <c r="AY1321" s="58"/>
      <c r="AZ1321" s="58"/>
      <c r="BA1321" s="58"/>
      <c r="BB1321" s="58"/>
      <c r="BC1321" s="58"/>
      <c r="BD1321" s="58"/>
      <c r="BE1321" s="58"/>
      <c r="BF1321" s="58"/>
      <c r="BG1321" s="58"/>
      <c r="BH1321" s="58"/>
      <c r="BI1321" s="58"/>
      <c r="BJ1321" s="58"/>
      <c r="BK1321" s="58"/>
    </row>
    <row r="1322" spans="1:63" x14ac:dyDescent="0.3">
      <c r="A1322" s="2">
        <v>156510</v>
      </c>
      <c r="B1322" s="2">
        <v>114126</v>
      </c>
      <c r="C1322" s="2">
        <v>504707</v>
      </c>
      <c r="E1322" t="s">
        <v>852</v>
      </c>
      <c r="I1322" s="15">
        <v>9.4228999999999993E-2</v>
      </c>
      <c r="L1322" s="15"/>
      <c r="AH1322" s="14"/>
      <c r="AI1322" s="14">
        <v>9.4228999999999993E-2</v>
      </c>
      <c r="AJ1322" s="14"/>
      <c r="AK1322" s="14"/>
      <c r="AL1322" s="50"/>
      <c r="AM1322" s="19">
        <v>0.14305555555555557</v>
      </c>
    </row>
    <row r="1323" spans="1:63" x14ac:dyDescent="0.3">
      <c r="A1323" s="2">
        <v>158155</v>
      </c>
      <c r="B1323" s="2">
        <v>115744</v>
      </c>
      <c r="C1323" s="2">
        <v>102471</v>
      </c>
      <c r="E1323" t="s">
        <v>1023</v>
      </c>
      <c r="I1323" s="15">
        <v>0.54634899999999997</v>
      </c>
      <c r="L1323" s="15"/>
      <c r="AH1323" s="14"/>
      <c r="AI1323" s="14">
        <v>0.54634899999999997</v>
      </c>
      <c r="AJ1323" s="14"/>
      <c r="AK1323" s="14"/>
      <c r="AL1323" s="50"/>
      <c r="AM1323" s="19">
        <v>4.1666666666666664E-2</v>
      </c>
    </row>
    <row r="1324" spans="1:63" x14ac:dyDescent="0.3">
      <c r="A1324" s="2">
        <v>160348</v>
      </c>
      <c r="B1324" s="2">
        <v>120338</v>
      </c>
      <c r="C1324" s="2">
        <v>107196</v>
      </c>
      <c r="E1324" t="s">
        <v>1066</v>
      </c>
      <c r="I1324" s="15">
        <v>0.56619299999999995</v>
      </c>
      <c r="L1324" s="15"/>
      <c r="AH1324" s="14"/>
      <c r="AI1324" s="14">
        <v>0.56619299999999995</v>
      </c>
      <c r="AJ1324" s="14"/>
      <c r="AK1324" s="14"/>
      <c r="AL1324" s="50"/>
      <c r="AM1324" s="19">
        <v>0.12291666666666667</v>
      </c>
    </row>
    <row r="1325" spans="1:63" x14ac:dyDescent="0.3">
      <c r="A1325" s="2">
        <v>162240</v>
      </c>
      <c r="B1325" s="2">
        <v>125085</v>
      </c>
      <c r="C1325" s="2">
        <v>76125</v>
      </c>
      <c r="E1325" t="s">
        <v>984</v>
      </c>
      <c r="I1325" s="15">
        <v>0.58323100000000005</v>
      </c>
      <c r="L1325" s="15"/>
      <c r="AH1325" s="14"/>
      <c r="AI1325" s="14">
        <v>0.58323100000000005</v>
      </c>
      <c r="AJ1325" s="14"/>
      <c r="AK1325" s="14"/>
      <c r="AL1325" s="50"/>
      <c r="AM1325" s="21">
        <v>0.24374999999999999</v>
      </c>
    </row>
    <row r="1326" spans="1:63" x14ac:dyDescent="0.3">
      <c r="A1326" s="2">
        <v>162630</v>
      </c>
      <c r="B1326" s="2">
        <v>210686</v>
      </c>
      <c r="C1326" s="2">
        <v>643051</v>
      </c>
      <c r="E1326" t="s">
        <v>594</v>
      </c>
      <c r="I1326" s="15">
        <v>8.9998999999999996E-2</v>
      </c>
      <c r="L1326" s="15"/>
      <c r="AH1326" s="14"/>
      <c r="AI1326" s="14">
        <v>8.9998999999999996E-2</v>
      </c>
      <c r="AJ1326" s="14"/>
      <c r="AK1326" s="14"/>
      <c r="AL1326" s="50"/>
      <c r="AM1326" s="19">
        <v>5.1388888888888894E-2</v>
      </c>
    </row>
    <row r="1327" spans="1:63" x14ac:dyDescent="0.3">
      <c r="A1327" s="2">
        <v>165077</v>
      </c>
      <c r="B1327" s="2">
        <v>131042</v>
      </c>
      <c r="C1327" s="2">
        <v>218560</v>
      </c>
      <c r="E1327" t="s">
        <v>907</v>
      </c>
      <c r="I1327" s="15">
        <v>0.20650399999999999</v>
      </c>
      <c r="L1327" s="15"/>
      <c r="O1327" s="58"/>
      <c r="T1327" s="58"/>
      <c r="U1327" s="58"/>
      <c r="V1327" s="58"/>
      <c r="W1327" s="58"/>
      <c r="X1327" s="58"/>
      <c r="Y1327" s="58"/>
      <c r="Z1327" s="58"/>
      <c r="AA1327" s="58"/>
      <c r="AB1327" s="58"/>
      <c r="AC1327" s="58"/>
      <c r="AD1327" s="58"/>
      <c r="AE1327" s="58"/>
      <c r="AG1327" s="1">
        <v>0.149338</v>
      </c>
      <c r="AH1327" s="14"/>
      <c r="AI1327" s="14">
        <v>0.20650399999999999</v>
      </c>
      <c r="AJ1327" s="14"/>
      <c r="AK1327" s="14"/>
      <c r="AL1327" s="50"/>
      <c r="AM1327" s="19">
        <v>0.22708333333333333</v>
      </c>
      <c r="AX1327" s="58"/>
      <c r="AY1327" s="58"/>
      <c r="AZ1327" s="58"/>
      <c r="BA1327" s="58"/>
      <c r="BB1327" s="58"/>
      <c r="BC1327" s="58"/>
      <c r="BD1327" s="58"/>
      <c r="BE1327" s="58"/>
      <c r="BF1327" s="58"/>
      <c r="BG1327" s="58"/>
      <c r="BH1327" s="58"/>
      <c r="BI1327" s="58"/>
      <c r="BJ1327" s="58"/>
      <c r="BK1327" s="58"/>
    </row>
    <row r="1328" spans="1:63" x14ac:dyDescent="0.3">
      <c r="A1328" s="2">
        <v>165117</v>
      </c>
      <c r="B1328" s="2">
        <v>135127</v>
      </c>
      <c r="C1328" s="2">
        <v>235799</v>
      </c>
      <c r="E1328" t="s">
        <v>1212</v>
      </c>
      <c r="I1328" s="2">
        <v>0.204351</v>
      </c>
      <c r="AH1328" s="14"/>
      <c r="AI1328" s="14">
        <v>0.204351</v>
      </c>
      <c r="AJ1328" s="14"/>
      <c r="AK1328" s="14"/>
      <c r="AL1328" s="50"/>
      <c r="AM1328" s="19">
        <v>0.26458333333333334</v>
      </c>
    </row>
    <row r="1329" spans="1:63" x14ac:dyDescent="0.3">
      <c r="A1329" s="2">
        <v>165214</v>
      </c>
      <c r="B1329" s="2">
        <v>138955</v>
      </c>
      <c r="C1329" s="2">
        <v>185779</v>
      </c>
      <c r="E1329" t="s">
        <v>1031</v>
      </c>
      <c r="I1329" s="15">
        <v>0.26993299999999998</v>
      </c>
      <c r="L1329" s="15"/>
      <c r="AH1329" s="14"/>
      <c r="AI1329" s="14">
        <v>0.26993299999999998</v>
      </c>
      <c r="AJ1329" s="14"/>
      <c r="AK1329" s="14"/>
      <c r="AL1329" s="50"/>
      <c r="AM1329" s="19">
        <v>6.7361111111111108E-2</v>
      </c>
    </row>
    <row r="1330" spans="1:63" x14ac:dyDescent="0.3">
      <c r="A1330" s="2">
        <v>175073</v>
      </c>
      <c r="B1330" s="2">
        <v>144189</v>
      </c>
      <c r="C1330" s="2">
        <v>592763</v>
      </c>
      <c r="E1330" t="s">
        <v>805</v>
      </c>
      <c r="I1330" s="15">
        <v>6.0814E-2</v>
      </c>
      <c r="L1330" s="15"/>
      <c r="AH1330" s="14"/>
      <c r="AI1330" s="14">
        <v>6.0814E-2</v>
      </c>
      <c r="AJ1330" s="14"/>
      <c r="AK1330" s="14"/>
      <c r="AL1330" s="50"/>
      <c r="AM1330" s="19">
        <v>5.6250000000000001E-2</v>
      </c>
    </row>
    <row r="1331" spans="1:63" x14ac:dyDescent="0.3">
      <c r="A1331" s="2">
        <v>179492</v>
      </c>
      <c r="B1331" s="2">
        <v>145685</v>
      </c>
      <c r="C1331" s="2">
        <v>300580</v>
      </c>
      <c r="E1331" t="s">
        <v>989</v>
      </c>
      <c r="I1331" s="15">
        <v>0.13455700000000001</v>
      </c>
      <c r="L1331" s="15"/>
      <c r="AH1331" s="14"/>
      <c r="AI1331" s="14">
        <v>0.13455700000000001</v>
      </c>
      <c r="AJ1331" s="14"/>
      <c r="AK1331" s="14"/>
      <c r="AL1331" s="50"/>
      <c r="AM1331" s="21">
        <v>0.1125</v>
      </c>
    </row>
    <row r="1332" spans="1:63" x14ac:dyDescent="0.3">
      <c r="A1332" s="2">
        <v>180116</v>
      </c>
      <c r="B1332" s="2">
        <v>148264</v>
      </c>
      <c r="C1332" s="2">
        <v>441256</v>
      </c>
      <c r="E1332" t="s">
        <v>854</v>
      </c>
      <c r="I1332" s="15">
        <v>9.5690999999999998E-2</v>
      </c>
      <c r="L1332" s="15"/>
      <c r="AH1332" s="14"/>
      <c r="AI1332" s="14">
        <v>9.5690999999999998E-2</v>
      </c>
      <c r="AJ1332" s="14"/>
      <c r="AK1332" s="14"/>
      <c r="AL1332" s="50"/>
      <c r="AM1332" s="19">
        <v>8.4722222222222213E-2</v>
      </c>
    </row>
    <row r="1333" spans="1:63" ht="12.5" x14ac:dyDescent="0.25">
      <c r="A1333" s="2">
        <v>180699</v>
      </c>
      <c r="B1333" s="2" t="s">
        <v>772</v>
      </c>
      <c r="C1333" s="2">
        <v>330274</v>
      </c>
      <c r="E1333" t="s">
        <v>1473</v>
      </c>
      <c r="I1333" s="15"/>
      <c r="K1333" s="15"/>
      <c r="L1333" s="15"/>
      <c r="AE1333" s="1">
        <v>0.108872</v>
      </c>
      <c r="AH1333" s="14"/>
      <c r="AI1333" s="14"/>
      <c r="AJ1333" s="14"/>
      <c r="AK1333" s="14"/>
      <c r="AL1333" s="50"/>
      <c r="AM1333" s="19"/>
    </row>
    <row r="1334" spans="1:63" x14ac:dyDescent="0.3">
      <c r="A1334" s="2">
        <v>183568</v>
      </c>
      <c r="B1334" s="2">
        <v>148434</v>
      </c>
      <c r="C1334" s="2">
        <v>754802</v>
      </c>
      <c r="E1334" t="s">
        <v>814</v>
      </c>
      <c r="I1334" s="15">
        <v>5.4674E-2</v>
      </c>
      <c r="L1334" s="15"/>
      <c r="AH1334" s="14"/>
      <c r="AI1334" s="14">
        <v>5.4670999999999997E-2</v>
      </c>
      <c r="AJ1334" s="14"/>
      <c r="AK1334" s="14"/>
      <c r="AL1334" s="50"/>
      <c r="AM1334" s="19">
        <v>9.4444444444444442E-2</v>
      </c>
    </row>
    <row r="1335" spans="1:63" x14ac:dyDescent="0.3">
      <c r="A1335" s="2">
        <v>185850</v>
      </c>
      <c r="B1335" s="2">
        <v>156510</v>
      </c>
      <c r="C1335" s="2">
        <v>74957</v>
      </c>
      <c r="E1335" t="s">
        <v>823</v>
      </c>
      <c r="I1335" s="15">
        <v>0.60908600000000002</v>
      </c>
      <c r="L1335" s="15"/>
      <c r="AH1335" s="14"/>
      <c r="AI1335" s="14">
        <v>0.60908600000000002</v>
      </c>
      <c r="AJ1335" s="14"/>
      <c r="AK1335" s="14"/>
      <c r="AL1335" s="50"/>
      <c r="AM1335" s="19">
        <v>0.31597222222222221</v>
      </c>
    </row>
    <row r="1336" spans="1:63" x14ac:dyDescent="0.3">
      <c r="A1336" s="2">
        <v>189602</v>
      </c>
      <c r="B1336" s="2">
        <v>158155</v>
      </c>
      <c r="C1336" s="2">
        <v>39283</v>
      </c>
      <c r="E1336" t="s">
        <v>783</v>
      </c>
      <c r="I1336" s="15">
        <v>1.0269999999999999</v>
      </c>
      <c r="L1336" s="15"/>
      <c r="AH1336" s="14"/>
      <c r="AI1336" s="14">
        <v>1.0269999999999999</v>
      </c>
      <c r="AJ1336" s="14"/>
      <c r="AK1336" s="14"/>
      <c r="AL1336" s="50"/>
      <c r="AM1336" s="21">
        <v>0.56805555555555554</v>
      </c>
    </row>
    <row r="1337" spans="1:63" x14ac:dyDescent="0.3">
      <c r="A1337" s="2">
        <v>193626</v>
      </c>
      <c r="B1337" s="2">
        <v>160348</v>
      </c>
      <c r="C1337" s="2">
        <v>315288</v>
      </c>
      <c r="E1337" t="s">
        <v>975</v>
      </c>
      <c r="I1337" s="15">
        <v>0.10598</v>
      </c>
      <c r="L1337" s="15"/>
      <c r="AH1337" s="14"/>
      <c r="AI1337" s="14">
        <v>0.10598</v>
      </c>
      <c r="AJ1337" s="14"/>
      <c r="AK1337" s="14"/>
      <c r="AL1337" s="50"/>
      <c r="AM1337" s="21">
        <v>0.1673611111111111</v>
      </c>
    </row>
    <row r="1338" spans="1:63" x14ac:dyDescent="0.3">
      <c r="A1338" s="2">
        <v>194991</v>
      </c>
      <c r="B1338" s="2">
        <v>162240</v>
      </c>
      <c r="C1338" s="2">
        <v>836526</v>
      </c>
      <c r="E1338" t="s">
        <v>815</v>
      </c>
      <c r="I1338" s="15">
        <v>5.1083999999999997E-2</v>
      </c>
      <c r="L1338" s="15"/>
      <c r="AH1338" s="14"/>
      <c r="AI1338" s="14">
        <v>5.1083999999999997E-2</v>
      </c>
      <c r="AJ1338" s="14"/>
      <c r="AK1338" s="14"/>
      <c r="AL1338" s="50"/>
      <c r="AM1338" s="21">
        <v>5.4166666666666669E-2</v>
      </c>
    </row>
    <row r="1339" spans="1:63" x14ac:dyDescent="0.3">
      <c r="A1339" s="2">
        <v>196044</v>
      </c>
      <c r="B1339" s="2">
        <v>29678</v>
      </c>
      <c r="C1339" s="2">
        <v>502782</v>
      </c>
      <c r="E1339" t="s">
        <v>799</v>
      </c>
      <c r="I1339" s="15">
        <v>8.6777999999999994E-2</v>
      </c>
      <c r="L1339" s="15"/>
      <c r="AH1339" s="14"/>
      <c r="AI1339" s="14">
        <v>8.6777999999999994E-2</v>
      </c>
      <c r="AJ1339" s="14"/>
      <c r="AK1339" s="14"/>
      <c r="AL1339" s="50"/>
      <c r="AM1339" s="21">
        <v>0.11666666666666665</v>
      </c>
    </row>
    <row r="1340" spans="1:63" x14ac:dyDescent="0.3">
      <c r="A1340" s="2">
        <v>198261</v>
      </c>
      <c r="B1340" s="2">
        <v>165077</v>
      </c>
      <c r="C1340" s="2">
        <v>473156</v>
      </c>
      <c r="E1340" t="s">
        <v>838</v>
      </c>
      <c r="I1340" s="15">
        <v>0.10972999999999999</v>
      </c>
      <c r="L1340" s="15"/>
      <c r="O1340" s="58"/>
      <c r="T1340" s="58"/>
      <c r="U1340" s="58"/>
      <c r="V1340" s="58"/>
      <c r="W1340" s="58"/>
      <c r="X1340" s="58"/>
      <c r="Y1340" s="58"/>
      <c r="Z1340" s="58"/>
      <c r="AA1340" s="58"/>
      <c r="AB1340" s="58"/>
      <c r="AC1340" s="58"/>
      <c r="AD1340" s="58"/>
      <c r="AE1340" s="58"/>
      <c r="AG1340" s="1">
        <v>0.17116999999999999</v>
      </c>
      <c r="AH1340" s="14"/>
      <c r="AI1340" s="14">
        <v>0.10972999999999999</v>
      </c>
      <c r="AJ1340" s="14"/>
      <c r="AK1340" s="14"/>
      <c r="AL1340" s="50"/>
      <c r="AM1340" s="21">
        <v>4.8611111111111112E-2</v>
      </c>
      <c r="AX1340" s="58"/>
      <c r="AY1340" s="58"/>
      <c r="AZ1340" s="58"/>
      <c r="BA1340" s="58"/>
      <c r="BB1340" s="58"/>
      <c r="BC1340" s="58"/>
      <c r="BD1340" s="58"/>
      <c r="BE1340" s="58"/>
      <c r="BF1340" s="58"/>
      <c r="BG1340" s="58"/>
      <c r="BH1340" s="58"/>
      <c r="BI1340" s="58"/>
      <c r="BJ1340" s="58"/>
      <c r="BK1340" s="58"/>
    </row>
    <row r="1341" spans="1:63" x14ac:dyDescent="0.3">
      <c r="A1341" s="2">
        <v>206518</v>
      </c>
      <c r="B1341" s="2">
        <v>165117</v>
      </c>
      <c r="C1341" s="2">
        <v>402841</v>
      </c>
      <c r="E1341" t="s">
        <v>862</v>
      </c>
      <c r="I1341" s="15">
        <v>0.13608400000000001</v>
      </c>
      <c r="L1341" s="15"/>
      <c r="AH1341" s="14"/>
      <c r="AI1341" s="14">
        <v>0.13608400000000001</v>
      </c>
      <c r="AJ1341" s="14"/>
      <c r="AK1341" s="14"/>
      <c r="AL1341" s="50"/>
      <c r="AM1341" s="21">
        <v>3.3333333333333333E-2</v>
      </c>
    </row>
    <row r="1342" spans="1:63" x14ac:dyDescent="0.3">
      <c r="A1342" s="2">
        <v>215398</v>
      </c>
      <c r="B1342" s="2">
        <v>165214</v>
      </c>
      <c r="C1342" s="2">
        <v>745454</v>
      </c>
      <c r="E1342" t="s">
        <v>813</v>
      </c>
      <c r="I1342" s="15">
        <v>6.0047999999999997E-2</v>
      </c>
      <c r="L1342" s="15"/>
      <c r="AH1342" s="14"/>
      <c r="AI1342" s="14">
        <v>6.0047999999999997E-2</v>
      </c>
      <c r="AJ1342" s="14"/>
      <c r="AK1342" s="14"/>
      <c r="AL1342" s="50"/>
      <c r="AM1342" s="21">
        <v>6.25E-2</v>
      </c>
    </row>
    <row r="1343" spans="1:63" x14ac:dyDescent="0.3">
      <c r="A1343" s="2">
        <v>220383</v>
      </c>
      <c r="B1343" s="2">
        <v>175073</v>
      </c>
      <c r="C1343" s="2">
        <v>5868</v>
      </c>
      <c r="E1343" t="s">
        <v>1048</v>
      </c>
      <c r="I1343" s="15">
        <v>7.9880000000000004</v>
      </c>
      <c r="L1343" s="15"/>
      <c r="AH1343" s="14"/>
      <c r="AI1343" s="14">
        <v>7.9880000000000004</v>
      </c>
      <c r="AJ1343" s="14"/>
      <c r="AK1343" s="14"/>
      <c r="AL1343" s="50"/>
      <c r="AM1343" s="19">
        <v>0.14722222222222223</v>
      </c>
    </row>
    <row r="1344" spans="1:63" x14ac:dyDescent="0.3">
      <c r="A1344" s="2">
        <v>233390</v>
      </c>
      <c r="B1344" s="2">
        <v>179492</v>
      </c>
      <c r="C1344" s="2">
        <v>196245</v>
      </c>
      <c r="E1344" t="s">
        <v>1110</v>
      </c>
      <c r="I1344" s="15">
        <v>0.29372900000000002</v>
      </c>
      <c r="L1344" s="15"/>
      <c r="AH1344" s="14"/>
      <c r="AI1344" s="14">
        <v>0.29372900000000002</v>
      </c>
      <c r="AJ1344" s="14"/>
      <c r="AK1344" s="14"/>
      <c r="AL1344" s="50"/>
      <c r="AM1344" s="21">
        <v>5.7638888888888885E-2</v>
      </c>
    </row>
    <row r="1345" spans="1:63" x14ac:dyDescent="0.3">
      <c r="A1345" s="2">
        <v>239872</v>
      </c>
      <c r="B1345" s="2">
        <v>180116</v>
      </c>
      <c r="C1345" s="2">
        <v>290877</v>
      </c>
      <c r="E1345" t="s">
        <v>883</v>
      </c>
      <c r="I1345" s="15">
        <v>0.11515400000000001</v>
      </c>
      <c r="L1345" s="15"/>
      <c r="AH1345" s="14"/>
      <c r="AI1345" s="14">
        <v>0.11515400000000001</v>
      </c>
      <c r="AJ1345" s="14"/>
      <c r="AK1345" s="14"/>
      <c r="AL1345" s="50"/>
      <c r="AM1345" s="21">
        <v>0.13263888888888889</v>
      </c>
    </row>
    <row r="1346" spans="1:63" x14ac:dyDescent="0.3">
      <c r="A1346" s="2">
        <v>249693</v>
      </c>
      <c r="B1346" s="2">
        <v>183568</v>
      </c>
      <c r="C1346" s="2">
        <v>196407</v>
      </c>
      <c r="E1346" t="s">
        <v>890</v>
      </c>
      <c r="I1346" s="15">
        <v>0.36059000000000002</v>
      </c>
      <c r="L1346" s="15"/>
      <c r="O1346" s="58"/>
      <c r="T1346" s="58"/>
      <c r="U1346" s="58"/>
      <c r="V1346" s="58"/>
      <c r="W1346" s="58"/>
      <c r="X1346" s="58"/>
      <c r="Y1346" s="58"/>
      <c r="Z1346" s="58"/>
      <c r="AA1346" s="58"/>
      <c r="AB1346" s="58"/>
      <c r="AC1346" s="58"/>
      <c r="AD1346" s="58"/>
      <c r="AE1346" s="58"/>
      <c r="AG1346" s="1">
        <v>0.628861</v>
      </c>
      <c r="AH1346" s="14"/>
      <c r="AI1346" s="14">
        <v>0.36059000000000002</v>
      </c>
      <c r="AJ1346" s="14"/>
      <c r="AK1346" s="14"/>
      <c r="AL1346" s="50"/>
      <c r="AM1346" s="21">
        <v>7.6388888888888886E-3</v>
      </c>
      <c r="AX1346" s="58"/>
      <c r="AY1346" s="58"/>
      <c r="AZ1346" s="58"/>
      <c r="BA1346" s="58"/>
      <c r="BB1346" s="58"/>
      <c r="BC1346" s="58"/>
      <c r="BD1346" s="58"/>
      <c r="BE1346" s="58"/>
      <c r="BF1346" s="58"/>
      <c r="BG1346" s="58"/>
      <c r="BH1346" s="58"/>
      <c r="BI1346" s="58"/>
      <c r="BJ1346" s="58"/>
      <c r="BK1346" s="58"/>
    </row>
    <row r="1347" spans="1:63" x14ac:dyDescent="0.3">
      <c r="A1347" s="2">
        <v>251404</v>
      </c>
      <c r="B1347" s="2">
        <v>185850</v>
      </c>
      <c r="C1347" s="2">
        <v>237449</v>
      </c>
      <c r="E1347" t="s">
        <v>1126</v>
      </c>
      <c r="I1347" s="15">
        <v>0.149258</v>
      </c>
      <c r="L1347" s="15"/>
      <c r="AH1347" s="14"/>
      <c r="AI1347" s="14">
        <v>0.149258</v>
      </c>
      <c r="AJ1347" s="14"/>
      <c r="AK1347" s="14"/>
      <c r="AL1347" s="50"/>
      <c r="AM1347" s="21">
        <v>0.11944444444444445</v>
      </c>
    </row>
    <row r="1348" spans="1:63" x14ac:dyDescent="0.3">
      <c r="A1348" s="2">
        <v>275806</v>
      </c>
      <c r="B1348" s="2">
        <v>193626</v>
      </c>
      <c r="C1348" s="2">
        <v>31718</v>
      </c>
      <c r="E1348" t="s">
        <v>1132</v>
      </c>
      <c r="I1348" s="15">
        <v>1.865</v>
      </c>
      <c r="L1348" s="15"/>
      <c r="AH1348" s="14"/>
      <c r="AI1348" s="14">
        <v>1.865</v>
      </c>
      <c r="AJ1348" s="14"/>
      <c r="AK1348" s="14"/>
      <c r="AL1348" s="50"/>
      <c r="AM1348" s="19">
        <v>0.12222222222222223</v>
      </c>
    </row>
    <row r="1349" spans="1:63" x14ac:dyDescent="0.3">
      <c r="A1349" s="2">
        <v>276728</v>
      </c>
      <c r="B1349" s="2">
        <v>194991</v>
      </c>
      <c r="C1349" s="2">
        <v>229666</v>
      </c>
      <c r="E1349" t="s">
        <v>790</v>
      </c>
      <c r="I1349" s="15">
        <v>0.221168</v>
      </c>
      <c r="L1349" s="15"/>
      <c r="AH1349" s="14"/>
      <c r="AI1349" s="14">
        <v>0.221168</v>
      </c>
      <c r="AJ1349" s="14"/>
      <c r="AK1349" s="14"/>
      <c r="AL1349" s="50"/>
      <c r="AM1349" s="21">
        <v>0.15</v>
      </c>
    </row>
    <row r="1350" spans="1:63" x14ac:dyDescent="0.3">
      <c r="A1350" s="2">
        <v>287152</v>
      </c>
      <c r="B1350" s="2">
        <v>196044</v>
      </c>
      <c r="C1350" s="2">
        <v>1541548</v>
      </c>
      <c r="E1350" t="s">
        <v>893</v>
      </c>
      <c r="I1350" s="15">
        <v>2.3637999999999999E-2</v>
      </c>
      <c r="L1350" s="15"/>
      <c r="AH1350" s="14"/>
      <c r="AI1350" s="14">
        <v>2.3637999999999999E-2</v>
      </c>
      <c r="AJ1350" s="14"/>
      <c r="AK1350" s="14"/>
      <c r="AL1350" s="50"/>
      <c r="AM1350" s="21">
        <v>6.3194444444444442E-2</v>
      </c>
    </row>
    <row r="1351" spans="1:63" x14ac:dyDescent="0.3">
      <c r="A1351" s="2">
        <v>287556</v>
      </c>
      <c r="B1351" s="2">
        <v>198261</v>
      </c>
      <c r="C1351" s="2">
        <v>111916</v>
      </c>
      <c r="E1351" t="s">
        <v>1109</v>
      </c>
      <c r="I1351" s="15">
        <v>0.36848599999999998</v>
      </c>
      <c r="L1351" s="15"/>
      <c r="AH1351" s="14"/>
      <c r="AI1351" s="14">
        <v>0.36848599999999998</v>
      </c>
      <c r="AJ1351" s="14"/>
      <c r="AK1351" s="14"/>
      <c r="AL1351" s="50"/>
      <c r="AM1351" s="21">
        <v>6.7361111111111108E-2</v>
      </c>
    </row>
    <row r="1352" spans="1:63" x14ac:dyDescent="0.3">
      <c r="A1352" s="2">
        <v>281091</v>
      </c>
      <c r="B1352" s="2">
        <v>206518</v>
      </c>
      <c r="C1352" s="2">
        <v>396061</v>
      </c>
      <c r="E1352" t="s">
        <v>993</v>
      </c>
      <c r="I1352" s="15">
        <v>0.14083300000000001</v>
      </c>
      <c r="L1352" s="15"/>
      <c r="AH1352" s="14"/>
      <c r="AI1352" s="14">
        <v>0.14083300000000001</v>
      </c>
      <c r="AJ1352" s="14"/>
      <c r="AK1352" s="14"/>
      <c r="AL1352" s="50"/>
      <c r="AM1352" s="21">
        <v>2.9861111111111113E-2</v>
      </c>
    </row>
    <row r="1353" spans="1:63" x14ac:dyDescent="0.3">
      <c r="A1353" s="2">
        <v>288094</v>
      </c>
      <c r="B1353" s="2">
        <v>215398</v>
      </c>
      <c r="C1353" s="2">
        <v>290348</v>
      </c>
      <c r="E1353" t="s">
        <v>977</v>
      </c>
      <c r="I1353" s="15">
        <v>0.17930199999999999</v>
      </c>
      <c r="L1353" s="15"/>
      <c r="AH1353" s="14"/>
      <c r="AI1353" s="14">
        <v>0.17930199999999999</v>
      </c>
      <c r="AJ1353" s="14"/>
      <c r="AK1353" s="14"/>
      <c r="AL1353" s="50"/>
      <c r="AM1353" s="21">
        <v>4.8611111111111112E-2</v>
      </c>
    </row>
    <row r="1354" spans="1:63" x14ac:dyDescent="0.3">
      <c r="A1354" s="2">
        <v>299812</v>
      </c>
      <c r="B1354" s="2">
        <v>220383</v>
      </c>
      <c r="C1354" s="2">
        <v>1073909</v>
      </c>
      <c r="E1354" t="s">
        <v>999</v>
      </c>
      <c r="I1354" s="15">
        <v>4.7247999999999998E-2</v>
      </c>
      <c r="L1354" s="15"/>
      <c r="AH1354" s="14"/>
      <c r="AI1354" s="14">
        <v>4.7247999999999998E-2</v>
      </c>
      <c r="AJ1354" s="14"/>
      <c r="AK1354" s="14"/>
      <c r="AL1354" s="50"/>
      <c r="AM1354" s="21">
        <v>6.805555555555555E-2</v>
      </c>
    </row>
    <row r="1355" spans="1:63" x14ac:dyDescent="0.3">
      <c r="A1355" s="2">
        <v>302947</v>
      </c>
      <c r="B1355" s="2">
        <v>233390</v>
      </c>
      <c r="C1355" s="2">
        <v>1519075</v>
      </c>
      <c r="E1355" t="s">
        <v>875</v>
      </c>
      <c r="I1355" s="15">
        <v>1.7176E-2</v>
      </c>
      <c r="L1355" s="15"/>
      <c r="AH1355" s="14"/>
      <c r="AI1355" s="14">
        <v>1.7176E-2</v>
      </c>
      <c r="AJ1355" s="14"/>
      <c r="AK1355" s="14"/>
      <c r="AL1355" s="50"/>
      <c r="AM1355" s="21">
        <v>0.15833333333333333</v>
      </c>
    </row>
    <row r="1356" spans="1:63" x14ac:dyDescent="0.3">
      <c r="A1356" s="2">
        <v>310908</v>
      </c>
      <c r="B1356" s="2">
        <v>239872</v>
      </c>
      <c r="C1356" s="2">
        <v>1110206</v>
      </c>
      <c r="E1356" t="s">
        <v>974</v>
      </c>
      <c r="I1356" s="15">
        <v>4.1696999999999998E-2</v>
      </c>
      <c r="L1356" s="15"/>
      <c r="AH1356" s="14"/>
      <c r="AI1356" s="14">
        <v>4.1696999999999998E-2</v>
      </c>
      <c r="AJ1356" s="14"/>
      <c r="AK1356" s="14"/>
      <c r="AL1356" s="50"/>
      <c r="AM1356" s="21">
        <v>5.4166666666666669E-2</v>
      </c>
    </row>
    <row r="1357" spans="1:63" x14ac:dyDescent="0.3">
      <c r="A1357" s="2">
        <v>311388</v>
      </c>
      <c r="B1357" s="2">
        <v>249693</v>
      </c>
      <c r="C1357" s="2">
        <v>1019461</v>
      </c>
      <c r="E1357" t="s">
        <v>853</v>
      </c>
      <c r="I1357" s="15">
        <v>3.8109999999999998E-2</v>
      </c>
      <c r="L1357" s="15"/>
      <c r="AH1357" s="14"/>
      <c r="AI1357" s="14">
        <v>3.8109999999999998E-2</v>
      </c>
      <c r="AJ1357" s="14"/>
      <c r="AK1357" s="14"/>
      <c r="AL1357" s="50"/>
      <c r="AM1357" s="21">
        <v>6.8749999999999992E-2</v>
      </c>
    </row>
    <row r="1358" spans="1:63" x14ac:dyDescent="0.3">
      <c r="A1358" s="2">
        <v>316010</v>
      </c>
      <c r="B1358" s="2">
        <v>251404</v>
      </c>
      <c r="C1358" s="2">
        <v>106276</v>
      </c>
      <c r="E1358" t="s">
        <v>1196</v>
      </c>
      <c r="I1358" s="15">
        <v>0.42126599999999997</v>
      </c>
      <c r="L1358" s="15"/>
      <c r="AH1358" s="14"/>
      <c r="AI1358" s="14">
        <v>0.42126599999999997</v>
      </c>
      <c r="AJ1358" s="14"/>
      <c r="AK1358" s="14"/>
      <c r="AL1358" s="50"/>
      <c r="AM1358" s="21">
        <v>8.1250000000000003E-2</v>
      </c>
    </row>
    <row r="1359" spans="1:63" x14ac:dyDescent="0.3">
      <c r="A1359" s="2">
        <v>322298</v>
      </c>
      <c r="B1359" s="2">
        <v>266787</v>
      </c>
      <c r="C1359" s="2">
        <v>217314</v>
      </c>
      <c r="E1359" t="s">
        <v>951</v>
      </c>
      <c r="I1359" s="15">
        <v>0.273484</v>
      </c>
      <c r="L1359" s="15"/>
      <c r="AH1359" s="14"/>
      <c r="AI1359" s="14">
        <v>0.273484</v>
      </c>
      <c r="AJ1359" s="14"/>
      <c r="AK1359" s="14"/>
      <c r="AL1359" s="50"/>
      <c r="AM1359" s="21">
        <v>8.5416666666666655E-2</v>
      </c>
    </row>
    <row r="1360" spans="1:63" x14ac:dyDescent="0.3">
      <c r="A1360" s="2">
        <v>323767</v>
      </c>
      <c r="B1360" s="2">
        <v>275806</v>
      </c>
      <c r="C1360" s="2">
        <v>1317153</v>
      </c>
      <c r="E1360" t="s">
        <v>957</v>
      </c>
      <c r="I1360" s="15">
        <v>1.5440000000000001E-2</v>
      </c>
      <c r="L1360" s="15"/>
      <c r="AH1360" s="14"/>
      <c r="AI1360" s="14">
        <v>1.5440000000000001E-2</v>
      </c>
      <c r="AJ1360" s="14"/>
      <c r="AK1360" s="14"/>
      <c r="AL1360" s="50"/>
      <c r="AM1360" s="21">
        <v>0.47638888888888892</v>
      </c>
    </row>
    <row r="1361" spans="1:63" x14ac:dyDescent="0.3">
      <c r="A1361" s="2">
        <v>323843</v>
      </c>
      <c r="B1361" s="2">
        <v>276728</v>
      </c>
      <c r="C1361" s="2">
        <v>534793</v>
      </c>
      <c r="E1361" t="s">
        <v>849</v>
      </c>
      <c r="I1361" s="15">
        <v>9.9955000000000002E-2</v>
      </c>
      <c r="L1361" s="15"/>
      <c r="AH1361" s="14"/>
      <c r="AI1361" s="14">
        <v>9.9955000000000002E-2</v>
      </c>
      <c r="AJ1361" s="14"/>
      <c r="AK1361" s="14"/>
      <c r="AL1361" s="50"/>
      <c r="AM1361" s="21">
        <v>5.5555555555555552E-2</v>
      </c>
    </row>
    <row r="1362" spans="1:63" x14ac:dyDescent="0.3">
      <c r="A1362" s="2">
        <v>336588</v>
      </c>
      <c r="B1362" s="2">
        <v>287152</v>
      </c>
      <c r="C1362" s="2">
        <v>495267</v>
      </c>
      <c r="E1362" t="s">
        <v>1067</v>
      </c>
      <c r="I1362" s="14">
        <v>8.1984000000000001E-2</v>
      </c>
      <c r="L1362" s="15"/>
      <c r="AH1362" s="14"/>
      <c r="AI1362" s="14">
        <v>8.1984000000000001E-2</v>
      </c>
      <c r="AJ1362" s="14"/>
      <c r="AK1362" s="14"/>
      <c r="AL1362" s="50"/>
      <c r="AM1362" s="21">
        <v>6.9444444444444434E-2</v>
      </c>
    </row>
    <row r="1363" spans="1:63" x14ac:dyDescent="0.3">
      <c r="A1363" s="2">
        <v>338642</v>
      </c>
      <c r="B1363" s="2">
        <v>287556</v>
      </c>
      <c r="C1363" s="2">
        <v>569527</v>
      </c>
      <c r="E1363" t="s">
        <v>1133</v>
      </c>
      <c r="I1363" s="14">
        <v>5.8404999999999999E-2</v>
      </c>
      <c r="J1363" s="14"/>
      <c r="K1363" s="45"/>
      <c r="L1363" s="14"/>
      <c r="M1363" s="14"/>
      <c r="N1363" s="14"/>
      <c r="O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G1363" s="14"/>
      <c r="AH1363" s="14"/>
      <c r="AI1363" s="14">
        <v>5.8404999999999999E-2</v>
      </c>
      <c r="AJ1363" s="14"/>
      <c r="AK1363" s="14"/>
      <c r="AL1363" s="50"/>
      <c r="AM1363" s="21">
        <v>7.4305555555555555E-2</v>
      </c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</row>
    <row r="1364" spans="1:63" x14ac:dyDescent="0.3">
      <c r="A1364" s="2">
        <v>343524</v>
      </c>
      <c r="B1364" s="2">
        <v>281091</v>
      </c>
      <c r="C1364" s="2">
        <v>554149</v>
      </c>
      <c r="E1364" t="s">
        <v>1039</v>
      </c>
      <c r="I1364" s="15">
        <v>6.6655000000000006E-2</v>
      </c>
      <c r="L1364" s="15"/>
      <c r="AH1364" s="14"/>
      <c r="AI1364" s="14">
        <v>6.6655000000000006E-2</v>
      </c>
      <c r="AJ1364" s="14"/>
      <c r="AK1364" s="14"/>
      <c r="AL1364" s="50"/>
      <c r="AM1364" s="19">
        <v>5.4166666666666669E-2</v>
      </c>
    </row>
    <row r="1365" spans="1:63" x14ac:dyDescent="0.3">
      <c r="A1365" s="2">
        <v>345178</v>
      </c>
      <c r="B1365" s="2">
        <v>288094</v>
      </c>
      <c r="C1365" s="2">
        <v>551260</v>
      </c>
      <c r="E1365" t="s">
        <v>892</v>
      </c>
      <c r="I1365" s="15">
        <v>7.7016000000000001E-2</v>
      </c>
      <c r="L1365" s="15"/>
      <c r="AH1365" s="14"/>
      <c r="AI1365" s="14">
        <v>7.7016000000000001E-2</v>
      </c>
      <c r="AJ1365" s="14"/>
      <c r="AK1365" s="14"/>
      <c r="AL1365" s="50"/>
      <c r="AM1365" s="21">
        <v>4.5833333333333337E-2</v>
      </c>
    </row>
    <row r="1366" spans="1:63" x14ac:dyDescent="0.3">
      <c r="A1366" s="2">
        <v>348235</v>
      </c>
      <c r="B1366" s="2">
        <v>299821</v>
      </c>
      <c r="C1366" s="2">
        <v>785259</v>
      </c>
      <c r="E1366" t="s">
        <v>863</v>
      </c>
      <c r="I1366" s="15">
        <v>5.7549999999999997E-2</v>
      </c>
      <c r="L1366" s="15"/>
      <c r="AH1366" s="14"/>
      <c r="AI1366" s="14">
        <v>5.7549999999999997E-2</v>
      </c>
      <c r="AJ1366" s="14"/>
      <c r="AK1366" s="14"/>
      <c r="AL1366" s="50"/>
      <c r="AM1366" s="21">
        <v>8.1944444444444445E-2</v>
      </c>
    </row>
    <row r="1367" spans="1:63" x14ac:dyDescent="0.3">
      <c r="A1367" s="2">
        <v>349464</v>
      </c>
      <c r="B1367" s="2">
        <v>302947</v>
      </c>
      <c r="C1367" s="2">
        <v>1439813</v>
      </c>
      <c r="E1367" t="s">
        <v>787</v>
      </c>
      <c r="I1367" s="15">
        <v>2.6478000000000002E-2</v>
      </c>
      <c r="L1367" s="15"/>
      <c r="AH1367" s="14"/>
      <c r="AI1367" s="14">
        <v>2.6478000000000002E-2</v>
      </c>
      <c r="AJ1367" s="14"/>
      <c r="AK1367" s="14"/>
      <c r="AL1367" s="50"/>
      <c r="AM1367" s="21">
        <v>5.5555555555555552E-2</v>
      </c>
    </row>
    <row r="1368" spans="1:63" x14ac:dyDescent="0.3">
      <c r="A1368" s="2">
        <v>360123</v>
      </c>
      <c r="B1368" s="2">
        <v>310908</v>
      </c>
      <c r="C1368" s="2">
        <v>815969</v>
      </c>
      <c r="E1368" t="s">
        <v>848</v>
      </c>
      <c r="I1368" s="15">
        <v>2.6478000000000002E-2</v>
      </c>
      <c r="L1368" s="15"/>
      <c r="AG1368" s="1">
        <v>3.3105999999999997E-2</v>
      </c>
      <c r="AH1368" s="14"/>
      <c r="AI1368" s="14">
        <v>2.9766999999999998E-2</v>
      </c>
      <c r="AJ1368" s="14"/>
      <c r="AK1368" s="14"/>
      <c r="AL1368" s="50"/>
      <c r="AM1368" s="21">
        <v>0.32569444444444445</v>
      </c>
    </row>
    <row r="1369" spans="1:63" x14ac:dyDescent="0.3">
      <c r="A1369" s="2">
        <v>360918</v>
      </c>
      <c r="B1369" s="2">
        <v>311388</v>
      </c>
      <c r="C1369" s="2">
        <v>734063</v>
      </c>
      <c r="E1369" t="s">
        <v>920</v>
      </c>
      <c r="I1369" s="15">
        <v>6.6060999999999995E-2</v>
      </c>
      <c r="L1369" s="15"/>
      <c r="AH1369" s="14"/>
      <c r="AI1369" s="14">
        <v>6.6060999999999995E-2</v>
      </c>
      <c r="AJ1369" s="14"/>
      <c r="AK1369" s="14"/>
      <c r="AL1369" s="50"/>
      <c r="AM1369" s="21">
        <v>0.1125</v>
      </c>
    </row>
    <row r="1370" spans="1:63" x14ac:dyDescent="0.3">
      <c r="A1370" s="2">
        <v>389962</v>
      </c>
      <c r="B1370" s="2">
        <v>316010</v>
      </c>
      <c r="C1370" s="2">
        <v>688196</v>
      </c>
      <c r="E1370" t="s">
        <v>822</v>
      </c>
      <c r="I1370" s="15">
        <v>6.9675000000000001E-2</v>
      </c>
      <c r="L1370" s="15"/>
      <c r="AH1370" s="14"/>
      <c r="AI1370" s="14">
        <v>6.9675000000000001E-2</v>
      </c>
      <c r="AJ1370" s="14"/>
      <c r="AK1370" s="14"/>
      <c r="AL1370" s="50"/>
      <c r="AM1370" s="21">
        <v>2.8472222222222222E-2</v>
      </c>
    </row>
    <row r="1371" spans="1:63" ht="12.5" x14ac:dyDescent="0.25">
      <c r="A1371" s="2">
        <v>582240</v>
      </c>
      <c r="B1371" s="2">
        <v>393631</v>
      </c>
      <c r="C1371" s="2">
        <v>1677567</v>
      </c>
      <c r="E1371" t="s">
        <v>921</v>
      </c>
      <c r="I1371" s="15">
        <v>1.9050000000000001E-2</v>
      </c>
      <c r="K1371" s="15"/>
      <c r="L1371" s="15"/>
      <c r="AE1371" s="15">
        <v>1.3309E-2</v>
      </c>
      <c r="AH1371" s="14"/>
      <c r="AI1371" s="14">
        <v>1.9050000000000001E-2</v>
      </c>
      <c r="AJ1371" s="14"/>
      <c r="AK1371" s="14"/>
      <c r="AL1371" s="50"/>
      <c r="AM1371" s="21">
        <v>0.11319444444444444</v>
      </c>
    </row>
    <row r="1372" spans="1:63" x14ac:dyDescent="0.3">
      <c r="A1372" s="2">
        <v>397878</v>
      </c>
      <c r="B1372" s="2">
        <v>323767</v>
      </c>
      <c r="C1372" s="2">
        <v>1070407</v>
      </c>
      <c r="E1372" t="s">
        <v>859</v>
      </c>
      <c r="I1372" s="15">
        <v>3.8234999999999998E-2</v>
      </c>
      <c r="L1372" s="15"/>
      <c r="AH1372" s="14"/>
      <c r="AI1372" s="14">
        <v>3.8234999999999998E-2</v>
      </c>
      <c r="AJ1372" s="14"/>
      <c r="AK1372" s="14"/>
      <c r="AL1372" s="50"/>
      <c r="AM1372" s="21">
        <v>2.4305555555555556E-2</v>
      </c>
    </row>
    <row r="1373" spans="1:63" x14ac:dyDescent="0.3">
      <c r="A1373" s="2">
        <v>417182</v>
      </c>
      <c r="B1373" s="2">
        <v>323843</v>
      </c>
      <c r="C1373" s="2">
        <v>1072306</v>
      </c>
      <c r="E1373" t="s">
        <v>786</v>
      </c>
      <c r="I1373" s="15">
        <v>2.2433000000000002E-2</v>
      </c>
      <c r="L1373" s="15"/>
      <c r="AH1373" s="14"/>
      <c r="AI1373" s="14">
        <v>2.2433000000000002E-2</v>
      </c>
      <c r="AJ1373" s="14"/>
      <c r="AK1373" s="14"/>
      <c r="AL1373" s="50"/>
      <c r="AM1373" s="21">
        <v>0.51597222222222217</v>
      </c>
    </row>
    <row r="1374" spans="1:63" x14ac:dyDescent="0.3">
      <c r="A1374" s="2">
        <v>420515</v>
      </c>
      <c r="B1374" s="2">
        <v>336588</v>
      </c>
      <c r="C1374" s="2">
        <v>988217</v>
      </c>
      <c r="E1374" t="s">
        <v>809</v>
      </c>
      <c r="I1374" s="15">
        <v>3.8457999999999999E-2</v>
      </c>
      <c r="L1374" s="15"/>
      <c r="AH1374" s="14"/>
      <c r="AI1374" s="14">
        <v>3.8457999999999999E-2</v>
      </c>
      <c r="AJ1374" s="14"/>
      <c r="AK1374" s="14"/>
      <c r="AL1374" s="50"/>
      <c r="AM1374" s="21">
        <v>0.11388888888888889</v>
      </c>
    </row>
    <row r="1375" spans="1:63" x14ac:dyDescent="0.3">
      <c r="A1375" s="2">
        <v>421512</v>
      </c>
      <c r="B1375" s="2">
        <v>338642</v>
      </c>
      <c r="C1375" s="2">
        <v>1298181</v>
      </c>
      <c r="E1375" t="s">
        <v>919</v>
      </c>
      <c r="I1375" s="15">
        <v>2.4740999999999999E-2</v>
      </c>
      <c r="L1375" s="15"/>
      <c r="AH1375" s="14"/>
      <c r="AI1375" s="14">
        <v>2.4740999999999999E-2</v>
      </c>
      <c r="AJ1375" s="14"/>
      <c r="AK1375" s="14"/>
      <c r="AL1375" s="50"/>
      <c r="AM1375" s="21">
        <v>0.14444444444444446</v>
      </c>
    </row>
    <row r="1376" spans="1:63" x14ac:dyDescent="0.3">
      <c r="A1376" s="2">
        <v>421859</v>
      </c>
      <c r="B1376" s="2">
        <v>343524</v>
      </c>
      <c r="C1376" s="2">
        <v>874137</v>
      </c>
      <c r="E1376" t="s">
        <v>876</v>
      </c>
      <c r="I1376" s="15">
        <v>4.3948000000000001E-2</v>
      </c>
      <c r="L1376" s="15"/>
      <c r="AH1376" s="14"/>
      <c r="AI1376" s="14">
        <v>4.3948000000000001E-2</v>
      </c>
      <c r="AJ1376" s="14"/>
      <c r="AK1376" s="14"/>
      <c r="AL1376" s="50"/>
      <c r="AM1376" s="21">
        <v>0.23333333333333331</v>
      </c>
    </row>
    <row r="1377" spans="1:63" x14ac:dyDescent="0.3">
      <c r="A1377" s="2">
        <v>433666</v>
      </c>
      <c r="B1377" s="2">
        <v>345178</v>
      </c>
      <c r="C1377" s="2">
        <v>609532</v>
      </c>
      <c r="E1377" t="s">
        <v>930</v>
      </c>
      <c r="I1377" s="15">
        <v>7.2140999999999997E-2</v>
      </c>
      <c r="L1377" s="15"/>
      <c r="AH1377" s="14"/>
      <c r="AI1377" s="14">
        <v>7.2140999999999997E-2</v>
      </c>
      <c r="AJ1377" s="14"/>
      <c r="AK1377" s="14"/>
      <c r="AL1377" s="50"/>
      <c r="AM1377" s="21">
        <v>3.5416666666666666E-2</v>
      </c>
    </row>
    <row r="1378" spans="1:63" x14ac:dyDescent="0.3">
      <c r="A1378" s="2">
        <v>444554</v>
      </c>
      <c r="B1378" s="2">
        <v>348235</v>
      </c>
      <c r="C1378" s="2">
        <v>1471268</v>
      </c>
      <c r="E1378" t="s">
        <v>851</v>
      </c>
      <c r="I1378" s="15">
        <v>2.9928E-2</v>
      </c>
      <c r="L1378" s="15"/>
      <c r="AH1378" s="14"/>
      <c r="AI1378" s="14">
        <v>2.9928E-2</v>
      </c>
      <c r="AJ1378" s="14"/>
      <c r="AK1378" s="14"/>
      <c r="AL1378" s="50"/>
      <c r="AM1378" s="21">
        <v>9.5833333333333326E-2</v>
      </c>
    </row>
    <row r="1379" spans="1:63" x14ac:dyDescent="0.3">
      <c r="A1379" s="2">
        <v>444657</v>
      </c>
      <c r="B1379" s="2">
        <v>349464</v>
      </c>
      <c r="C1379" s="2">
        <v>527587</v>
      </c>
      <c r="E1379" t="s">
        <v>792</v>
      </c>
      <c r="I1379" s="15">
        <v>6.6556000000000004E-2</v>
      </c>
      <c r="L1379" s="15"/>
      <c r="AH1379" s="14"/>
      <c r="AI1379" s="14">
        <v>6.6556000000000004E-2</v>
      </c>
      <c r="AJ1379" s="14"/>
      <c r="AK1379" s="14"/>
      <c r="AL1379" s="50"/>
      <c r="AM1379" s="21">
        <v>0.2590277777777778</v>
      </c>
    </row>
    <row r="1380" spans="1:63" x14ac:dyDescent="0.3">
      <c r="A1380" s="2">
        <v>445215</v>
      </c>
      <c r="B1380" s="2">
        <v>360123</v>
      </c>
      <c r="C1380" s="2">
        <v>353271</v>
      </c>
      <c r="E1380" t="s">
        <v>985</v>
      </c>
      <c r="I1380" s="15">
        <v>0.119949</v>
      </c>
      <c r="L1380" s="15"/>
      <c r="AH1380" s="14"/>
      <c r="AI1380" s="14">
        <v>0.119949</v>
      </c>
      <c r="AJ1380" s="14"/>
      <c r="AK1380" s="14"/>
      <c r="AL1380" s="50"/>
      <c r="AM1380" s="19">
        <v>8.1944444444444445E-2</v>
      </c>
    </row>
    <row r="1381" spans="1:63" x14ac:dyDescent="0.3">
      <c r="A1381" s="2">
        <v>446715</v>
      </c>
      <c r="B1381" s="2">
        <v>360918</v>
      </c>
      <c r="C1381" s="2">
        <v>902966</v>
      </c>
      <c r="E1381" t="s">
        <v>884</v>
      </c>
      <c r="I1381" s="15">
        <v>3.8922999999999999E-2</v>
      </c>
      <c r="L1381" s="15"/>
      <c r="AH1381" s="14"/>
      <c r="AI1381" s="14">
        <v>3.8922999999999999E-2</v>
      </c>
      <c r="AJ1381" s="14"/>
      <c r="AK1381" s="14"/>
      <c r="AL1381" s="50"/>
      <c r="AM1381" s="21">
        <v>5.4166666666666669E-2</v>
      </c>
    </row>
    <row r="1382" spans="1:63" x14ac:dyDescent="0.3">
      <c r="A1382" s="2">
        <v>449963</v>
      </c>
      <c r="B1382" s="2">
        <v>389962</v>
      </c>
      <c r="C1382" s="2">
        <v>1735572</v>
      </c>
      <c r="E1382" t="s">
        <v>860</v>
      </c>
      <c r="I1382" s="15">
        <v>2.3448E-2</v>
      </c>
      <c r="L1382" s="15"/>
      <c r="AH1382" s="14"/>
      <c r="AI1382" s="14">
        <v>2.3448E-2</v>
      </c>
      <c r="AJ1382" s="14"/>
      <c r="AK1382" s="14"/>
      <c r="AL1382" s="50"/>
      <c r="AM1382" s="21">
        <v>3.8194444444444441E-2</v>
      </c>
    </row>
    <row r="1383" spans="1:63" x14ac:dyDescent="0.3">
      <c r="A1383" s="2">
        <v>450134</v>
      </c>
      <c r="B1383" s="2">
        <v>393631</v>
      </c>
      <c r="C1383" s="2">
        <v>1693143</v>
      </c>
      <c r="E1383" t="s">
        <v>817</v>
      </c>
      <c r="I1383" s="15">
        <v>1.7038000000000001E-2</v>
      </c>
      <c r="L1383" s="15"/>
      <c r="AH1383" s="14"/>
      <c r="AI1383" s="14">
        <v>1.7038000000000001E-2</v>
      </c>
      <c r="AJ1383" s="14"/>
      <c r="AK1383" s="14"/>
      <c r="AL1383" s="50"/>
      <c r="AM1383" s="21">
        <v>0.13749999999999998</v>
      </c>
    </row>
    <row r="1384" spans="1:63" x14ac:dyDescent="0.3">
      <c r="A1384" s="2">
        <v>454688</v>
      </c>
      <c r="B1384" s="2">
        <v>397878</v>
      </c>
      <c r="C1384" s="2">
        <v>445551</v>
      </c>
      <c r="E1384" t="s">
        <v>1108</v>
      </c>
      <c r="I1384" s="15">
        <v>9.9835999999999994E-2</v>
      </c>
      <c r="L1384" s="15"/>
      <c r="AH1384" s="14"/>
      <c r="AI1384" s="14">
        <v>9.9835999999999994E-2</v>
      </c>
      <c r="AJ1384" s="14"/>
      <c r="AK1384" s="14"/>
      <c r="AL1384" s="50"/>
      <c r="AM1384" s="21">
        <v>7.5694444444444439E-2</v>
      </c>
    </row>
    <row r="1385" spans="1:63" x14ac:dyDescent="0.3">
      <c r="A1385" s="2">
        <v>467431</v>
      </c>
      <c r="B1385" s="2">
        <v>417182</v>
      </c>
      <c r="C1385" s="2">
        <v>842967</v>
      </c>
      <c r="E1385" t="s">
        <v>879</v>
      </c>
      <c r="I1385" s="15">
        <v>5.3367999999999999E-2</v>
      </c>
      <c r="L1385" s="15"/>
      <c r="AH1385" s="14"/>
      <c r="AI1385" s="14">
        <v>5.3367999999999999E-2</v>
      </c>
      <c r="AJ1385" s="14"/>
      <c r="AK1385" s="14"/>
      <c r="AL1385" s="50"/>
      <c r="AM1385" s="21">
        <v>8.2638888888888887E-2</v>
      </c>
    </row>
    <row r="1386" spans="1:63" x14ac:dyDescent="0.3">
      <c r="A1386" s="2">
        <v>488080</v>
      </c>
      <c r="B1386" s="2">
        <v>420515</v>
      </c>
      <c r="C1386" s="2">
        <v>1747853</v>
      </c>
      <c r="E1386" t="s">
        <v>810</v>
      </c>
      <c r="I1386" s="15">
        <v>2.2540000000000001E-2</v>
      </c>
      <c r="L1386" s="15"/>
      <c r="AH1386" s="14"/>
      <c r="AI1386" s="14">
        <v>2.2540000000000001E-2</v>
      </c>
      <c r="AJ1386" s="14"/>
      <c r="AK1386" s="14"/>
      <c r="AL1386" s="50"/>
      <c r="AM1386" s="21">
        <v>3.888888888888889E-2</v>
      </c>
    </row>
    <row r="1387" spans="1:63" x14ac:dyDescent="0.3">
      <c r="A1387" s="2">
        <v>490173</v>
      </c>
      <c r="B1387" s="2">
        <v>421512</v>
      </c>
      <c r="C1387" s="2">
        <v>90271</v>
      </c>
      <c r="E1387" t="s">
        <v>1047</v>
      </c>
      <c r="I1387" s="15">
        <v>0.72974600000000001</v>
      </c>
      <c r="L1387" s="15"/>
      <c r="AH1387" s="14"/>
      <c r="AI1387" s="14">
        <v>0.72974600000000001</v>
      </c>
      <c r="AJ1387" s="14"/>
      <c r="AK1387" s="14"/>
      <c r="AL1387" s="50"/>
      <c r="AM1387" s="19">
        <v>5.7638888888888885E-2</v>
      </c>
    </row>
    <row r="1388" spans="1:63" x14ac:dyDescent="0.3">
      <c r="A1388" s="2">
        <v>500383</v>
      </c>
      <c r="B1388" s="2">
        <v>421859</v>
      </c>
      <c r="C1388" s="2">
        <v>966791</v>
      </c>
      <c r="E1388" t="s">
        <v>898</v>
      </c>
      <c r="I1388" s="15">
        <v>2.8972000000000001E-2</v>
      </c>
      <c r="L1388" s="15"/>
      <c r="AH1388" s="14"/>
      <c r="AI1388" s="14">
        <v>2.8972000000000001E-2</v>
      </c>
      <c r="AJ1388" s="14"/>
      <c r="AK1388" s="14"/>
      <c r="AL1388" s="50"/>
      <c r="AM1388" s="21">
        <v>0.30763888888888891</v>
      </c>
    </row>
    <row r="1389" spans="1:63" x14ac:dyDescent="0.3">
      <c r="A1389" s="2">
        <v>531416</v>
      </c>
      <c r="B1389" s="2">
        <v>433666</v>
      </c>
      <c r="C1389" s="2">
        <v>665301</v>
      </c>
      <c r="E1389" t="s">
        <v>987</v>
      </c>
      <c r="I1389" s="15">
        <v>6.8719000000000002E-2</v>
      </c>
      <c r="L1389" s="15"/>
      <c r="AH1389" s="14"/>
      <c r="AI1389" s="14">
        <v>6.8719000000000002E-2</v>
      </c>
      <c r="AJ1389" s="14"/>
      <c r="AK1389" s="14"/>
      <c r="AL1389" s="50"/>
      <c r="AM1389" s="21">
        <v>4.7916666666666663E-2</v>
      </c>
    </row>
    <row r="1390" spans="1:63" x14ac:dyDescent="0.3">
      <c r="A1390" s="2">
        <v>534305</v>
      </c>
      <c r="B1390" s="2">
        <v>444554</v>
      </c>
      <c r="C1390" s="2">
        <v>2395526</v>
      </c>
      <c r="E1390" t="s">
        <v>924</v>
      </c>
      <c r="I1390" s="15">
        <v>1.3875999999999999E-2</v>
      </c>
      <c r="L1390" s="15"/>
      <c r="AH1390" s="14"/>
      <c r="AI1390" s="14">
        <v>1.3875999999999999E-2</v>
      </c>
      <c r="AJ1390" s="14"/>
      <c r="AK1390" s="14"/>
      <c r="AL1390" s="50"/>
      <c r="AM1390" s="21">
        <v>2.4305555555555556E-2</v>
      </c>
    </row>
    <row r="1391" spans="1:63" s="3" customFormat="1" x14ac:dyDescent="0.3">
      <c r="A1391" s="4">
        <v>535295</v>
      </c>
      <c r="B1391" s="4">
        <v>634589</v>
      </c>
      <c r="C1391" s="4">
        <v>1275467</v>
      </c>
      <c r="D1391" s="4"/>
      <c r="E1391" s="3" t="s">
        <v>573</v>
      </c>
      <c r="H1391" s="4"/>
      <c r="I1391" s="16">
        <v>0.41208099999999998</v>
      </c>
      <c r="J1391" s="16">
        <v>1.089E-2</v>
      </c>
      <c r="K1391" s="16">
        <v>1.0588E-2</v>
      </c>
      <c r="L1391" s="16">
        <v>0.23796300000000001</v>
      </c>
      <c r="M1391" s="9"/>
      <c r="N1391" s="9"/>
      <c r="O1391" s="9"/>
      <c r="P1391" s="45"/>
      <c r="Q1391" s="45"/>
      <c r="R1391" s="45"/>
      <c r="S1391" s="45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16">
        <v>1.9914000000000001E-2</v>
      </c>
      <c r="AF1391" s="16"/>
      <c r="AG1391" s="16">
        <v>0.14094899999999999</v>
      </c>
      <c r="AH1391" s="45"/>
      <c r="AI1391" s="45">
        <v>0.15287899999999999</v>
      </c>
      <c r="AJ1391" s="45"/>
      <c r="AK1391" s="45"/>
      <c r="AL1391" s="51"/>
      <c r="AM1391" s="47">
        <v>2.4305555555555556E-2</v>
      </c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</row>
    <row r="1392" spans="1:63" x14ac:dyDescent="0.3">
      <c r="A1392" s="2">
        <v>535575</v>
      </c>
      <c r="B1392" s="2">
        <v>444657</v>
      </c>
      <c r="C1392" s="2">
        <v>1793208</v>
      </c>
      <c r="E1392" t="s">
        <v>806</v>
      </c>
      <c r="I1392" s="15">
        <v>1.9136E-2</v>
      </c>
      <c r="L1392" s="15"/>
      <c r="AH1392" s="14"/>
      <c r="AI1392" s="14">
        <v>1.9136E-2</v>
      </c>
      <c r="AJ1392" s="14"/>
      <c r="AK1392" s="14"/>
      <c r="AL1392" s="50"/>
      <c r="AM1392" s="21">
        <v>5.6250000000000001E-2</v>
      </c>
    </row>
    <row r="1393" spans="1:40" x14ac:dyDescent="0.3">
      <c r="A1393" s="2">
        <v>537012</v>
      </c>
      <c r="B1393" s="2">
        <v>445215</v>
      </c>
      <c r="C1393" s="2">
        <v>405952</v>
      </c>
      <c r="E1393" t="s">
        <v>988</v>
      </c>
      <c r="I1393" s="15">
        <v>0.121917</v>
      </c>
      <c r="L1393" s="15"/>
      <c r="AH1393" s="14"/>
      <c r="AI1393" s="14">
        <v>0.121917</v>
      </c>
      <c r="AJ1393" s="14"/>
      <c r="AK1393" s="14"/>
      <c r="AL1393" s="50"/>
      <c r="AM1393" s="21">
        <v>3.6111111111111115E-2</v>
      </c>
    </row>
    <row r="1394" spans="1:40" x14ac:dyDescent="0.3">
      <c r="A1394" s="2">
        <v>537480</v>
      </c>
      <c r="B1394" s="2">
        <v>446715</v>
      </c>
      <c r="C1394" s="2">
        <v>523525</v>
      </c>
      <c r="E1394" t="s">
        <v>1125</v>
      </c>
      <c r="I1394" s="15">
        <v>8.4498000000000004E-2</v>
      </c>
      <c r="L1394" s="15"/>
      <c r="AH1394" s="14"/>
      <c r="AI1394" s="14">
        <v>8.4498000000000004E-2</v>
      </c>
      <c r="AJ1394" s="14"/>
      <c r="AK1394" s="14"/>
      <c r="AL1394" s="50"/>
      <c r="AM1394" s="21">
        <v>8.7500000000000008E-2</v>
      </c>
    </row>
    <row r="1395" spans="1:40" x14ac:dyDescent="0.3">
      <c r="A1395" s="2">
        <v>540680</v>
      </c>
      <c r="B1395" s="2">
        <v>449963</v>
      </c>
      <c r="C1395" s="2">
        <v>2298772</v>
      </c>
      <c r="E1395" t="s">
        <v>895</v>
      </c>
      <c r="I1395" s="15">
        <v>1.6847000000000001E-2</v>
      </c>
      <c r="L1395" s="15"/>
      <c r="AH1395" s="14"/>
      <c r="AI1395" s="14">
        <v>1.6847000000000001E-2</v>
      </c>
      <c r="AJ1395" s="14"/>
      <c r="AK1395" s="14"/>
      <c r="AL1395" s="50"/>
      <c r="AM1395" s="21">
        <v>1.3888888888888889E-3</v>
      </c>
    </row>
    <row r="1396" spans="1:40" x14ac:dyDescent="0.3">
      <c r="A1396" s="2">
        <v>591842</v>
      </c>
      <c r="B1396" s="2">
        <v>450134</v>
      </c>
      <c r="C1396" s="2">
        <v>79970</v>
      </c>
      <c r="E1396" t="s">
        <v>785</v>
      </c>
      <c r="I1396" s="15">
        <v>0.55719300000000005</v>
      </c>
      <c r="L1396" s="15"/>
      <c r="AH1396" s="14"/>
      <c r="AI1396" s="14">
        <v>0.55719300000000005</v>
      </c>
      <c r="AJ1396" s="14"/>
      <c r="AK1396" s="14"/>
      <c r="AL1396" s="50"/>
      <c r="AM1396" s="21">
        <v>0.80763888888888891</v>
      </c>
    </row>
    <row r="1397" spans="1:40" x14ac:dyDescent="0.3">
      <c r="A1397" s="2">
        <v>609159</v>
      </c>
      <c r="B1397" s="2">
        <v>454688</v>
      </c>
      <c r="C1397" s="2">
        <v>321214</v>
      </c>
      <c r="E1397" t="s">
        <v>922</v>
      </c>
      <c r="I1397" s="15">
        <v>0.156365</v>
      </c>
      <c r="L1397" s="15"/>
      <c r="AH1397" s="14"/>
      <c r="AI1397" s="14">
        <v>0.156365</v>
      </c>
      <c r="AJ1397" s="14"/>
      <c r="AK1397" s="14"/>
      <c r="AL1397" s="50"/>
      <c r="AM1397" s="21">
        <v>0.20972222222222223</v>
      </c>
    </row>
    <row r="1398" spans="1:40" x14ac:dyDescent="0.3">
      <c r="A1398" s="2">
        <v>613039</v>
      </c>
      <c r="B1398" s="2">
        <v>467431</v>
      </c>
      <c r="C1398" s="2">
        <v>567508</v>
      </c>
      <c r="E1398" t="s">
        <v>916</v>
      </c>
      <c r="I1398" s="15">
        <v>4.4072E-2</v>
      </c>
      <c r="L1398" s="15"/>
      <c r="AH1398" s="14"/>
      <c r="AI1398" s="14">
        <v>4.4072E-2</v>
      </c>
      <c r="AJ1398" s="14"/>
      <c r="AK1398" s="14"/>
      <c r="AL1398" s="50"/>
      <c r="AM1398" s="21">
        <v>0.21875</v>
      </c>
    </row>
    <row r="1399" spans="1:40" x14ac:dyDescent="0.3">
      <c r="A1399" s="2">
        <v>625185</v>
      </c>
      <c r="B1399" s="2">
        <v>488080</v>
      </c>
      <c r="C1399" s="2">
        <v>1054681</v>
      </c>
      <c r="E1399" t="s">
        <v>819</v>
      </c>
      <c r="I1399" s="15">
        <v>4.0629999999999999E-2</v>
      </c>
      <c r="L1399" s="15"/>
      <c r="AH1399" s="14"/>
      <c r="AI1399" s="14">
        <v>4.0629999999999999E-2</v>
      </c>
      <c r="AJ1399" s="14"/>
      <c r="AK1399" s="14"/>
      <c r="AL1399" s="50"/>
      <c r="AM1399" s="21">
        <v>0.11875000000000001</v>
      </c>
    </row>
    <row r="1400" spans="1:40" x14ac:dyDescent="0.3">
      <c r="A1400" s="2">
        <v>642708</v>
      </c>
      <c r="B1400" s="2">
        <v>500383</v>
      </c>
      <c r="C1400" s="2">
        <v>752134</v>
      </c>
      <c r="E1400" t="s">
        <v>1219</v>
      </c>
      <c r="I1400" s="15">
        <v>3.9455999999999998E-2</v>
      </c>
      <c r="L1400" s="15"/>
      <c r="AH1400" s="14"/>
      <c r="AI1400" s="14">
        <v>3.9455999999999998E-2</v>
      </c>
      <c r="AJ1400" s="14"/>
      <c r="AK1400" s="14"/>
      <c r="AL1400" s="50"/>
      <c r="AM1400" s="21">
        <v>0.16805555555555554</v>
      </c>
    </row>
    <row r="1401" spans="1:40" x14ac:dyDescent="0.3">
      <c r="A1401" s="2">
        <v>657445</v>
      </c>
      <c r="B1401" s="2">
        <v>531416</v>
      </c>
      <c r="C1401" s="2">
        <v>74686</v>
      </c>
      <c r="E1401" t="s">
        <v>1128</v>
      </c>
      <c r="I1401" s="15">
        <v>0.44040600000000002</v>
      </c>
      <c r="L1401" s="15"/>
      <c r="AH1401" s="14"/>
      <c r="AI1401" s="14">
        <v>0.44040600000000002</v>
      </c>
      <c r="AJ1401" s="14"/>
      <c r="AK1401" s="14"/>
      <c r="AL1401" s="50"/>
      <c r="AM1401" s="19">
        <v>0.15694444444444444</v>
      </c>
    </row>
    <row r="1402" spans="1:40" x14ac:dyDescent="0.3">
      <c r="A1402" s="2">
        <v>347925</v>
      </c>
      <c r="B1402" s="2">
        <v>534305</v>
      </c>
      <c r="C1402" s="2">
        <v>1429606</v>
      </c>
      <c r="E1402" t="s">
        <v>346</v>
      </c>
      <c r="G1402" t="s">
        <v>1305</v>
      </c>
      <c r="I1402" s="2">
        <v>13.75</v>
      </c>
      <c r="J1402" s="15">
        <v>0.49114999999999998</v>
      </c>
      <c r="K1402" s="16">
        <v>0.22437699999999999</v>
      </c>
      <c r="AE1402" s="2">
        <v>1.8086999999999999E-2</v>
      </c>
      <c r="AF1402" s="2">
        <v>8.6660000000000004</v>
      </c>
      <c r="AG1402" s="2">
        <v>13.75</v>
      </c>
      <c r="AH1402" s="14" t="s">
        <v>772</v>
      </c>
      <c r="AI1402" s="14" t="s">
        <v>772</v>
      </c>
      <c r="AJ1402" s="14" t="s">
        <v>772</v>
      </c>
      <c r="AK1402" s="14" t="s">
        <v>772</v>
      </c>
      <c r="AL1402" s="14" t="s">
        <v>772</v>
      </c>
      <c r="AM1402" s="19">
        <v>0.1</v>
      </c>
      <c r="AN1402" s="8">
        <f>(2+(24/60))*AG1402</f>
        <v>33</v>
      </c>
    </row>
    <row r="1403" spans="1:40" x14ac:dyDescent="0.3">
      <c r="A1403" s="2">
        <v>678583</v>
      </c>
      <c r="B1403" s="2">
        <v>535575</v>
      </c>
      <c r="C1403" s="2">
        <v>781819</v>
      </c>
      <c r="E1403" t="s">
        <v>1209</v>
      </c>
      <c r="I1403" s="15">
        <v>5.8803000000000001E-2</v>
      </c>
      <c r="L1403" s="15"/>
      <c r="AH1403" s="14"/>
      <c r="AI1403" s="14">
        <v>5.8803000000000001E-2</v>
      </c>
      <c r="AJ1403" s="14"/>
      <c r="AK1403" s="14"/>
      <c r="AL1403" s="50"/>
      <c r="AM1403" s="19">
        <v>8.0555555555555561E-2</v>
      </c>
    </row>
    <row r="1404" spans="1:40" x14ac:dyDescent="0.3">
      <c r="A1404" s="2">
        <v>691803</v>
      </c>
      <c r="B1404" s="2">
        <v>537012</v>
      </c>
      <c r="C1404" s="2">
        <v>962670</v>
      </c>
      <c r="E1404" t="s">
        <v>976</v>
      </c>
      <c r="I1404" s="15">
        <v>4.7480000000000001E-2</v>
      </c>
      <c r="L1404" s="15"/>
      <c r="AH1404" s="14"/>
      <c r="AI1404" s="14">
        <v>4.7480000000000001E-2</v>
      </c>
      <c r="AJ1404" s="14"/>
      <c r="AK1404" s="14"/>
      <c r="AL1404" s="50"/>
      <c r="AM1404" s="21">
        <v>0.25416666666666665</v>
      </c>
    </row>
    <row r="1405" spans="1:40" x14ac:dyDescent="0.3">
      <c r="A1405" s="2">
        <v>711587</v>
      </c>
      <c r="B1405" s="2">
        <v>537480</v>
      </c>
      <c r="C1405" s="2">
        <v>810424</v>
      </c>
      <c r="E1405" t="s">
        <v>888</v>
      </c>
      <c r="I1405" s="15">
        <v>4.2204999999999999E-2</v>
      </c>
      <c r="L1405" s="15"/>
      <c r="AH1405" s="14"/>
      <c r="AI1405" s="14">
        <v>4.2204999999999999E-2</v>
      </c>
      <c r="AJ1405" s="14"/>
      <c r="AK1405" s="14"/>
      <c r="AL1405" s="50"/>
      <c r="AM1405" s="21">
        <v>0.16458333333333333</v>
      </c>
    </row>
    <row r="1406" spans="1:40" x14ac:dyDescent="0.3">
      <c r="A1406" s="2">
        <v>713854</v>
      </c>
      <c r="B1406" s="2">
        <v>540680</v>
      </c>
      <c r="C1406" s="2">
        <v>2989213</v>
      </c>
      <c r="E1406" t="s">
        <v>945</v>
      </c>
      <c r="I1406" s="15">
        <v>9.3509999999999999E-3</v>
      </c>
      <c r="L1406" s="15"/>
      <c r="AH1406" s="14"/>
      <c r="AI1406" s="14">
        <v>9.3509999999999999E-3</v>
      </c>
      <c r="AJ1406" s="14"/>
      <c r="AK1406" s="14"/>
      <c r="AL1406" s="50"/>
      <c r="AM1406" s="21">
        <v>2.9861111111111113E-2</v>
      </c>
    </row>
    <row r="1407" spans="1:40" x14ac:dyDescent="0.3">
      <c r="A1407" s="2">
        <v>721786</v>
      </c>
      <c r="B1407" s="2">
        <v>591842</v>
      </c>
      <c r="C1407" s="2">
        <v>2565701</v>
      </c>
      <c r="E1407" t="s">
        <v>791</v>
      </c>
      <c r="I1407" s="15">
        <v>1.1689E-2</v>
      </c>
      <c r="L1407" s="15"/>
      <c r="AH1407" s="14"/>
      <c r="AI1407" s="14">
        <v>1.1689E-2</v>
      </c>
      <c r="AJ1407" s="14"/>
      <c r="AK1407" s="14"/>
      <c r="AL1407" s="50"/>
      <c r="AM1407" s="21">
        <v>0.14444444444444446</v>
      </c>
    </row>
    <row r="1408" spans="1:40" x14ac:dyDescent="0.3">
      <c r="A1408" s="2">
        <v>724307</v>
      </c>
      <c r="B1408" s="2">
        <v>609159</v>
      </c>
      <c r="C1408" s="2">
        <v>3067096</v>
      </c>
      <c r="E1408" t="s">
        <v>889</v>
      </c>
      <c r="I1408" s="15">
        <v>8.9449999999999998E-3</v>
      </c>
      <c r="L1408" s="15"/>
      <c r="AH1408" s="14"/>
      <c r="AI1408" s="14">
        <v>8.9449999999999998E-3</v>
      </c>
      <c r="AJ1408" s="14"/>
      <c r="AK1408" s="14"/>
      <c r="AL1408" s="50"/>
      <c r="AM1408" s="21">
        <v>2.9166666666666664E-2</v>
      </c>
    </row>
    <row r="1409" spans="1:39" x14ac:dyDescent="0.3">
      <c r="A1409" s="2">
        <v>730301</v>
      </c>
      <c r="B1409" s="2">
        <v>613039</v>
      </c>
      <c r="C1409" s="2">
        <v>2194204</v>
      </c>
      <c r="E1409" t="s">
        <v>950</v>
      </c>
      <c r="I1409" s="15">
        <v>0</v>
      </c>
      <c r="L1409" s="15"/>
      <c r="AH1409" s="14"/>
      <c r="AI1409" s="14">
        <v>0</v>
      </c>
      <c r="AJ1409" s="14"/>
      <c r="AK1409" s="14"/>
      <c r="AL1409" s="50"/>
      <c r="AM1409" s="21"/>
    </row>
    <row r="1410" spans="1:39" x14ac:dyDescent="0.3">
      <c r="A1410" s="2">
        <v>766473</v>
      </c>
      <c r="B1410" s="2">
        <v>625185</v>
      </c>
      <c r="C1410" s="2">
        <v>744628</v>
      </c>
      <c r="E1410" t="s">
        <v>1217</v>
      </c>
      <c r="I1410" s="15">
        <v>7.8120999999999996E-2</v>
      </c>
      <c r="L1410" s="15"/>
      <c r="AH1410" s="14"/>
      <c r="AI1410" s="14">
        <v>7.8120999999999996E-2</v>
      </c>
      <c r="AJ1410" s="14"/>
      <c r="AK1410" s="14"/>
      <c r="AL1410" s="50"/>
      <c r="AM1410" s="21">
        <v>4.6527777777777779E-2</v>
      </c>
    </row>
    <row r="1411" spans="1:39" x14ac:dyDescent="0.3">
      <c r="A1411" s="2">
        <v>751450</v>
      </c>
      <c r="B1411" s="2">
        <v>338704</v>
      </c>
      <c r="C1411" s="2">
        <v>1961638</v>
      </c>
      <c r="E1411" t="s">
        <v>918</v>
      </c>
      <c r="I1411" s="15">
        <v>2.0410999999999999E-2</v>
      </c>
      <c r="L1411" s="15"/>
      <c r="AH1411" s="14"/>
      <c r="AI1411" s="14">
        <v>2.0410999999999999E-2</v>
      </c>
      <c r="AJ1411" s="14"/>
      <c r="AK1411" s="14"/>
      <c r="AL1411" s="50"/>
      <c r="AM1411" s="21">
        <v>5.5555555555555552E-2</v>
      </c>
    </row>
    <row r="1412" spans="1:39" x14ac:dyDescent="0.3">
      <c r="A1412" s="2">
        <v>755935</v>
      </c>
      <c r="B1412" s="2">
        <v>642708</v>
      </c>
      <c r="C1412" s="2">
        <v>1375631</v>
      </c>
      <c r="E1412" t="s">
        <v>979</v>
      </c>
      <c r="I1412" s="15">
        <v>3.2750000000000001E-2</v>
      </c>
      <c r="L1412" s="15"/>
      <c r="AH1412" s="14"/>
      <c r="AI1412" s="14">
        <v>3.2750000000000001E-2</v>
      </c>
      <c r="AJ1412" s="14"/>
      <c r="AK1412" s="14"/>
      <c r="AL1412" s="50"/>
      <c r="AM1412" s="21">
        <v>6.3888888888888884E-2</v>
      </c>
    </row>
    <row r="1413" spans="1:39" x14ac:dyDescent="0.3">
      <c r="A1413" s="2">
        <v>778659</v>
      </c>
      <c r="B1413" s="2">
        <v>657445</v>
      </c>
      <c r="C1413" s="2">
        <v>658375</v>
      </c>
      <c r="E1413" t="s">
        <v>980</v>
      </c>
      <c r="I1413" s="15">
        <v>6.5905000000000005E-2</v>
      </c>
      <c r="L1413" s="15"/>
      <c r="AH1413" s="14"/>
      <c r="AI1413" s="14">
        <v>6.5905000000000005E-2</v>
      </c>
      <c r="AJ1413" s="14"/>
      <c r="AK1413" s="14"/>
      <c r="AL1413" s="50"/>
      <c r="AM1413" s="21">
        <v>7.0833333333333331E-2</v>
      </c>
    </row>
    <row r="1414" spans="1:39" x14ac:dyDescent="0.3">
      <c r="A1414" s="2">
        <v>794421</v>
      </c>
      <c r="B1414" s="2">
        <v>680</v>
      </c>
      <c r="C1414" s="2">
        <v>3223195</v>
      </c>
      <c r="E1414" t="s">
        <v>880</v>
      </c>
      <c r="I1414" s="15">
        <v>9.9749999999999995E-3</v>
      </c>
      <c r="L1414" s="15"/>
      <c r="AH1414" s="14"/>
      <c r="AI1414" s="14">
        <v>9.9749999999999995E-3</v>
      </c>
      <c r="AJ1414" s="14"/>
      <c r="AK1414" s="14"/>
      <c r="AL1414" s="50"/>
      <c r="AM1414" s="21">
        <v>2.4305555555555556E-2</v>
      </c>
    </row>
    <row r="1415" spans="1:39" x14ac:dyDescent="0.3">
      <c r="A1415" s="2">
        <v>812422</v>
      </c>
      <c r="B1415" s="2">
        <v>678583</v>
      </c>
      <c r="C1415" s="2">
        <v>2346784</v>
      </c>
      <c r="E1415" t="s">
        <v>948</v>
      </c>
      <c r="I1415" s="15">
        <v>1.2711999999999999E-2</v>
      </c>
      <c r="L1415" s="15"/>
      <c r="AH1415" s="14"/>
      <c r="AI1415" s="14">
        <v>1.2711999999999999E-2</v>
      </c>
      <c r="AJ1415" s="14"/>
      <c r="AK1415" s="14"/>
      <c r="AL1415" s="50"/>
      <c r="AM1415" s="21">
        <v>2.013888888888889E-2</v>
      </c>
    </row>
    <row r="1416" spans="1:39" x14ac:dyDescent="0.3">
      <c r="A1416" s="2">
        <v>814271</v>
      </c>
      <c r="B1416" s="2" t="s">
        <v>772</v>
      </c>
      <c r="C1416" s="2">
        <v>507815</v>
      </c>
      <c r="I1416" s="15">
        <v>4.9312000000000002E-2</v>
      </c>
      <c r="L1416" s="15"/>
      <c r="AE1416" s="16">
        <v>4.9312000000000002E-2</v>
      </c>
      <c r="AH1416" s="14"/>
      <c r="AI1416" s="14"/>
      <c r="AJ1416" s="14"/>
      <c r="AK1416" s="14"/>
      <c r="AL1416" s="50"/>
      <c r="AM1416" s="21"/>
    </row>
    <row r="1417" spans="1:39" x14ac:dyDescent="0.3">
      <c r="A1417" s="2">
        <v>816618</v>
      </c>
      <c r="B1417" s="2">
        <v>691803</v>
      </c>
      <c r="C1417" s="2">
        <v>613488</v>
      </c>
      <c r="E1417" t="s">
        <v>887</v>
      </c>
      <c r="I1417" s="15">
        <v>8.3259E-2</v>
      </c>
      <c r="L1417" s="15"/>
      <c r="AH1417" s="14"/>
      <c r="AI1417" s="14">
        <v>8.3259E-2</v>
      </c>
      <c r="AJ1417" s="14"/>
      <c r="AK1417" s="14"/>
      <c r="AL1417" s="50"/>
      <c r="AM1417" s="21">
        <v>1.4583333333333332E-2</v>
      </c>
    </row>
    <row r="1418" spans="1:39" x14ac:dyDescent="0.3">
      <c r="A1418" s="2">
        <v>819733</v>
      </c>
      <c r="B1418" s="2">
        <v>711587</v>
      </c>
      <c r="C1418" s="2">
        <v>3107652</v>
      </c>
      <c r="E1418" t="s">
        <v>914</v>
      </c>
      <c r="I1418" s="15">
        <v>9.1590000000000005E-3</v>
      </c>
      <c r="L1418" s="15"/>
      <c r="AH1418" s="14"/>
      <c r="AI1418" s="14">
        <v>9.1590000000000005E-3</v>
      </c>
      <c r="AJ1418" s="14"/>
      <c r="AK1418" s="14"/>
      <c r="AL1418" s="50"/>
      <c r="AM1418" s="21">
        <v>8.819444444444445E-2</v>
      </c>
    </row>
    <row r="1419" spans="1:39" x14ac:dyDescent="0.3">
      <c r="A1419" s="2">
        <v>856281</v>
      </c>
      <c r="B1419" s="2">
        <v>713854</v>
      </c>
      <c r="C1419" s="2">
        <v>1743104</v>
      </c>
      <c r="E1419" t="s">
        <v>800</v>
      </c>
      <c r="I1419" s="15">
        <v>1.9585000000000002E-2</v>
      </c>
      <c r="L1419" s="15"/>
      <c r="AH1419" s="14"/>
      <c r="AI1419" s="14">
        <v>1.9585000000000002E-2</v>
      </c>
      <c r="AJ1419" s="14"/>
      <c r="AK1419" s="14"/>
      <c r="AL1419" s="50"/>
      <c r="AM1419" s="21">
        <v>9.375E-2</v>
      </c>
    </row>
    <row r="1420" spans="1:39" x14ac:dyDescent="0.3">
      <c r="A1420" s="2">
        <v>869773</v>
      </c>
      <c r="B1420" s="2">
        <v>721786</v>
      </c>
      <c r="C1420" s="2">
        <v>1788424</v>
      </c>
      <c r="E1420" t="s">
        <v>949</v>
      </c>
      <c r="I1420" s="15">
        <v>2.2461999999999999E-2</v>
      </c>
      <c r="L1420" s="15"/>
      <c r="AH1420" s="14"/>
      <c r="AI1420" s="14">
        <v>2.2461999999999999E-2</v>
      </c>
      <c r="AJ1420" s="14"/>
      <c r="AK1420" s="14"/>
      <c r="AL1420" s="50"/>
      <c r="AM1420" s="21">
        <v>3.0555555555555555E-2</v>
      </c>
    </row>
    <row r="1421" spans="1:39" x14ac:dyDescent="0.3">
      <c r="A1421" s="2">
        <v>893077</v>
      </c>
      <c r="B1421" s="2">
        <v>724307</v>
      </c>
      <c r="C1421" s="2">
        <v>2480040</v>
      </c>
      <c r="E1421" t="s">
        <v>910</v>
      </c>
      <c r="I1421" s="15">
        <v>1.3032E-2</v>
      </c>
      <c r="L1421" s="15"/>
      <c r="AH1421" s="14"/>
      <c r="AI1421" s="14">
        <v>1.3032E-2</v>
      </c>
      <c r="AJ1421" s="14"/>
      <c r="AK1421" s="14"/>
      <c r="AL1421" s="50"/>
      <c r="AM1421" s="21">
        <v>6.458333333333334E-2</v>
      </c>
    </row>
    <row r="1422" spans="1:39" x14ac:dyDescent="0.3">
      <c r="A1422" s="2">
        <v>903551</v>
      </c>
      <c r="B1422" s="2">
        <v>730301</v>
      </c>
      <c r="C1422" s="2">
        <v>3048194</v>
      </c>
      <c r="E1422" t="s">
        <v>943</v>
      </c>
      <c r="I1422" s="15">
        <v>8.2150000000000001E-3</v>
      </c>
      <c r="L1422" s="15"/>
      <c r="AH1422" s="14"/>
      <c r="AI1422" s="14">
        <v>8.2150000000000001E-3</v>
      </c>
      <c r="AJ1422" s="14"/>
      <c r="AK1422" s="14"/>
      <c r="AL1422" s="50"/>
      <c r="AM1422" s="21">
        <v>9.2361111111111116E-2</v>
      </c>
    </row>
    <row r="1423" spans="1:39" x14ac:dyDescent="0.3">
      <c r="A1423" s="2">
        <v>948640</v>
      </c>
      <c r="B1423" s="2">
        <v>766473</v>
      </c>
      <c r="C1423" s="2">
        <v>2661615</v>
      </c>
      <c r="E1423" t="s">
        <v>956</v>
      </c>
      <c r="I1423" s="15">
        <v>1.4638E-2</v>
      </c>
      <c r="L1423" s="15"/>
      <c r="AH1423" s="14"/>
      <c r="AI1423" s="14">
        <v>1.4638E-2</v>
      </c>
      <c r="AJ1423" s="14"/>
      <c r="AK1423" s="14"/>
      <c r="AL1423" s="50"/>
      <c r="AM1423" s="21">
        <v>5.1388888888888894E-2</v>
      </c>
    </row>
    <row r="1424" spans="1:39" x14ac:dyDescent="0.3">
      <c r="A1424" s="2">
        <v>986988</v>
      </c>
      <c r="B1424" s="2">
        <v>751450</v>
      </c>
      <c r="C1424" s="2">
        <v>568921</v>
      </c>
      <c r="E1424" t="s">
        <v>1200</v>
      </c>
      <c r="I1424" s="15">
        <v>5.6669999999999998E-2</v>
      </c>
      <c r="L1424" s="15"/>
      <c r="AH1424" s="14"/>
      <c r="AI1424" s="14">
        <v>5.6669999999999998E-2</v>
      </c>
      <c r="AJ1424" s="14"/>
      <c r="AK1424" s="14"/>
      <c r="AL1424" s="50"/>
      <c r="AM1424" s="21">
        <v>0.22013888888888888</v>
      </c>
    </row>
    <row r="1425" spans="1:39" x14ac:dyDescent="0.3">
      <c r="A1425" s="2">
        <v>1032019</v>
      </c>
      <c r="B1425" s="2">
        <v>755935</v>
      </c>
      <c r="C1425" s="2">
        <v>1120508</v>
      </c>
      <c r="E1425" t="s">
        <v>900</v>
      </c>
      <c r="I1425" s="15">
        <v>3.5885E-2</v>
      </c>
      <c r="L1425" s="15"/>
      <c r="AH1425" s="14"/>
      <c r="AI1425" s="14">
        <v>3.5885E-2</v>
      </c>
      <c r="AJ1425" s="14"/>
      <c r="AK1425" s="14"/>
      <c r="AL1425" s="50"/>
      <c r="AM1425" s="21">
        <v>0.12430555555555556</v>
      </c>
    </row>
    <row r="1426" spans="1:39" x14ac:dyDescent="0.3">
      <c r="A1426" s="2">
        <v>1041795</v>
      </c>
      <c r="B1426" s="2">
        <v>778659</v>
      </c>
      <c r="C1426" s="2">
        <v>2946132</v>
      </c>
      <c r="E1426" t="s">
        <v>878</v>
      </c>
      <c r="I1426" s="15">
        <v>9.9089999999999994E-3</v>
      </c>
      <c r="L1426" s="15"/>
      <c r="AH1426" s="14"/>
      <c r="AI1426" s="14">
        <v>9.9089999999999994E-3</v>
      </c>
      <c r="AJ1426" s="14"/>
      <c r="AK1426" s="14"/>
      <c r="AL1426" s="50"/>
      <c r="AM1426" s="21">
        <v>0.11319444444444444</v>
      </c>
    </row>
    <row r="1427" spans="1:39" x14ac:dyDescent="0.3">
      <c r="A1427" s="2">
        <v>1084352</v>
      </c>
      <c r="B1427" s="2">
        <v>794421</v>
      </c>
      <c r="C1427" s="2">
        <v>3228032</v>
      </c>
      <c r="E1427" t="s">
        <v>886</v>
      </c>
      <c r="I1427" s="15">
        <v>8.0569999999999999E-3</v>
      </c>
      <c r="L1427" s="15"/>
      <c r="AH1427" s="14"/>
      <c r="AI1427" s="14">
        <v>8.0569999999999999E-3</v>
      </c>
      <c r="AJ1427" s="14"/>
      <c r="AK1427" s="14"/>
      <c r="AL1427" s="50"/>
      <c r="AM1427" s="21">
        <v>3.4722222222222224E-2</v>
      </c>
    </row>
    <row r="1428" spans="1:39" x14ac:dyDescent="0.3">
      <c r="A1428" s="2">
        <v>1276052</v>
      </c>
      <c r="B1428" s="2">
        <v>812422</v>
      </c>
      <c r="C1428" s="2">
        <v>2753378</v>
      </c>
      <c r="E1428" t="s">
        <v>933</v>
      </c>
      <c r="I1428" s="15">
        <v>1.0409E-2</v>
      </c>
      <c r="L1428" s="15"/>
      <c r="AH1428" s="14"/>
      <c r="AI1428" s="14">
        <v>1.0409E-2</v>
      </c>
      <c r="AJ1428" s="14"/>
      <c r="AK1428" s="14"/>
      <c r="AL1428" s="50"/>
      <c r="AM1428" s="21">
        <v>7.2916666666666671E-2</v>
      </c>
    </row>
    <row r="1429" spans="1:39" x14ac:dyDescent="0.3">
      <c r="A1429" s="2">
        <v>1388000</v>
      </c>
      <c r="B1429" s="2">
        <v>816618</v>
      </c>
      <c r="C1429" s="2">
        <v>3920854</v>
      </c>
      <c r="E1429" t="s">
        <v>927</v>
      </c>
      <c r="I1429" s="15">
        <v>0</v>
      </c>
      <c r="L1429" s="15"/>
      <c r="AH1429" s="14"/>
      <c r="AI1429" s="14">
        <v>0</v>
      </c>
      <c r="AJ1429" s="14"/>
      <c r="AK1429" s="14"/>
      <c r="AL1429" s="50"/>
      <c r="AM1429" s="21">
        <v>0.17430555555555557</v>
      </c>
    </row>
    <row r="1430" spans="1:39" x14ac:dyDescent="0.3">
      <c r="A1430" s="2">
        <v>1453324</v>
      </c>
      <c r="B1430" s="2">
        <v>819733</v>
      </c>
      <c r="C1430" s="2">
        <v>657994</v>
      </c>
      <c r="E1430" t="s">
        <v>946</v>
      </c>
      <c r="I1430" s="15">
        <v>4.9446999999999998E-2</v>
      </c>
      <c r="L1430" s="15"/>
      <c r="AH1430" s="14"/>
      <c r="AI1430" s="14">
        <v>4.9446999999999998E-2</v>
      </c>
      <c r="AJ1430" s="14"/>
      <c r="AK1430" s="14"/>
      <c r="AL1430" s="50"/>
      <c r="AM1430" s="21">
        <v>0.21458333333333335</v>
      </c>
    </row>
    <row r="1431" spans="1:39" x14ac:dyDescent="0.3">
      <c r="A1431" s="2">
        <v>1469139</v>
      </c>
      <c r="B1431" s="2">
        <v>856281</v>
      </c>
      <c r="C1431" s="2">
        <v>1051876</v>
      </c>
      <c r="E1431" t="s">
        <v>808</v>
      </c>
      <c r="I1431" s="15">
        <v>3.5132999999999998E-2</v>
      </c>
      <c r="L1431" s="15"/>
      <c r="AH1431" s="14"/>
      <c r="AI1431" s="14">
        <v>3.5132999999999998E-2</v>
      </c>
      <c r="AJ1431" s="14"/>
      <c r="AK1431" s="14"/>
      <c r="AL1431" s="50"/>
      <c r="AM1431" s="21">
        <v>6.1805555555555558E-2</v>
      </c>
    </row>
    <row r="1432" spans="1:39" x14ac:dyDescent="0.3">
      <c r="A1432" s="2">
        <v>1470665</v>
      </c>
      <c r="B1432" s="2">
        <v>869773</v>
      </c>
      <c r="C1432" s="2">
        <v>722383</v>
      </c>
      <c r="E1432" t="s">
        <v>855</v>
      </c>
      <c r="I1432" s="15">
        <v>5.6721000000000001E-2</v>
      </c>
      <c r="L1432" s="15"/>
      <c r="AH1432" s="14"/>
      <c r="AI1432" s="14">
        <v>5.6721000000000001E-2</v>
      </c>
      <c r="AJ1432" s="14"/>
      <c r="AK1432" s="14"/>
      <c r="AL1432" s="50"/>
      <c r="AM1432" s="21">
        <v>0.14722222222222223</v>
      </c>
    </row>
    <row r="1433" spans="1:39" x14ac:dyDescent="0.3">
      <c r="A1433" s="2">
        <v>1483016</v>
      </c>
      <c r="B1433" s="2">
        <v>893077</v>
      </c>
      <c r="C1433" s="2">
        <v>671115</v>
      </c>
      <c r="E1433" t="s">
        <v>804</v>
      </c>
      <c r="I1433" s="15">
        <v>4.1541000000000002E-2</v>
      </c>
      <c r="L1433" s="15"/>
      <c r="AH1433" s="14"/>
      <c r="AI1433" s="14">
        <v>4.1541000000000002E-2</v>
      </c>
      <c r="AJ1433" s="14"/>
      <c r="AK1433" s="14"/>
      <c r="AL1433" s="50"/>
      <c r="AM1433" s="21">
        <v>0.21111111111111111</v>
      </c>
    </row>
    <row r="1434" spans="1:39" x14ac:dyDescent="0.3">
      <c r="A1434" s="2">
        <v>1485916</v>
      </c>
      <c r="B1434" s="2">
        <v>903551</v>
      </c>
      <c r="C1434" s="2">
        <v>365458</v>
      </c>
      <c r="E1434" t="s">
        <v>1140</v>
      </c>
      <c r="I1434" s="15">
        <v>0.121352</v>
      </c>
      <c r="L1434" s="15"/>
      <c r="AH1434" s="14"/>
      <c r="AI1434" s="14">
        <v>0.121352</v>
      </c>
      <c r="AJ1434" s="14"/>
      <c r="AK1434" s="14"/>
      <c r="AL1434" s="50"/>
      <c r="AM1434" s="21">
        <v>6.458333333333334E-2</v>
      </c>
    </row>
    <row r="1435" spans="1:39" x14ac:dyDescent="0.3">
      <c r="A1435" s="2">
        <v>1487860</v>
      </c>
      <c r="B1435" s="2">
        <v>948640</v>
      </c>
      <c r="C1435" s="2">
        <v>648416</v>
      </c>
      <c r="E1435" t="s">
        <v>913</v>
      </c>
      <c r="I1435" s="15">
        <v>5.2790999999999998E-2</v>
      </c>
      <c r="L1435" s="15"/>
      <c r="AH1435" s="14"/>
      <c r="AI1435" s="14">
        <v>5.2790999999999998E-2</v>
      </c>
      <c r="AJ1435" s="14"/>
      <c r="AK1435" s="14"/>
      <c r="AL1435" s="50"/>
      <c r="AM1435" s="21">
        <v>0.14861111111111111</v>
      </c>
    </row>
    <row r="1436" spans="1:39" x14ac:dyDescent="0.3">
      <c r="A1436" s="2">
        <v>1496049</v>
      </c>
      <c r="B1436" s="2">
        <v>986988</v>
      </c>
      <c r="C1436" s="2">
        <v>2498079</v>
      </c>
      <c r="E1436" t="s">
        <v>953</v>
      </c>
      <c r="I1436" s="15">
        <v>1.2933E-2</v>
      </c>
      <c r="L1436" s="15"/>
      <c r="AH1436" s="14"/>
      <c r="AI1436" s="14">
        <v>1.2933E-2</v>
      </c>
      <c r="AJ1436" s="14"/>
      <c r="AK1436" s="14"/>
      <c r="AL1436" s="50"/>
      <c r="AM1436" s="21">
        <v>5.1388888888888894E-2</v>
      </c>
    </row>
    <row r="1437" spans="1:39" x14ac:dyDescent="0.3">
      <c r="A1437" s="2">
        <v>1501755</v>
      </c>
      <c r="B1437" s="2">
        <v>1032019</v>
      </c>
      <c r="C1437" s="2">
        <v>781173</v>
      </c>
      <c r="E1437" t="s">
        <v>955</v>
      </c>
      <c r="I1437" s="15">
        <v>3.125E-2</v>
      </c>
      <c r="L1437" s="15"/>
      <c r="AH1437" s="14"/>
      <c r="AI1437" s="14">
        <v>3.125E-2</v>
      </c>
      <c r="AJ1437" s="14"/>
      <c r="AK1437" s="14"/>
      <c r="AL1437" s="50"/>
      <c r="AM1437" s="21">
        <v>0.34583333333333338</v>
      </c>
    </row>
    <row r="1438" spans="1:39" x14ac:dyDescent="0.3">
      <c r="A1438" s="2">
        <v>1538501</v>
      </c>
      <c r="B1438" s="2">
        <v>1041795</v>
      </c>
      <c r="C1438" s="2">
        <v>4498057</v>
      </c>
      <c r="E1438" t="s">
        <v>1218</v>
      </c>
      <c r="I1438" s="15">
        <v>0</v>
      </c>
      <c r="L1438" s="15"/>
      <c r="AH1438" s="14"/>
      <c r="AI1438" s="14">
        <v>0</v>
      </c>
      <c r="AJ1438" s="14"/>
      <c r="AK1438" s="14"/>
      <c r="AL1438" s="50"/>
      <c r="AM1438" s="21">
        <v>2.6388888888888889E-2</v>
      </c>
    </row>
    <row r="1439" spans="1:39" x14ac:dyDescent="0.3">
      <c r="A1439" s="2">
        <v>1547901</v>
      </c>
      <c r="B1439" s="2">
        <v>1084352</v>
      </c>
      <c r="C1439" s="2">
        <v>626499</v>
      </c>
      <c r="E1439" t="s">
        <v>801</v>
      </c>
      <c r="I1439" s="15">
        <v>5.3029E-2</v>
      </c>
      <c r="L1439" s="15"/>
      <c r="AH1439" s="14"/>
      <c r="AI1439" s="14">
        <v>5.3029E-2</v>
      </c>
      <c r="AJ1439" s="14"/>
      <c r="AK1439" s="14"/>
      <c r="AL1439" s="50"/>
      <c r="AM1439" s="21">
        <v>5.7638888888888885E-2</v>
      </c>
    </row>
    <row r="1440" spans="1:39" x14ac:dyDescent="0.3">
      <c r="A1440" s="2">
        <v>1566811</v>
      </c>
      <c r="B1440" s="2">
        <v>1276052</v>
      </c>
      <c r="C1440" s="2">
        <v>3598018</v>
      </c>
      <c r="E1440" t="s">
        <v>877</v>
      </c>
      <c r="I1440" s="15">
        <v>7.8969999999999995E-3</v>
      </c>
      <c r="L1440" s="15"/>
      <c r="AH1440" s="14"/>
      <c r="AI1440" s="14">
        <v>7.8969999999999995E-3</v>
      </c>
      <c r="AJ1440" s="14"/>
      <c r="AK1440" s="14"/>
      <c r="AL1440" s="50"/>
      <c r="AM1440" s="21">
        <v>2.7777777777777776E-2</v>
      </c>
    </row>
    <row r="1441" spans="1:39" x14ac:dyDescent="0.3">
      <c r="A1441" s="2">
        <v>1574712</v>
      </c>
      <c r="B1441" s="2">
        <v>1388000</v>
      </c>
      <c r="C1441" s="2">
        <v>5454882</v>
      </c>
      <c r="E1441" t="s">
        <v>882</v>
      </c>
      <c r="I1441" s="15">
        <v>0</v>
      </c>
      <c r="L1441" s="15"/>
      <c r="AH1441" s="14"/>
      <c r="AI1441" s="14">
        <v>0</v>
      </c>
      <c r="AJ1441" s="14"/>
      <c r="AK1441" s="14"/>
      <c r="AL1441" s="50"/>
      <c r="AM1441" s="21">
        <v>8.3333333333333332E-3</v>
      </c>
    </row>
    <row r="1442" spans="1:39" x14ac:dyDescent="0.3">
      <c r="A1442" s="2">
        <v>1626799</v>
      </c>
      <c r="B1442" s="2">
        <v>1453324</v>
      </c>
      <c r="C1442" s="2">
        <v>3559230</v>
      </c>
      <c r="E1442" t="s">
        <v>1210</v>
      </c>
      <c r="I1442" s="15">
        <v>6.7039999999999999E-3</v>
      </c>
      <c r="L1442" s="15"/>
      <c r="AH1442" s="14"/>
      <c r="AI1442" s="14">
        <v>6.7039999999999999E-3</v>
      </c>
      <c r="AJ1442" s="14"/>
      <c r="AK1442" s="14"/>
      <c r="AL1442" s="50"/>
      <c r="AM1442" s="21">
        <v>0.13749999999999998</v>
      </c>
    </row>
    <row r="1443" spans="1:39" x14ac:dyDescent="0.3">
      <c r="A1443" s="2">
        <v>1709514</v>
      </c>
      <c r="B1443" s="2">
        <v>1051876</v>
      </c>
      <c r="C1443" s="2">
        <v>1453044</v>
      </c>
      <c r="E1443" t="s">
        <v>844</v>
      </c>
      <c r="I1443" s="15">
        <v>5.3029E-2</v>
      </c>
      <c r="L1443" s="15"/>
      <c r="AH1443" s="14"/>
      <c r="AI1443" s="14">
        <v>1.5021E-2</v>
      </c>
      <c r="AJ1443" s="14"/>
      <c r="AK1443" s="14"/>
      <c r="AL1443" s="50"/>
      <c r="AM1443" s="21">
        <v>0.25694444444444448</v>
      </c>
    </row>
    <row r="1444" spans="1:39" x14ac:dyDescent="0.3">
      <c r="A1444" s="2">
        <v>1723265</v>
      </c>
      <c r="B1444" s="2">
        <v>1470665</v>
      </c>
      <c r="C1444" s="2">
        <v>585164</v>
      </c>
      <c r="E1444" t="s">
        <v>843</v>
      </c>
      <c r="I1444" s="15">
        <v>3.4018E-2</v>
      </c>
      <c r="L1444" s="15"/>
      <c r="AH1444" s="14"/>
      <c r="AI1444" s="14">
        <v>3.4018E-2</v>
      </c>
      <c r="AJ1444" s="14"/>
      <c r="AK1444" s="14"/>
      <c r="AL1444" s="50"/>
      <c r="AM1444" s="21">
        <v>0.75416666666666676</v>
      </c>
    </row>
    <row r="1445" spans="1:39" x14ac:dyDescent="0.3">
      <c r="A1445" s="2">
        <v>1587082</v>
      </c>
      <c r="B1445" s="2">
        <v>84038</v>
      </c>
      <c r="C1445" s="2">
        <v>2031115</v>
      </c>
      <c r="D1445" s="2">
        <v>142930</v>
      </c>
      <c r="E1445" t="s">
        <v>1092</v>
      </c>
      <c r="I1445" s="15">
        <v>0.28136499999999998</v>
      </c>
      <c r="L1445" s="15"/>
      <c r="P1445" s="14">
        <v>1.057E-2</v>
      </c>
      <c r="AH1445" s="14"/>
      <c r="AI1445" s="14">
        <v>0.28136499999999998</v>
      </c>
      <c r="AJ1445" s="14"/>
      <c r="AK1445" s="14"/>
      <c r="AL1445" s="50"/>
      <c r="AM1445" s="19">
        <v>0.11527777777777777</v>
      </c>
    </row>
    <row r="1446" spans="1:39" x14ac:dyDescent="0.3">
      <c r="A1446" s="2">
        <v>1810259</v>
      </c>
      <c r="B1446" s="2">
        <v>1483016</v>
      </c>
      <c r="C1446" s="2">
        <v>5679012</v>
      </c>
      <c r="E1446" t="s">
        <v>896</v>
      </c>
      <c r="I1446" s="15">
        <v>0</v>
      </c>
      <c r="L1446" s="15"/>
      <c r="AH1446" s="14"/>
      <c r="AI1446" s="14">
        <v>0</v>
      </c>
      <c r="AJ1446" s="14"/>
      <c r="AK1446" s="14"/>
      <c r="AL1446" s="50"/>
      <c r="AM1446" s="21">
        <v>0.10277777777777779</v>
      </c>
    </row>
    <row r="1447" spans="1:39" x14ac:dyDescent="0.3">
      <c r="A1447" s="2">
        <v>1878480</v>
      </c>
      <c r="B1447" s="2">
        <v>1485916</v>
      </c>
      <c r="C1447" s="2">
        <v>2801868</v>
      </c>
      <c r="E1447" t="s">
        <v>1216</v>
      </c>
      <c r="I1447" s="15">
        <v>1.0973999999999999E-2</v>
      </c>
      <c r="L1447" s="15"/>
      <c r="AH1447" s="14"/>
      <c r="AI1447" s="14">
        <v>1.0973999999999999E-2</v>
      </c>
      <c r="AJ1447" s="14"/>
      <c r="AK1447" s="14"/>
      <c r="AL1447" s="50"/>
      <c r="AM1447" s="21">
        <v>3.6111111111111115E-2</v>
      </c>
    </row>
    <row r="1448" spans="1:39" x14ac:dyDescent="0.3">
      <c r="A1448" s="2">
        <v>1892396</v>
      </c>
      <c r="B1448" s="2">
        <v>1487860</v>
      </c>
      <c r="C1448" s="2">
        <v>2413965</v>
      </c>
      <c r="E1448" t="s">
        <v>831</v>
      </c>
      <c r="I1448" s="15">
        <v>1.1807E-2</v>
      </c>
      <c r="L1448" s="15"/>
      <c r="AH1448" s="14"/>
      <c r="AI1448" s="14">
        <v>1.1807E-2</v>
      </c>
      <c r="AJ1448" s="14"/>
      <c r="AK1448" s="14"/>
      <c r="AL1448" s="50"/>
      <c r="AM1448" s="21">
        <v>0.10486111111111111</v>
      </c>
    </row>
    <row r="1449" spans="1:39" x14ac:dyDescent="0.3">
      <c r="A1449" s="2">
        <v>1983716</v>
      </c>
      <c r="B1449" s="2">
        <v>1496049</v>
      </c>
      <c r="C1449" s="2">
        <v>1468883</v>
      </c>
      <c r="E1449" t="s">
        <v>846</v>
      </c>
      <c r="I1449" s="15">
        <v>3.1140999999999999E-2</v>
      </c>
      <c r="L1449" s="15"/>
      <c r="AH1449" s="14"/>
      <c r="AI1449" s="14">
        <v>3.1140999999999999E-2</v>
      </c>
      <c r="AJ1449" s="14"/>
      <c r="AK1449" s="14"/>
      <c r="AL1449" s="50"/>
      <c r="AM1449" s="21">
        <v>7.6388888888888886E-3</v>
      </c>
    </row>
    <row r="1450" spans="1:39" x14ac:dyDescent="0.3">
      <c r="A1450" s="2">
        <v>1984390</v>
      </c>
      <c r="B1450" s="2">
        <v>1501755</v>
      </c>
      <c r="C1450" s="2">
        <v>1746633</v>
      </c>
      <c r="E1450" t="s">
        <v>944</v>
      </c>
      <c r="I1450" s="15">
        <v>2.2341E-2</v>
      </c>
      <c r="L1450" s="15"/>
      <c r="AH1450" s="14"/>
      <c r="AI1450" s="14">
        <v>2.2341E-2</v>
      </c>
      <c r="AJ1450" s="14"/>
      <c r="AK1450" s="14"/>
      <c r="AL1450" s="50"/>
      <c r="AM1450" s="21">
        <v>3.8194444444444441E-2</v>
      </c>
    </row>
    <row r="1451" spans="1:39" x14ac:dyDescent="0.3">
      <c r="A1451" s="2">
        <v>2008570</v>
      </c>
      <c r="B1451" s="2">
        <v>1538501</v>
      </c>
      <c r="C1451" s="2">
        <v>4612936</v>
      </c>
      <c r="E1451" t="s">
        <v>931</v>
      </c>
      <c r="I1451" s="15">
        <v>5.2030000000000002E-3</v>
      </c>
      <c r="L1451" s="15"/>
      <c r="AH1451" s="14"/>
      <c r="AI1451" s="14">
        <v>5.2030000000000002E-3</v>
      </c>
      <c r="AJ1451" s="14"/>
      <c r="AK1451" s="14"/>
      <c r="AL1451" s="50"/>
      <c r="AM1451" s="21">
        <v>1.7361111111111112E-2</v>
      </c>
    </row>
    <row r="1452" spans="1:39" x14ac:dyDescent="0.3">
      <c r="A1452" s="2">
        <v>2129417</v>
      </c>
      <c r="B1452" s="2">
        <v>1547901</v>
      </c>
      <c r="C1452" s="2">
        <v>6590937</v>
      </c>
      <c r="E1452" t="s">
        <v>874</v>
      </c>
      <c r="I1452" s="15">
        <v>0</v>
      </c>
      <c r="L1452" s="15"/>
      <c r="AH1452" s="14"/>
      <c r="AI1452" s="14">
        <v>0</v>
      </c>
      <c r="AJ1452" s="14"/>
      <c r="AK1452" s="14"/>
      <c r="AL1452" s="50"/>
      <c r="AM1452" s="21">
        <v>6.5277777777777782E-2</v>
      </c>
    </row>
    <row r="1453" spans="1:39" x14ac:dyDescent="0.3">
      <c r="A1453" s="2">
        <v>2225877</v>
      </c>
      <c r="B1453" s="2">
        <v>1566811</v>
      </c>
      <c r="C1453" s="2">
        <v>6241321</v>
      </c>
      <c r="E1453" t="s">
        <v>917</v>
      </c>
      <c r="I1453" s="15">
        <v>0</v>
      </c>
      <c r="L1453" s="15"/>
      <c r="AH1453" s="14"/>
      <c r="AI1453" s="14">
        <v>0</v>
      </c>
      <c r="AJ1453" s="14"/>
      <c r="AK1453" s="14"/>
      <c r="AL1453" s="50"/>
      <c r="AM1453" s="21">
        <v>0.1451388888888889</v>
      </c>
    </row>
    <row r="1454" spans="1:39" x14ac:dyDescent="0.3">
      <c r="A1454" s="2">
        <v>2266164</v>
      </c>
      <c r="B1454" s="2">
        <v>1574712</v>
      </c>
      <c r="C1454" s="2">
        <v>1422960</v>
      </c>
      <c r="E1454" t="s">
        <v>857</v>
      </c>
      <c r="I1454" s="15">
        <v>3.2729000000000001E-2</v>
      </c>
      <c r="L1454" s="15"/>
      <c r="AH1454" s="14"/>
      <c r="AI1454" s="14">
        <v>3.2729000000000001E-2</v>
      </c>
      <c r="AJ1454" s="14"/>
      <c r="AK1454" s="14"/>
      <c r="AL1454" s="50"/>
      <c r="AM1454" s="21">
        <v>2.5694444444444447E-2</v>
      </c>
    </row>
    <row r="1455" spans="1:39" x14ac:dyDescent="0.3">
      <c r="A1455" s="2">
        <v>2369899</v>
      </c>
      <c r="B1455" s="2">
        <v>1626799</v>
      </c>
      <c r="C1455" s="2">
        <v>7006353</v>
      </c>
      <c r="E1455" t="s">
        <v>926</v>
      </c>
      <c r="I1455" s="15">
        <v>0</v>
      </c>
      <c r="L1455" s="15"/>
      <c r="AH1455" s="14"/>
      <c r="AI1455" s="14">
        <v>0</v>
      </c>
      <c r="AJ1455" s="14"/>
      <c r="AK1455" s="14"/>
      <c r="AL1455" s="50"/>
      <c r="AM1455" s="21">
        <v>7.4999999999999997E-2</v>
      </c>
    </row>
    <row r="1456" spans="1:39" x14ac:dyDescent="0.3">
      <c r="A1456" s="2">
        <v>2422516</v>
      </c>
      <c r="B1456" s="2">
        <v>1709514</v>
      </c>
      <c r="C1456" s="2">
        <v>6175427</v>
      </c>
      <c r="E1456" t="s">
        <v>873</v>
      </c>
      <c r="I1456" s="15">
        <v>0</v>
      </c>
      <c r="L1456" s="15"/>
      <c r="AH1456" s="14"/>
      <c r="AI1456" s="14">
        <v>0</v>
      </c>
      <c r="AJ1456" s="14"/>
      <c r="AK1456" s="14"/>
      <c r="AL1456" s="50"/>
      <c r="AM1456" s="21">
        <v>1.3194444444444444E-2</v>
      </c>
    </row>
    <row r="1457" spans="1:39" x14ac:dyDescent="0.3">
      <c r="A1457" s="2">
        <v>2556474</v>
      </c>
      <c r="B1457" s="2">
        <v>1723265</v>
      </c>
      <c r="C1457" s="2">
        <v>5165388</v>
      </c>
      <c r="E1457" t="s">
        <v>845</v>
      </c>
      <c r="I1457" s="15">
        <v>0</v>
      </c>
      <c r="L1457" s="15"/>
      <c r="AH1457" s="14"/>
      <c r="AI1457" s="14">
        <v>0</v>
      </c>
      <c r="AJ1457" s="14"/>
      <c r="AK1457" s="14"/>
      <c r="AL1457" s="50"/>
      <c r="AM1457" s="21">
        <v>2.9861111111111113E-2</v>
      </c>
    </row>
    <row r="1458" spans="1:39" x14ac:dyDescent="0.3">
      <c r="A1458" s="2">
        <v>2777353</v>
      </c>
      <c r="B1458" s="2">
        <v>1810259</v>
      </c>
      <c r="C1458" s="2">
        <v>2267580</v>
      </c>
      <c r="E1458" t="s">
        <v>832</v>
      </c>
      <c r="I1458" s="15">
        <v>7.4970000000000002E-3</v>
      </c>
      <c r="L1458" s="15"/>
      <c r="AH1458" s="14"/>
      <c r="AI1458" s="14">
        <v>7.4969999999999995E-2</v>
      </c>
      <c r="AJ1458" s="14"/>
      <c r="AK1458" s="14"/>
      <c r="AL1458" s="50"/>
      <c r="AM1458" s="21">
        <v>0.2388888888888889</v>
      </c>
    </row>
    <row r="1459" spans="1:39" x14ac:dyDescent="0.3">
      <c r="A1459" s="2">
        <v>2898515</v>
      </c>
      <c r="B1459" s="2">
        <v>1878480</v>
      </c>
      <c r="C1459" s="2">
        <v>7553946</v>
      </c>
      <c r="E1459" t="s">
        <v>942</v>
      </c>
      <c r="I1459" s="15">
        <v>0</v>
      </c>
      <c r="L1459" s="15"/>
      <c r="AH1459" s="14"/>
      <c r="AI1459" s="14">
        <v>0</v>
      </c>
      <c r="AJ1459" s="14"/>
      <c r="AK1459" s="14"/>
      <c r="AL1459" s="50"/>
      <c r="AM1459" s="21">
        <v>0.26527777777777778</v>
      </c>
    </row>
    <row r="1460" spans="1:39" x14ac:dyDescent="0.3">
      <c r="A1460" s="2">
        <v>3093218</v>
      </c>
      <c r="B1460" s="2">
        <v>1892396</v>
      </c>
      <c r="C1460" s="2">
        <v>6302594</v>
      </c>
      <c r="E1460" t="s">
        <v>901</v>
      </c>
      <c r="I1460" s="15">
        <v>0</v>
      </c>
      <c r="L1460" s="15"/>
      <c r="AH1460" s="14"/>
      <c r="AI1460" s="14">
        <v>0</v>
      </c>
      <c r="AJ1460" s="14"/>
      <c r="AK1460" s="14"/>
      <c r="AL1460" s="50"/>
      <c r="AM1460" s="21">
        <v>4.5833333333333337E-2</v>
      </c>
    </row>
    <row r="1461" spans="1:39" x14ac:dyDescent="0.3">
      <c r="A1461" s="2">
        <v>3293815</v>
      </c>
      <c r="B1461" s="2">
        <v>1983716</v>
      </c>
      <c r="C1461" s="2">
        <v>7055081</v>
      </c>
      <c r="E1461" t="s">
        <v>833</v>
      </c>
      <c r="I1461" s="15">
        <v>0</v>
      </c>
      <c r="L1461" s="15"/>
      <c r="AH1461" s="14"/>
      <c r="AI1461" s="14">
        <v>0</v>
      </c>
      <c r="AJ1461" s="14"/>
      <c r="AK1461" s="14"/>
      <c r="AL1461" s="50"/>
      <c r="AM1461" s="21">
        <v>0.11805555555555557</v>
      </c>
    </row>
    <row r="1462" spans="1:39" x14ac:dyDescent="0.3">
      <c r="A1462" s="2">
        <v>3483419</v>
      </c>
      <c r="B1462" s="2">
        <v>1984390</v>
      </c>
      <c r="C1462" s="2">
        <v>6489411</v>
      </c>
      <c r="E1462" t="s">
        <v>908</v>
      </c>
      <c r="I1462" s="15">
        <v>0</v>
      </c>
      <c r="L1462" s="15"/>
      <c r="AH1462" s="14"/>
      <c r="AI1462" s="14">
        <v>0</v>
      </c>
      <c r="AJ1462" s="14"/>
      <c r="AK1462" s="14"/>
      <c r="AL1462" s="50"/>
      <c r="AM1462" s="21">
        <v>0.16597222222222222</v>
      </c>
    </row>
    <row r="1463" spans="1:39" x14ac:dyDescent="0.3">
      <c r="A1463" s="2">
        <v>3620708</v>
      </c>
      <c r="B1463" s="2">
        <v>2008570</v>
      </c>
      <c r="C1463" s="2">
        <v>2733023</v>
      </c>
      <c r="E1463" t="s">
        <v>958</v>
      </c>
      <c r="I1463" s="15">
        <v>7.8329999999999997E-3</v>
      </c>
      <c r="L1463" s="15"/>
      <c r="AH1463" s="14"/>
      <c r="AI1463" s="14">
        <v>7.8329999999999997E-3</v>
      </c>
      <c r="AJ1463" s="14"/>
      <c r="AK1463" s="14"/>
      <c r="AL1463" s="50"/>
      <c r="AM1463" s="21">
        <v>0.56111111111111112</v>
      </c>
    </row>
    <row r="1464" spans="1:39" x14ac:dyDescent="0.3">
      <c r="A1464" s="2">
        <v>3853078</v>
      </c>
      <c r="B1464" s="2">
        <v>2129417</v>
      </c>
      <c r="C1464" s="2">
        <v>6537201</v>
      </c>
      <c r="E1464" t="s">
        <v>954</v>
      </c>
      <c r="I1464" s="15">
        <v>0</v>
      </c>
      <c r="L1464" s="15"/>
      <c r="AH1464" s="14"/>
      <c r="AI1464" s="14">
        <v>0</v>
      </c>
      <c r="AJ1464" s="14"/>
      <c r="AK1464" s="14"/>
      <c r="AL1464" s="50"/>
      <c r="AM1464" s="21">
        <v>0.17569444444444446</v>
      </c>
    </row>
    <row r="1465" spans="1:39" x14ac:dyDescent="0.3">
      <c r="A1465" s="2">
        <v>4164800</v>
      </c>
      <c r="B1465" s="2">
        <v>2225877</v>
      </c>
      <c r="C1465" s="2">
        <v>2758035</v>
      </c>
      <c r="E1465" t="s">
        <v>1220</v>
      </c>
      <c r="I1465" s="15">
        <v>1.0630000000000001E-2</v>
      </c>
      <c r="L1465" s="15"/>
      <c r="AH1465" s="14"/>
      <c r="AI1465" s="14">
        <v>1.0630000000000001E-2</v>
      </c>
      <c r="AJ1465" s="14"/>
      <c r="AK1465" s="14"/>
      <c r="AL1465" s="50"/>
      <c r="AM1465" s="21">
        <v>0.15625</v>
      </c>
    </row>
    <row r="1466" spans="1:39" x14ac:dyDescent="0.3">
      <c r="A1466" s="2">
        <v>4352528</v>
      </c>
      <c r="B1466" s="2">
        <v>2266164</v>
      </c>
      <c r="C1466" s="2">
        <v>8136748</v>
      </c>
      <c r="E1466" t="s">
        <v>925</v>
      </c>
      <c r="I1466" s="15">
        <v>0</v>
      </c>
      <c r="L1466" s="15"/>
      <c r="AH1466" s="14"/>
      <c r="AI1466" s="14">
        <v>0</v>
      </c>
      <c r="AJ1466" s="14"/>
      <c r="AK1466" s="14"/>
      <c r="AL1466" s="50"/>
      <c r="AM1466" s="21">
        <v>3.3333333333333333E-2</v>
      </c>
    </row>
    <row r="1467" spans="1:39" x14ac:dyDescent="0.3">
      <c r="A1467" s="2">
        <v>4427327</v>
      </c>
      <c r="B1467" s="2">
        <v>2369899</v>
      </c>
      <c r="C1467" s="2">
        <v>11944288</v>
      </c>
      <c r="E1467" t="s">
        <v>891</v>
      </c>
      <c r="I1467" s="15">
        <v>0</v>
      </c>
      <c r="L1467" s="15"/>
      <c r="AH1467" s="14"/>
      <c r="AI1467" s="14">
        <v>0</v>
      </c>
      <c r="AJ1467" s="14"/>
      <c r="AK1467" s="14"/>
      <c r="AL1467" s="50"/>
      <c r="AM1467" s="21">
        <v>2.7777777777777779E-3</v>
      </c>
    </row>
    <row r="1468" spans="1:39" x14ac:dyDescent="0.3">
      <c r="A1468" s="2">
        <v>6235496</v>
      </c>
      <c r="B1468" s="2">
        <v>2422516</v>
      </c>
      <c r="C1468" s="2">
        <v>3336286</v>
      </c>
      <c r="E1468" t="s">
        <v>899</v>
      </c>
      <c r="I1468" s="15">
        <v>0</v>
      </c>
      <c r="L1468" s="15"/>
      <c r="AH1468" s="14"/>
      <c r="AI1468" s="14">
        <v>0</v>
      </c>
      <c r="AJ1468" s="14"/>
      <c r="AK1468" s="14"/>
      <c r="AL1468" s="50"/>
      <c r="AM1468" s="21">
        <v>0.1013888888888889</v>
      </c>
    </row>
    <row r="1469" spans="1:39" x14ac:dyDescent="0.3">
      <c r="A1469" s="2" t="s">
        <v>772</v>
      </c>
      <c r="B1469" s="2">
        <v>2556474</v>
      </c>
      <c r="C1469" s="2">
        <v>18725087</v>
      </c>
      <c r="E1469" t="s">
        <v>1198</v>
      </c>
      <c r="I1469" s="15">
        <v>0</v>
      </c>
      <c r="L1469" s="15"/>
      <c r="AH1469" s="14"/>
      <c r="AI1469" s="14">
        <v>0</v>
      </c>
      <c r="AJ1469" s="14"/>
      <c r="AK1469" s="14"/>
      <c r="AL1469" s="50"/>
      <c r="AM1469" s="21">
        <v>0</v>
      </c>
    </row>
    <row r="1470" spans="1:39" x14ac:dyDescent="0.3">
      <c r="B1470" s="2">
        <v>2898515</v>
      </c>
      <c r="AH1470" s="14"/>
      <c r="AI1470" s="14"/>
      <c r="AJ1470" s="14"/>
      <c r="AK1470" s="14"/>
      <c r="AL1470" s="50"/>
    </row>
    <row r="1471" spans="1:39" x14ac:dyDescent="0.3">
      <c r="B1471" s="2">
        <v>3093218</v>
      </c>
      <c r="AF1471" s="8"/>
      <c r="AH1471" s="14"/>
      <c r="AI1471" s="14"/>
      <c r="AJ1471" s="14"/>
      <c r="AK1471" s="14"/>
      <c r="AL1471" s="50"/>
    </row>
    <row r="1472" spans="1:39" x14ac:dyDescent="0.3">
      <c r="B1472" s="2">
        <v>3293815</v>
      </c>
      <c r="AF1472" s="8"/>
      <c r="AH1472" s="14"/>
      <c r="AI1472" s="14"/>
      <c r="AJ1472" s="14"/>
      <c r="AK1472" s="14"/>
      <c r="AL1472" s="50"/>
    </row>
    <row r="1473" spans="1:63" ht="12.5" x14ac:dyDescent="0.25">
      <c r="A1473"/>
      <c r="B1473" s="2">
        <v>3483419</v>
      </c>
      <c r="C1473"/>
      <c r="D1473"/>
      <c r="H1473"/>
      <c r="I1473"/>
      <c r="J1473"/>
      <c r="K1473"/>
      <c r="L1473"/>
      <c r="M1473"/>
      <c r="N1473"/>
      <c r="O1473"/>
      <c r="P1473" s="50"/>
      <c r="Q1473" s="50"/>
      <c r="R1473" s="50"/>
      <c r="S1473" s="50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 s="8"/>
      <c r="AG1473"/>
      <c r="AH1473" s="14"/>
      <c r="AI1473" s="14"/>
      <c r="AJ1473" s="14"/>
      <c r="AK1473" s="14"/>
      <c r="AL1473" s="50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</row>
    <row r="1474" spans="1:63" ht="12.5" x14ac:dyDescent="0.25">
      <c r="A1474"/>
      <c r="B1474" s="2">
        <v>3620708</v>
      </c>
      <c r="C1474"/>
      <c r="D1474"/>
      <c r="H1474"/>
      <c r="I1474"/>
      <c r="J1474"/>
      <c r="K1474"/>
      <c r="L1474"/>
      <c r="M1474"/>
      <c r="N1474"/>
      <c r="O1474"/>
      <c r="P1474" s="50"/>
      <c r="Q1474" s="50"/>
      <c r="R1474" s="50"/>
      <c r="S1474" s="50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 s="8"/>
      <c r="AG1474"/>
      <c r="AH1474" s="14"/>
      <c r="AI1474" s="14"/>
      <c r="AJ1474" s="14"/>
      <c r="AK1474" s="14"/>
      <c r="AL1474" s="50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</row>
    <row r="1475" spans="1:63" ht="12.5" x14ac:dyDescent="0.25">
      <c r="A1475"/>
      <c r="B1475" s="2">
        <v>3853078</v>
      </c>
      <c r="C1475"/>
      <c r="D1475"/>
      <c r="H1475"/>
      <c r="I1475"/>
      <c r="J1475"/>
      <c r="K1475"/>
      <c r="L1475"/>
      <c r="M1475"/>
      <c r="N1475"/>
      <c r="O1475"/>
      <c r="P1475" s="50"/>
      <c r="Q1475" s="50"/>
      <c r="R1475" s="50"/>
      <c r="S1475" s="50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 s="8"/>
      <c r="AG1475"/>
      <c r="AH1475" s="14"/>
      <c r="AI1475" s="14"/>
      <c r="AJ1475" s="14"/>
      <c r="AK1475" s="14"/>
      <c r="AL1475" s="50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</row>
    <row r="1476" spans="1:63" ht="12.5" x14ac:dyDescent="0.25">
      <c r="A1476"/>
      <c r="B1476" s="2">
        <v>4164800</v>
      </c>
      <c r="C1476"/>
      <c r="D1476"/>
      <c r="H1476"/>
      <c r="I1476"/>
      <c r="J1476"/>
      <c r="K1476"/>
      <c r="L1476"/>
      <c r="M1476"/>
      <c r="N1476"/>
      <c r="O1476"/>
      <c r="P1476" s="50"/>
      <c r="Q1476" s="50"/>
      <c r="R1476" s="50"/>
      <c r="S1476" s="50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 s="8"/>
      <c r="AG1476"/>
      <c r="AH1476" s="14"/>
      <c r="AI1476" s="14"/>
      <c r="AJ1476" s="14"/>
      <c r="AK1476" s="14"/>
      <c r="AL1476" s="50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</row>
    <row r="1477" spans="1:63" ht="12.5" x14ac:dyDescent="0.25">
      <c r="A1477"/>
      <c r="B1477" s="2">
        <v>4352528</v>
      </c>
      <c r="C1477"/>
      <c r="D1477"/>
      <c r="H1477"/>
      <c r="I1477"/>
      <c r="J1477"/>
      <c r="K1477"/>
      <c r="L1477"/>
      <c r="M1477"/>
      <c r="N1477"/>
      <c r="O1477"/>
      <c r="P1477" s="50"/>
      <c r="Q1477" s="50"/>
      <c r="R1477" s="50"/>
      <c r="S1477" s="50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 s="8"/>
      <c r="AG1477"/>
      <c r="AH1477" s="14"/>
      <c r="AI1477" s="14"/>
      <c r="AJ1477" s="14"/>
      <c r="AK1477" s="14"/>
      <c r="AL1477" s="50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</row>
    <row r="1478" spans="1:63" ht="12.5" x14ac:dyDescent="0.25">
      <c r="A1478"/>
      <c r="B1478" s="2">
        <v>4427327</v>
      </c>
      <c r="C1478"/>
      <c r="D1478"/>
      <c r="H1478"/>
      <c r="I1478"/>
      <c r="J1478"/>
      <c r="K1478"/>
      <c r="L1478"/>
      <c r="M1478"/>
      <c r="N1478"/>
      <c r="O1478"/>
      <c r="P1478" s="50"/>
      <c r="Q1478" s="50"/>
      <c r="R1478" s="50"/>
      <c r="S1478" s="50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 s="8"/>
      <c r="AG1478"/>
      <c r="AH1478" s="14"/>
      <c r="AI1478" s="14"/>
      <c r="AJ1478" s="14"/>
      <c r="AK1478" s="14"/>
      <c r="AL1478" s="50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</row>
    <row r="1479" spans="1:63" ht="12.5" x14ac:dyDescent="0.25">
      <c r="A1479"/>
      <c r="B1479" s="2">
        <v>6235496</v>
      </c>
      <c r="C1479"/>
      <c r="D1479"/>
      <c r="H1479"/>
      <c r="I1479"/>
      <c r="J1479"/>
      <c r="K1479"/>
      <c r="L1479"/>
      <c r="M1479"/>
      <c r="N1479"/>
      <c r="O1479"/>
      <c r="P1479" s="50"/>
      <c r="Q1479" s="50"/>
      <c r="R1479" s="50"/>
      <c r="S1479" s="50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s="8"/>
      <c r="AG1479"/>
      <c r="AH1479" s="14"/>
      <c r="AI1479" s="14"/>
      <c r="AJ1479" s="14"/>
      <c r="AK1479" s="14"/>
      <c r="AL1479" s="50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</row>
    <row r="1480" spans="1:63" x14ac:dyDescent="0.3">
      <c r="A1480" s="2" t="s">
        <v>772</v>
      </c>
      <c r="B1480" s="2">
        <v>60917</v>
      </c>
      <c r="C1480" s="2" t="s">
        <v>772</v>
      </c>
      <c r="D1480" s="2">
        <v>326034</v>
      </c>
      <c r="E1480" t="s">
        <v>781</v>
      </c>
      <c r="I1480" s="15">
        <v>0.137154</v>
      </c>
      <c r="L1480" s="15"/>
      <c r="P1480" s="14">
        <v>0</v>
      </c>
      <c r="AH1480" s="14"/>
      <c r="AI1480" s="14">
        <v>0.137154</v>
      </c>
      <c r="AJ1480" s="14"/>
      <c r="AK1480" s="14"/>
      <c r="AL1480" s="50"/>
      <c r="AM1480" s="19">
        <v>6.0416666666666667E-2</v>
      </c>
    </row>
    <row r="1481" spans="1:63" x14ac:dyDescent="0.3">
      <c r="A1481" s="2">
        <v>36807</v>
      </c>
      <c r="B1481" s="2">
        <v>32082</v>
      </c>
      <c r="C1481" s="2">
        <v>91588</v>
      </c>
      <c r="E1481" t="s">
        <v>1101</v>
      </c>
      <c r="I1481" s="15">
        <v>0.813168</v>
      </c>
      <c r="L1481" s="15"/>
      <c r="AF1481" s="14"/>
      <c r="AG1481" s="14"/>
      <c r="AH1481" s="14"/>
      <c r="AI1481" s="14">
        <v>0.813168</v>
      </c>
      <c r="AJ1481" s="14"/>
      <c r="AK1481" s="14"/>
      <c r="AL1481" s="50"/>
      <c r="AM1481" s="19">
        <v>9.7222222222222224E-2</v>
      </c>
    </row>
    <row r="1482" spans="1:63" x14ac:dyDescent="0.3">
      <c r="A1482" s="2">
        <v>27944</v>
      </c>
      <c r="B1482" s="2">
        <v>25984</v>
      </c>
      <c r="C1482" s="2">
        <v>33877</v>
      </c>
      <c r="E1482" t="s">
        <v>796</v>
      </c>
      <c r="F1482" t="s">
        <v>797</v>
      </c>
      <c r="H1482" s="2">
        <v>4000</v>
      </c>
      <c r="I1482" s="15">
        <v>1.9219999999999999</v>
      </c>
      <c r="L1482" s="15"/>
      <c r="AG1482" s="1">
        <v>0.28724699999999997</v>
      </c>
      <c r="AH1482" s="14"/>
      <c r="AI1482" s="14">
        <v>1.9219999999999999</v>
      </c>
      <c r="AJ1482" s="14"/>
      <c r="AK1482" s="14"/>
      <c r="AL1482" s="50"/>
      <c r="AM1482" s="19">
        <v>0.27152777777777776</v>
      </c>
    </row>
  </sheetData>
  <dataConsolidate/>
  <mergeCells count="1">
    <mergeCell ref="AK1:AL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807C-CA8F-466C-B068-F020C7B9EDAB}">
  <dimension ref="A1:AO113"/>
  <sheetViews>
    <sheetView zoomScale="145" zoomScaleNormal="145" workbookViewId="0">
      <pane xSplit="4" ySplit="2" topLeftCell="E93" activePane="bottomRight" state="frozen"/>
      <selection pane="topRight" activeCell="F1" sqref="F1"/>
      <selection pane="bottomLeft" activeCell="A3" sqref="A3"/>
      <selection pane="bottomRight" activeCell="N98" sqref="N98"/>
    </sheetView>
  </sheetViews>
  <sheetFormatPr defaultRowHeight="12.5" x14ac:dyDescent="0.25"/>
  <cols>
    <col min="3" max="3" width="10" customWidth="1"/>
    <col min="10" max="19" width="10.453125" customWidth="1"/>
  </cols>
  <sheetData>
    <row r="1" spans="1:41" x14ac:dyDescent="0.25">
      <c r="A1" s="2"/>
      <c r="B1" s="2"/>
      <c r="C1" s="2"/>
      <c r="D1" s="2"/>
      <c r="H1" s="2"/>
      <c r="I1" s="2"/>
      <c r="J1" s="1" t="s">
        <v>1332</v>
      </c>
      <c r="K1" s="1" t="s">
        <v>1332</v>
      </c>
      <c r="L1" s="1" t="s">
        <v>1332</v>
      </c>
      <c r="M1" s="1" t="s">
        <v>1332</v>
      </c>
      <c r="N1" s="1" t="s">
        <v>1332</v>
      </c>
      <c r="O1" s="1" t="s">
        <v>1332</v>
      </c>
      <c r="P1" s="1" t="s">
        <v>1332</v>
      </c>
      <c r="Q1" s="1" t="s">
        <v>1332</v>
      </c>
      <c r="R1" s="1" t="s">
        <v>1332</v>
      </c>
      <c r="S1" s="1" t="s">
        <v>1332</v>
      </c>
      <c r="T1" s="1" t="s">
        <v>1332</v>
      </c>
      <c r="U1" s="1" t="s">
        <v>1332</v>
      </c>
      <c r="V1" s="1" t="s">
        <v>1332</v>
      </c>
      <c r="W1" s="1" t="s">
        <v>1332</v>
      </c>
      <c r="X1" s="2" t="s">
        <v>1332</v>
      </c>
      <c r="Y1" s="2" t="s">
        <v>1332</v>
      </c>
      <c r="Z1" s="1" t="s">
        <v>1332</v>
      </c>
      <c r="AA1" s="1" t="s">
        <v>1332</v>
      </c>
      <c r="AB1" s="162" t="s">
        <v>744</v>
      </c>
      <c r="AC1" s="162"/>
    </row>
    <row r="2" spans="1:41" x14ac:dyDescent="0.25">
      <c r="A2" s="2" t="s">
        <v>769</v>
      </c>
      <c r="B2" s="2" t="s">
        <v>768</v>
      </c>
      <c r="C2" s="2" t="s">
        <v>767</v>
      </c>
      <c r="D2" s="2" t="s">
        <v>768</v>
      </c>
      <c r="H2" s="2" t="s">
        <v>741</v>
      </c>
      <c r="I2" s="2"/>
      <c r="J2" s="23">
        <v>45853</v>
      </c>
      <c r="K2" s="23">
        <v>45838</v>
      </c>
      <c r="L2" s="23">
        <v>45808</v>
      </c>
      <c r="M2" s="23">
        <v>45777</v>
      </c>
      <c r="N2" s="23">
        <v>45747</v>
      </c>
      <c r="O2" s="23">
        <v>45716</v>
      </c>
      <c r="P2" s="23">
        <v>45688</v>
      </c>
      <c r="Q2" s="23">
        <v>45657</v>
      </c>
      <c r="R2" s="23">
        <v>45626</v>
      </c>
      <c r="S2" s="23">
        <v>45596</v>
      </c>
      <c r="T2" s="23">
        <v>45565</v>
      </c>
      <c r="U2" s="23">
        <v>45535</v>
      </c>
      <c r="V2" s="23">
        <v>45497</v>
      </c>
      <c r="W2" s="23">
        <v>45302</v>
      </c>
      <c r="X2" s="23">
        <v>45215</v>
      </c>
      <c r="Y2" s="23">
        <v>45154</v>
      </c>
      <c r="Z2" s="23">
        <v>45127</v>
      </c>
      <c r="AA2" s="23">
        <v>45121</v>
      </c>
      <c r="AB2" s="23">
        <v>45089</v>
      </c>
      <c r="AC2" s="18">
        <v>45088</v>
      </c>
      <c r="AD2" t="s">
        <v>745</v>
      </c>
      <c r="AE2" t="s">
        <v>765</v>
      </c>
      <c r="AF2" s="1" t="s">
        <v>770</v>
      </c>
      <c r="AH2" s="8"/>
    </row>
    <row r="4" spans="1:41" x14ac:dyDescent="0.25">
      <c r="A4" s="2">
        <v>289</v>
      </c>
      <c r="B4" s="2">
        <v>800</v>
      </c>
      <c r="C4" s="2">
        <v>113</v>
      </c>
      <c r="D4" s="2">
        <v>278</v>
      </c>
      <c r="E4" t="s">
        <v>570</v>
      </c>
      <c r="F4" t="s">
        <v>6</v>
      </c>
      <c r="H4" s="2">
        <v>3000</v>
      </c>
      <c r="I4" s="2"/>
      <c r="J4" s="97">
        <v>193.3</v>
      </c>
      <c r="K4" s="97">
        <v>204.4</v>
      </c>
      <c r="L4" s="97">
        <v>209</v>
      </c>
      <c r="M4" s="97">
        <v>207.1</v>
      </c>
      <c r="N4" s="97">
        <v>201.7</v>
      </c>
      <c r="O4" s="97">
        <v>190.9</v>
      </c>
      <c r="P4" s="97">
        <v>221.8</v>
      </c>
      <c r="Q4" s="1"/>
      <c r="R4" s="1"/>
      <c r="S4" s="1"/>
      <c r="T4" s="1"/>
      <c r="U4" s="1"/>
      <c r="V4" s="2">
        <v>183.5</v>
      </c>
      <c r="W4" s="2">
        <v>181.1</v>
      </c>
      <c r="X4" s="1">
        <v>164</v>
      </c>
      <c r="Y4" s="14" t="s">
        <v>772</v>
      </c>
      <c r="Z4" s="14" t="s">
        <v>772</v>
      </c>
      <c r="AA4" s="14" t="s">
        <v>772</v>
      </c>
      <c r="AB4" s="14" t="s">
        <v>772</v>
      </c>
      <c r="AC4" s="14" t="s">
        <v>772</v>
      </c>
      <c r="AD4" s="19">
        <v>0.35833333333333334</v>
      </c>
      <c r="AE4" s="8">
        <f>(8+(36/60))*X4</f>
        <v>1410.3999999999999</v>
      </c>
    </row>
    <row r="5" spans="1:41" x14ac:dyDescent="0.25">
      <c r="A5" s="2">
        <v>70</v>
      </c>
      <c r="B5" s="2">
        <v>74</v>
      </c>
      <c r="C5" s="2">
        <v>304</v>
      </c>
      <c r="D5" s="2">
        <v>396</v>
      </c>
      <c r="E5" t="s">
        <v>126</v>
      </c>
      <c r="F5" t="s">
        <v>6</v>
      </c>
      <c r="G5" t="s">
        <v>1305</v>
      </c>
      <c r="H5" s="2">
        <v>85900</v>
      </c>
      <c r="I5" s="2"/>
      <c r="J5" s="97">
        <v>94.94</v>
      </c>
      <c r="K5" s="97">
        <v>98.1</v>
      </c>
      <c r="L5" s="97">
        <v>98.38</v>
      </c>
      <c r="M5" s="97">
        <v>104.8</v>
      </c>
      <c r="N5" s="97">
        <v>103.7</v>
      </c>
      <c r="O5" s="97">
        <v>103.5</v>
      </c>
      <c r="P5" s="97">
        <v>118.9</v>
      </c>
      <c r="Q5" s="1"/>
      <c r="R5" s="1"/>
      <c r="S5" s="1"/>
      <c r="T5" s="1"/>
      <c r="U5" s="1"/>
      <c r="V5" s="2">
        <v>90.32</v>
      </c>
      <c r="W5" s="2">
        <v>100</v>
      </c>
      <c r="X5" s="2">
        <v>71.52</v>
      </c>
      <c r="Y5" s="2">
        <v>83.15</v>
      </c>
      <c r="Z5" s="14" t="s">
        <v>772</v>
      </c>
      <c r="AA5" s="2">
        <v>76.8</v>
      </c>
      <c r="AB5" s="2" t="s">
        <v>772</v>
      </c>
      <c r="AC5" s="2" t="s">
        <v>772</v>
      </c>
      <c r="AD5" s="19">
        <v>0.30138888888888887</v>
      </c>
      <c r="AE5" s="8">
        <f>(7+(14/60))*AA5</f>
        <v>555.52</v>
      </c>
    </row>
    <row r="6" spans="1:41" x14ac:dyDescent="0.25">
      <c r="A6" s="2" t="s">
        <v>772</v>
      </c>
      <c r="B6" s="2" t="s">
        <v>772</v>
      </c>
      <c r="C6" s="2">
        <v>369</v>
      </c>
      <c r="D6" s="2">
        <v>583</v>
      </c>
      <c r="E6" t="s">
        <v>1417</v>
      </c>
      <c r="H6" s="2"/>
      <c r="I6" s="2"/>
      <c r="J6" s="97"/>
      <c r="K6" s="97"/>
      <c r="L6" s="97"/>
      <c r="M6" s="97"/>
      <c r="N6" s="97"/>
      <c r="O6" s="97"/>
      <c r="P6" s="97"/>
      <c r="Q6" s="1"/>
      <c r="R6" s="1"/>
      <c r="S6" s="1"/>
      <c r="T6" s="1"/>
      <c r="U6" s="1"/>
      <c r="V6" s="2"/>
      <c r="W6" s="2"/>
      <c r="X6" s="2"/>
      <c r="Y6" s="2"/>
      <c r="Z6" s="14"/>
      <c r="AA6" s="2"/>
      <c r="AB6" s="2"/>
      <c r="AC6" s="2"/>
      <c r="AD6" s="19"/>
      <c r="AE6" s="8"/>
    </row>
    <row r="7" spans="1:41" ht="13" x14ac:dyDescent="0.3">
      <c r="A7" s="2" t="s">
        <v>772</v>
      </c>
      <c r="B7" s="6" t="s">
        <v>772</v>
      </c>
      <c r="C7" s="2">
        <v>377</v>
      </c>
      <c r="D7" s="2">
        <v>266</v>
      </c>
      <c r="E7" t="s">
        <v>1420</v>
      </c>
      <c r="H7" s="2"/>
      <c r="I7" s="2"/>
      <c r="J7" s="97"/>
      <c r="K7" s="97"/>
      <c r="L7" s="97"/>
      <c r="M7" s="97"/>
      <c r="N7" s="97"/>
      <c r="O7" s="97"/>
      <c r="P7" s="97"/>
      <c r="Q7" s="1"/>
      <c r="R7" s="1"/>
      <c r="S7" s="1"/>
      <c r="T7" s="1"/>
      <c r="U7" s="1"/>
      <c r="V7" s="2"/>
      <c r="W7" s="2"/>
      <c r="X7" s="2"/>
      <c r="Y7" s="2"/>
      <c r="Z7" s="14"/>
      <c r="AA7" s="2"/>
      <c r="AB7" s="2"/>
      <c r="AC7" s="2"/>
      <c r="AD7" s="19"/>
      <c r="AE7" s="8"/>
    </row>
    <row r="8" spans="1:41" x14ac:dyDescent="0.25">
      <c r="A8" s="2" t="s">
        <v>772</v>
      </c>
      <c r="B8" s="2" t="s">
        <v>772</v>
      </c>
      <c r="C8" s="2">
        <v>390</v>
      </c>
      <c r="D8" s="2">
        <v>383</v>
      </c>
      <c r="E8" t="s">
        <v>1416</v>
      </c>
      <c r="H8" s="2"/>
      <c r="I8" s="2"/>
      <c r="J8" s="97"/>
      <c r="K8" s="97"/>
      <c r="L8" s="97"/>
      <c r="M8" s="97"/>
      <c r="N8" s="97"/>
      <c r="O8" s="97"/>
      <c r="P8" s="97"/>
      <c r="Q8" s="1"/>
      <c r="R8" s="1"/>
      <c r="S8" s="1"/>
      <c r="T8" s="1"/>
      <c r="U8" s="1"/>
      <c r="V8" s="2"/>
      <c r="W8" s="2"/>
      <c r="X8" s="2"/>
      <c r="Y8" s="2"/>
      <c r="Z8" s="14"/>
      <c r="AA8" s="2"/>
      <c r="AB8" s="2"/>
      <c r="AC8" s="2"/>
      <c r="AD8" s="19"/>
      <c r="AE8" s="8"/>
    </row>
    <row r="9" spans="1:41" x14ac:dyDescent="0.25">
      <c r="A9" s="2">
        <v>99</v>
      </c>
      <c r="B9" s="2">
        <v>97</v>
      </c>
      <c r="C9" s="2">
        <v>405</v>
      </c>
      <c r="D9" s="2">
        <v>740</v>
      </c>
      <c r="E9" t="s">
        <v>306</v>
      </c>
      <c r="F9" t="s">
        <v>1243</v>
      </c>
      <c r="H9" s="2">
        <v>108000</v>
      </c>
      <c r="I9" s="2"/>
      <c r="J9" s="97">
        <v>79.06</v>
      </c>
      <c r="K9" s="97">
        <v>83.85</v>
      </c>
      <c r="L9" s="97">
        <v>83.19</v>
      </c>
      <c r="M9" s="97">
        <v>87.91</v>
      </c>
      <c r="N9" s="97">
        <v>87.76</v>
      </c>
      <c r="O9" s="97">
        <v>88.27</v>
      </c>
      <c r="P9" s="97">
        <v>94.94</v>
      </c>
      <c r="Q9" s="1"/>
      <c r="R9" s="1"/>
      <c r="S9" s="1"/>
      <c r="T9" s="1"/>
      <c r="U9" s="1"/>
      <c r="V9" s="2">
        <v>81.150000000000006</v>
      </c>
      <c r="W9" s="2">
        <v>70.430000000000007</v>
      </c>
      <c r="X9" s="2">
        <v>45.61</v>
      </c>
      <c r="Y9" s="2">
        <v>45.8</v>
      </c>
      <c r="Z9" s="14" t="s">
        <v>772</v>
      </c>
      <c r="AA9" s="14" t="s">
        <v>772</v>
      </c>
      <c r="AB9" s="14" t="s">
        <v>772</v>
      </c>
      <c r="AC9" s="14" t="s">
        <v>772</v>
      </c>
      <c r="AD9" s="19">
        <v>0.32500000000000001</v>
      </c>
      <c r="AE9" s="8">
        <f>(7+(48/60))*Y9</f>
        <v>357.23999999999995</v>
      </c>
    </row>
    <row r="10" spans="1:41" x14ac:dyDescent="0.25">
      <c r="A10" s="2">
        <v>1534</v>
      </c>
      <c r="B10" s="2">
        <v>906</v>
      </c>
      <c r="C10" s="2">
        <v>436</v>
      </c>
      <c r="D10" s="2">
        <v>373</v>
      </c>
      <c r="E10" t="s">
        <v>597</v>
      </c>
      <c r="H10" s="2"/>
      <c r="I10" s="2"/>
      <c r="J10" s="97"/>
      <c r="K10" s="97"/>
      <c r="L10" s="97"/>
      <c r="M10" s="97"/>
      <c r="N10" s="97"/>
      <c r="O10" s="97"/>
      <c r="P10" s="97"/>
      <c r="Q10" s="1"/>
      <c r="R10" s="1"/>
      <c r="S10" s="1"/>
      <c r="T10" s="1"/>
      <c r="U10" s="1"/>
      <c r="V10" s="2"/>
      <c r="W10" s="2"/>
      <c r="X10" s="2"/>
      <c r="Y10" s="2"/>
      <c r="Z10" s="14"/>
      <c r="AA10" s="14"/>
      <c r="AB10" s="14"/>
      <c r="AC10" s="14"/>
      <c r="AD10" s="19"/>
      <c r="AE10" s="8"/>
    </row>
    <row r="11" spans="1:41" x14ac:dyDescent="0.25">
      <c r="A11" s="2" t="s">
        <v>772</v>
      </c>
      <c r="B11" s="2" t="s">
        <v>772</v>
      </c>
      <c r="C11" s="2">
        <v>468</v>
      </c>
      <c r="D11" s="2">
        <v>359</v>
      </c>
      <c r="E11" t="s">
        <v>1421</v>
      </c>
      <c r="H11" s="2"/>
      <c r="I11" s="2"/>
      <c r="J11" s="97"/>
      <c r="K11" s="97"/>
      <c r="L11" s="97"/>
      <c r="M11" s="97"/>
      <c r="N11" s="97"/>
      <c r="O11" s="97"/>
      <c r="P11" s="97"/>
      <c r="Q11" s="1"/>
      <c r="R11" s="1"/>
      <c r="S11" s="1"/>
      <c r="T11" s="1"/>
      <c r="U11" s="1"/>
      <c r="V11" s="2"/>
      <c r="W11" s="2"/>
      <c r="X11" s="2"/>
      <c r="Y11" s="2"/>
      <c r="Z11" s="14"/>
      <c r="AA11" s="14"/>
      <c r="AB11" s="14"/>
      <c r="AC11" s="14"/>
      <c r="AD11" s="19"/>
      <c r="AE11" s="8"/>
    </row>
    <row r="12" spans="1:41" x14ac:dyDescent="0.25">
      <c r="A12" s="2">
        <v>139</v>
      </c>
      <c r="B12" s="2">
        <v>149</v>
      </c>
      <c r="C12" s="2">
        <v>505</v>
      </c>
      <c r="D12" s="2">
        <v>460</v>
      </c>
      <c r="E12" t="s">
        <v>101</v>
      </c>
      <c r="F12" t="s">
        <v>538</v>
      </c>
      <c r="G12" t="s">
        <v>1270</v>
      </c>
      <c r="H12" s="2">
        <v>167630</v>
      </c>
      <c r="I12" s="2"/>
      <c r="J12" s="54">
        <v>166.1</v>
      </c>
      <c r="K12" s="54">
        <v>149.79</v>
      </c>
      <c r="L12" s="54">
        <v>162.13999999999999</v>
      </c>
      <c r="M12" s="54">
        <v>181.63</v>
      </c>
      <c r="N12" s="54">
        <v>153.66</v>
      </c>
      <c r="O12" s="54">
        <v>154.99</v>
      </c>
      <c r="P12" s="54">
        <v>171.03</v>
      </c>
      <c r="Q12" s="54">
        <v>166.85</v>
      </c>
      <c r="R12" s="54">
        <v>197.36</v>
      </c>
      <c r="S12" s="54">
        <v>224.58</v>
      </c>
      <c r="T12" s="54">
        <v>272.72000000000003</v>
      </c>
      <c r="U12" s="54">
        <v>209.09</v>
      </c>
      <c r="V12" s="54">
        <v>211.6</v>
      </c>
      <c r="AC12" s="1"/>
      <c r="AD12" s="1">
        <v>109.2</v>
      </c>
      <c r="AE12" s="1">
        <v>116.1</v>
      </c>
      <c r="AF12" s="1">
        <v>126.9</v>
      </c>
      <c r="AG12" s="1">
        <v>172.8</v>
      </c>
      <c r="AH12" s="1">
        <v>140.5</v>
      </c>
      <c r="AI12" s="1">
        <v>107.8</v>
      </c>
      <c r="AJ12" s="1">
        <v>114.2</v>
      </c>
      <c r="AK12" s="1"/>
      <c r="AL12" s="1"/>
      <c r="AM12" s="1"/>
      <c r="AN12" s="1"/>
      <c r="AO12" s="1"/>
    </row>
    <row r="13" spans="1:41" x14ac:dyDescent="0.25">
      <c r="A13" s="2">
        <v>248</v>
      </c>
      <c r="B13" s="2">
        <v>333</v>
      </c>
      <c r="C13" s="2">
        <v>560</v>
      </c>
      <c r="D13" s="2">
        <v>910</v>
      </c>
      <c r="E13" t="s">
        <v>230</v>
      </c>
      <c r="H13" s="2"/>
      <c r="I13" s="2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x14ac:dyDescent="0.25">
      <c r="A14" s="2">
        <v>202</v>
      </c>
      <c r="B14" s="2">
        <v>116</v>
      </c>
      <c r="C14" s="2">
        <v>609</v>
      </c>
      <c r="D14" s="2">
        <v>461</v>
      </c>
      <c r="E14" t="s">
        <v>133</v>
      </c>
      <c r="F14" t="s">
        <v>6</v>
      </c>
      <c r="G14" t="s">
        <v>1270</v>
      </c>
      <c r="H14" s="2">
        <v>300</v>
      </c>
      <c r="I14" s="2"/>
      <c r="J14" s="54">
        <v>148.69</v>
      </c>
      <c r="K14" s="54">
        <v>158.51</v>
      </c>
      <c r="L14" s="54">
        <v>153.79</v>
      </c>
      <c r="M14" s="54">
        <v>141.47999999999999</v>
      </c>
      <c r="N14" s="54">
        <v>135.12</v>
      </c>
      <c r="O14" s="54">
        <v>146.35</v>
      </c>
      <c r="P14" s="54">
        <v>149.66</v>
      </c>
      <c r="Q14" s="54">
        <v>148.88</v>
      </c>
      <c r="R14" s="54">
        <v>162.41</v>
      </c>
      <c r="S14" s="54">
        <v>155.28</v>
      </c>
      <c r="T14" s="54">
        <v>168.44</v>
      </c>
      <c r="U14" s="54">
        <v>158.62</v>
      </c>
      <c r="V14" s="54">
        <v>155.25</v>
      </c>
      <c r="AC14" s="1"/>
      <c r="AD14" s="97">
        <v>91.32</v>
      </c>
      <c r="AE14" s="97">
        <v>96.06</v>
      </c>
      <c r="AF14" s="97">
        <v>91.27</v>
      </c>
      <c r="AG14" s="97">
        <v>108.1</v>
      </c>
      <c r="AH14" s="97">
        <v>144.5</v>
      </c>
      <c r="AI14" s="97">
        <v>137.80000000000001</v>
      </c>
      <c r="AJ14" s="97">
        <v>182.1</v>
      </c>
      <c r="AK14" s="1"/>
      <c r="AL14" s="1"/>
      <c r="AM14" s="1"/>
      <c r="AN14" s="1"/>
      <c r="AO14" s="1"/>
    </row>
    <row r="15" spans="1:41" x14ac:dyDescent="0.25">
      <c r="A15" s="2">
        <v>6896</v>
      </c>
      <c r="B15" s="2">
        <v>5999</v>
      </c>
      <c r="C15" s="2">
        <v>640</v>
      </c>
      <c r="D15" s="2">
        <v>409</v>
      </c>
      <c r="E15" t="s">
        <v>576</v>
      </c>
      <c r="H15" s="2"/>
      <c r="I15" s="2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AC15" s="1"/>
      <c r="AD15" s="97"/>
      <c r="AE15" s="97"/>
      <c r="AF15" s="97"/>
      <c r="AG15" s="97"/>
      <c r="AH15" s="97"/>
      <c r="AI15" s="97"/>
      <c r="AJ15" s="97"/>
      <c r="AK15" s="1"/>
      <c r="AL15" s="1"/>
      <c r="AM15" s="1"/>
      <c r="AN15" s="1"/>
      <c r="AO15" s="1"/>
    </row>
    <row r="16" spans="1:41" x14ac:dyDescent="0.25">
      <c r="A16" s="2">
        <v>169</v>
      </c>
      <c r="B16" s="2">
        <v>191</v>
      </c>
      <c r="C16" s="2">
        <v>648</v>
      </c>
      <c r="D16" s="2">
        <v>607</v>
      </c>
      <c r="E16" t="s">
        <v>145</v>
      </c>
      <c r="F16" t="s">
        <v>674</v>
      </c>
      <c r="H16" s="2">
        <v>10490</v>
      </c>
      <c r="I16" s="2"/>
      <c r="J16" s="54">
        <v>112.649511</v>
      </c>
      <c r="K16" s="54">
        <v>109.596</v>
      </c>
      <c r="L16" s="54">
        <v>111.925</v>
      </c>
      <c r="M16" s="54">
        <v>122.821</v>
      </c>
      <c r="N16" s="54">
        <v>99.046999999999997</v>
      </c>
      <c r="O16" s="54">
        <v>93.566000000000003</v>
      </c>
      <c r="P16" s="54">
        <v>108.94</v>
      </c>
      <c r="Q16" s="54">
        <v>113.532</v>
      </c>
      <c r="R16" s="54">
        <v>130.61699999999999</v>
      </c>
      <c r="S16" s="54">
        <v>132.834</v>
      </c>
      <c r="T16" s="54">
        <v>148.345</v>
      </c>
      <c r="U16" s="54">
        <v>128.23099999999999</v>
      </c>
      <c r="V16" s="54">
        <v>137.738</v>
      </c>
      <c r="AC16" s="1"/>
      <c r="AD16" s="97">
        <v>78.7</v>
      </c>
      <c r="AE16" s="97">
        <v>85.54</v>
      </c>
      <c r="AF16" s="97">
        <v>81.14</v>
      </c>
      <c r="AG16" s="97">
        <v>97.19</v>
      </c>
      <c r="AH16" s="97">
        <v>91.33</v>
      </c>
      <c r="AI16" s="97">
        <v>86.22</v>
      </c>
      <c r="AJ16" s="97">
        <v>88.83</v>
      </c>
      <c r="AK16" s="97"/>
      <c r="AL16" s="97"/>
      <c r="AM16" s="97"/>
      <c r="AN16" s="97"/>
      <c r="AO16" s="97"/>
    </row>
    <row r="17" spans="1:41" x14ac:dyDescent="0.25">
      <c r="A17" s="2">
        <v>251</v>
      </c>
      <c r="B17" s="2">
        <v>174</v>
      </c>
      <c r="C17" s="2">
        <v>838</v>
      </c>
      <c r="D17" s="2">
        <v>805</v>
      </c>
      <c r="E17" t="s">
        <v>171</v>
      </c>
      <c r="G17" t="s">
        <v>1236</v>
      </c>
      <c r="H17" s="2"/>
      <c r="I17" s="2"/>
      <c r="J17" s="54">
        <v>100.63800000000001</v>
      </c>
      <c r="K17" s="54">
        <v>118.482</v>
      </c>
      <c r="L17" s="54">
        <v>105.55</v>
      </c>
      <c r="M17" s="54">
        <v>92.981999999999999</v>
      </c>
      <c r="N17" s="54">
        <v>92.355000000000004</v>
      </c>
      <c r="O17" s="54">
        <v>90.665000000000006</v>
      </c>
      <c r="P17" s="54">
        <v>100.512</v>
      </c>
      <c r="Q17" s="54">
        <v>96.25</v>
      </c>
      <c r="R17" s="54">
        <v>122.75</v>
      </c>
      <c r="S17" s="54">
        <v>121.893</v>
      </c>
      <c r="T17" s="54">
        <v>137.47499999999999</v>
      </c>
      <c r="U17" s="54">
        <v>127.738</v>
      </c>
      <c r="V17" s="54">
        <v>135.14599999999999</v>
      </c>
      <c r="AC17" s="1"/>
      <c r="AD17" s="1"/>
      <c r="AE17" s="97">
        <v>67.94</v>
      </c>
      <c r="AF17" s="97">
        <v>78.260000000000005</v>
      </c>
      <c r="AG17" s="97">
        <v>87.85</v>
      </c>
      <c r="AH17" s="97">
        <v>83.65</v>
      </c>
      <c r="AI17" s="97">
        <v>68.05</v>
      </c>
      <c r="AJ17" s="97">
        <v>81.73</v>
      </c>
      <c r="AK17" s="1"/>
      <c r="AL17" s="1"/>
      <c r="AM17" s="1"/>
      <c r="AN17" s="1"/>
      <c r="AO17" s="1"/>
    </row>
    <row r="18" spans="1:41" x14ac:dyDescent="0.25">
      <c r="A18" s="2" t="s">
        <v>772</v>
      </c>
      <c r="B18" s="2" t="s">
        <v>772</v>
      </c>
      <c r="C18" s="2">
        <v>923</v>
      </c>
      <c r="D18" s="2">
        <v>885</v>
      </c>
      <c r="E18" t="s">
        <v>1432</v>
      </c>
      <c r="H18" s="2"/>
      <c r="I18" s="2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AC18" s="1"/>
      <c r="AD18" s="1"/>
      <c r="AE18" s="97"/>
      <c r="AF18" s="97"/>
      <c r="AG18" s="97"/>
      <c r="AH18" s="97"/>
      <c r="AI18" s="97"/>
      <c r="AJ18" s="97"/>
      <c r="AK18" s="1"/>
      <c r="AL18" s="1"/>
      <c r="AM18" s="1"/>
      <c r="AN18" s="1"/>
      <c r="AO18" s="1"/>
    </row>
    <row r="19" spans="1:41" x14ac:dyDescent="0.25">
      <c r="A19" s="2"/>
      <c r="B19" s="2"/>
      <c r="C19" s="2"/>
      <c r="D19" s="2"/>
      <c r="E19" t="s">
        <v>1499</v>
      </c>
      <c r="H19" s="2"/>
      <c r="I19" s="2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AC19" s="1"/>
      <c r="AD19" s="1"/>
      <c r="AE19" s="97"/>
      <c r="AF19" s="97"/>
      <c r="AG19" s="97"/>
      <c r="AH19" s="97"/>
      <c r="AI19" s="97"/>
      <c r="AJ19" s="97"/>
      <c r="AK19" s="1"/>
      <c r="AL19" s="1"/>
      <c r="AM19" s="1"/>
      <c r="AN19" s="1"/>
      <c r="AO19" s="1"/>
    </row>
    <row r="20" spans="1:41" x14ac:dyDescent="0.25">
      <c r="A20" s="2"/>
      <c r="B20" s="2"/>
      <c r="C20" s="2"/>
      <c r="D20" s="2"/>
      <c r="E20" t="s">
        <v>1500</v>
      </c>
      <c r="H20" s="2"/>
      <c r="I20" s="2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AC20" s="1"/>
      <c r="AD20" s="1"/>
      <c r="AE20" s="97"/>
      <c r="AF20" s="97"/>
      <c r="AG20" s="97"/>
      <c r="AH20" s="97"/>
      <c r="AI20" s="97"/>
      <c r="AJ20" s="97"/>
      <c r="AK20" s="1"/>
      <c r="AL20" s="1"/>
      <c r="AM20" s="1"/>
      <c r="AN20" s="1"/>
      <c r="AO20" s="1"/>
    </row>
    <row r="21" spans="1:41" x14ac:dyDescent="0.25">
      <c r="A21" s="2">
        <v>1046</v>
      </c>
      <c r="B21" s="2">
        <v>722</v>
      </c>
      <c r="C21" s="2">
        <v>940</v>
      </c>
      <c r="D21" s="2">
        <v>714</v>
      </c>
      <c r="E21" t="s">
        <v>575</v>
      </c>
      <c r="H21" s="2"/>
      <c r="I21" s="2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AC21" s="1"/>
      <c r="AD21" s="1"/>
      <c r="AE21" s="97"/>
      <c r="AF21" s="97"/>
      <c r="AG21" s="97"/>
      <c r="AH21" s="97"/>
      <c r="AI21" s="97"/>
      <c r="AJ21" s="97"/>
      <c r="AK21" s="1"/>
      <c r="AL21" s="1"/>
      <c r="AM21" s="1"/>
      <c r="AN21" s="1"/>
      <c r="AO21" s="1"/>
    </row>
    <row r="22" spans="1:41" x14ac:dyDescent="0.25">
      <c r="A22" s="2">
        <v>240</v>
      </c>
      <c r="B22" s="2">
        <v>249</v>
      </c>
      <c r="C22" s="2">
        <v>1156</v>
      </c>
      <c r="D22" s="2">
        <v>1261</v>
      </c>
      <c r="E22" t="s">
        <v>601</v>
      </c>
      <c r="G22" t="s">
        <v>1305</v>
      </c>
      <c r="H22" s="2"/>
      <c r="I22" s="2"/>
      <c r="J22" s="15"/>
      <c r="K22" s="15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25">
      <c r="A23" s="2" t="s">
        <v>772</v>
      </c>
      <c r="B23" s="2" t="s">
        <v>772</v>
      </c>
      <c r="C23" s="2">
        <v>1303</v>
      </c>
      <c r="D23" s="2">
        <v>818</v>
      </c>
      <c r="E23" t="s">
        <v>1425</v>
      </c>
      <c r="H23" s="2"/>
      <c r="I23" s="2"/>
      <c r="J23" s="15"/>
      <c r="K23" s="15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25">
      <c r="A24" s="2">
        <v>387</v>
      </c>
      <c r="B24" s="2">
        <v>326</v>
      </c>
      <c r="C24" s="2">
        <v>1364</v>
      </c>
      <c r="D24" s="2">
        <v>1221</v>
      </c>
      <c r="E24" t="s">
        <v>251</v>
      </c>
      <c r="H24" s="2"/>
      <c r="I24" s="2"/>
      <c r="J24" s="15"/>
      <c r="K24" s="15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25">
      <c r="A25" s="2">
        <v>408</v>
      </c>
      <c r="B25" s="2">
        <v>410</v>
      </c>
      <c r="C25" s="2">
        <v>1419</v>
      </c>
      <c r="D25" s="2" t="s">
        <v>772</v>
      </c>
      <c r="E25" t="s">
        <v>586</v>
      </c>
      <c r="F25" t="s">
        <v>623</v>
      </c>
      <c r="H25" s="2"/>
      <c r="I25" s="2"/>
      <c r="J25" s="15"/>
      <c r="K25" s="15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25">
      <c r="A26" s="2">
        <v>305</v>
      </c>
      <c r="B26" s="2">
        <v>309</v>
      </c>
      <c r="C26" s="2">
        <v>1460</v>
      </c>
      <c r="D26" s="2">
        <v>1684</v>
      </c>
      <c r="E26" t="s">
        <v>598</v>
      </c>
      <c r="F26" t="s">
        <v>599</v>
      </c>
      <c r="H26" s="2"/>
      <c r="I26" s="2"/>
      <c r="J26" s="15"/>
      <c r="K26" s="15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25">
      <c r="A27" s="2">
        <v>542</v>
      </c>
      <c r="B27" s="2">
        <v>522</v>
      </c>
      <c r="C27" s="2">
        <v>1508</v>
      </c>
      <c r="D27" s="2">
        <v>1070</v>
      </c>
      <c r="E27" t="s">
        <v>323</v>
      </c>
      <c r="F27" t="s">
        <v>6</v>
      </c>
      <c r="H27" s="2">
        <v>100000</v>
      </c>
      <c r="I27" s="2"/>
      <c r="J27" s="15"/>
      <c r="K27" s="15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25">
      <c r="A28" s="2" t="s">
        <v>772</v>
      </c>
      <c r="B28" s="2" t="s">
        <v>772</v>
      </c>
      <c r="C28" s="2">
        <v>1723</v>
      </c>
      <c r="D28" s="2">
        <v>945</v>
      </c>
      <c r="E28" t="s">
        <v>1185</v>
      </c>
      <c r="H28" s="2"/>
      <c r="I28" s="2"/>
      <c r="J28" s="15"/>
      <c r="K28" s="15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25">
      <c r="A29" s="2">
        <v>375</v>
      </c>
      <c r="B29" s="2">
        <v>876</v>
      </c>
      <c r="C29" s="2">
        <v>1820</v>
      </c>
      <c r="D29" s="2" t="s">
        <v>772</v>
      </c>
      <c r="E29" t="s">
        <v>391</v>
      </c>
      <c r="H29" s="2"/>
      <c r="I29" s="2"/>
      <c r="J29" s="15"/>
      <c r="K29" s="15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25">
      <c r="A30" s="2">
        <v>633</v>
      </c>
      <c r="B30" s="2">
        <v>561</v>
      </c>
      <c r="C30" s="2">
        <v>2487</v>
      </c>
      <c r="D30" s="2" t="s">
        <v>772</v>
      </c>
      <c r="E30" t="s">
        <v>1409</v>
      </c>
      <c r="H30" s="2"/>
      <c r="I30" s="2"/>
      <c r="J30" s="15"/>
      <c r="K30" s="15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25">
      <c r="A31" s="2">
        <v>2232</v>
      </c>
      <c r="B31" s="2" t="s">
        <v>772</v>
      </c>
      <c r="C31" s="2">
        <v>2549</v>
      </c>
      <c r="D31" s="2" t="s">
        <v>772</v>
      </c>
      <c r="E31" t="s">
        <v>1485</v>
      </c>
      <c r="H31" s="2"/>
      <c r="I31" s="2"/>
      <c r="J31" s="15"/>
      <c r="K31" s="15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25">
      <c r="A32" s="2">
        <v>525</v>
      </c>
      <c r="B32" s="2">
        <v>260</v>
      </c>
      <c r="C32" s="2">
        <v>2598</v>
      </c>
      <c r="D32" s="2">
        <v>1607</v>
      </c>
      <c r="E32" t="s">
        <v>228</v>
      </c>
      <c r="F32" t="s">
        <v>674</v>
      </c>
      <c r="G32" t="s">
        <v>1269</v>
      </c>
      <c r="H32" s="2">
        <v>12550</v>
      </c>
      <c r="I32" s="2"/>
      <c r="J32" s="15"/>
      <c r="K32" s="15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30" x14ac:dyDescent="0.25">
      <c r="A33" s="2">
        <v>1075</v>
      </c>
      <c r="B33" s="2">
        <v>1472</v>
      </c>
      <c r="C33" s="2">
        <v>2621</v>
      </c>
      <c r="D33" s="2" t="s">
        <v>772</v>
      </c>
      <c r="E33" t="s">
        <v>569</v>
      </c>
      <c r="H33" s="2"/>
      <c r="I33" s="2"/>
      <c r="J33" s="97"/>
      <c r="K33" s="97">
        <v>19.38</v>
      </c>
      <c r="L33" s="97">
        <v>20.59</v>
      </c>
      <c r="M33" s="97">
        <v>24.26</v>
      </c>
      <c r="N33" s="97">
        <v>22.13</v>
      </c>
      <c r="O33" s="97">
        <v>23.92</v>
      </c>
      <c r="P33" s="97">
        <v>27.58</v>
      </c>
      <c r="Q33" s="1"/>
      <c r="R33" s="1"/>
      <c r="S33" s="1"/>
      <c r="T33" s="1"/>
      <c r="U33" s="1"/>
      <c r="V33" s="1"/>
      <c r="W33" s="2"/>
      <c r="X33" s="1"/>
      <c r="Y33" s="14"/>
      <c r="Z33" s="14"/>
      <c r="AA33" s="14"/>
      <c r="AB33" s="14"/>
      <c r="AC33" s="50"/>
    </row>
    <row r="34" spans="1:30" x14ac:dyDescent="0.25">
      <c r="A34" s="2">
        <v>744</v>
      </c>
      <c r="B34" s="2">
        <v>858</v>
      </c>
      <c r="C34" s="2">
        <v>2645</v>
      </c>
      <c r="D34" s="2" t="s">
        <v>772</v>
      </c>
      <c r="E34" t="s">
        <v>583</v>
      </c>
      <c r="F34" t="s">
        <v>6</v>
      </c>
      <c r="H34" s="2"/>
      <c r="I34" s="2"/>
      <c r="J34" s="97"/>
      <c r="K34" s="97"/>
      <c r="L34" s="97"/>
      <c r="M34" s="97"/>
      <c r="N34" s="97"/>
      <c r="O34" s="97"/>
      <c r="P34" s="97"/>
      <c r="Q34" s="1"/>
      <c r="R34" s="1"/>
      <c r="S34" s="1"/>
      <c r="T34" s="1"/>
      <c r="U34" s="1"/>
      <c r="V34" s="1"/>
      <c r="W34" s="2"/>
      <c r="X34" s="1"/>
      <c r="Y34" s="14"/>
      <c r="Z34" s="14"/>
      <c r="AA34" s="14"/>
      <c r="AB34" s="14"/>
      <c r="AC34" s="50"/>
    </row>
    <row r="35" spans="1:30" x14ac:dyDescent="0.25">
      <c r="A35" s="2">
        <v>3349</v>
      </c>
      <c r="B35" s="2">
        <v>4563</v>
      </c>
      <c r="C35" s="2">
        <v>2851</v>
      </c>
      <c r="D35" s="2">
        <v>3636</v>
      </c>
      <c r="E35" t="s">
        <v>1174</v>
      </c>
      <c r="H35" s="2"/>
      <c r="I35" s="14"/>
      <c r="J35" s="97"/>
      <c r="K35" s="97">
        <v>26.35</v>
      </c>
      <c r="L35" s="97">
        <v>26.71</v>
      </c>
      <c r="M35" s="97">
        <v>27.23</v>
      </c>
      <c r="N35" s="97">
        <v>28.4</v>
      </c>
      <c r="O35" s="97">
        <v>26.46</v>
      </c>
      <c r="P35" s="97">
        <v>28.07</v>
      </c>
      <c r="Q35" s="1"/>
      <c r="R35" s="1"/>
      <c r="S35" s="1"/>
      <c r="T35" s="1"/>
      <c r="U35" s="1"/>
      <c r="V35" s="1"/>
      <c r="W35" s="2"/>
      <c r="X35" s="1"/>
      <c r="Y35" s="14"/>
      <c r="Z35" s="14">
        <v>22.43</v>
      </c>
      <c r="AA35" s="14"/>
      <c r="AB35" s="14"/>
      <c r="AC35" s="50"/>
      <c r="AD35" s="19">
        <v>0.13333333333333333</v>
      </c>
    </row>
    <row r="36" spans="1:30" x14ac:dyDescent="0.25">
      <c r="A36" s="2">
        <v>652</v>
      </c>
      <c r="B36" s="2">
        <v>606</v>
      </c>
      <c r="C36" s="2">
        <v>3403</v>
      </c>
      <c r="D36" s="2" t="s">
        <v>772</v>
      </c>
      <c r="E36" t="s">
        <v>1449</v>
      </c>
      <c r="H36" s="2"/>
      <c r="I36" s="2"/>
      <c r="J36" s="97"/>
      <c r="K36" s="97"/>
      <c r="L36" s="97"/>
      <c r="M36" s="97"/>
      <c r="N36" s="97"/>
      <c r="O36" s="97"/>
      <c r="P36" s="97"/>
      <c r="Q36" s="1"/>
      <c r="R36" s="1"/>
      <c r="S36" s="1"/>
      <c r="T36" s="1"/>
      <c r="U36" s="1"/>
      <c r="V36" s="1"/>
      <c r="W36" s="2"/>
      <c r="X36" s="1"/>
      <c r="Y36" s="14"/>
      <c r="Z36" s="14"/>
      <c r="AA36" s="14"/>
      <c r="AB36" s="14"/>
      <c r="AC36" s="50"/>
    </row>
    <row r="37" spans="1:30" x14ac:dyDescent="0.25">
      <c r="A37" s="2">
        <v>3950</v>
      </c>
      <c r="B37" s="2">
        <v>3637</v>
      </c>
      <c r="C37" s="2">
        <v>3524</v>
      </c>
      <c r="D37" s="2" t="s">
        <v>772</v>
      </c>
      <c r="E37" t="s">
        <v>587</v>
      </c>
      <c r="H37" s="2"/>
      <c r="I37" s="2"/>
      <c r="J37" s="97"/>
      <c r="K37" s="97"/>
      <c r="L37" s="97"/>
      <c r="M37" s="97"/>
      <c r="N37" s="97"/>
      <c r="O37" s="97"/>
      <c r="P37" s="97"/>
      <c r="Q37" s="1"/>
      <c r="R37" s="1"/>
      <c r="S37" s="1"/>
      <c r="T37" s="1"/>
      <c r="U37" s="1"/>
      <c r="V37" s="1"/>
      <c r="W37" s="2"/>
      <c r="X37" s="1"/>
      <c r="Y37" s="14"/>
      <c r="Z37" s="14"/>
      <c r="AA37" s="14"/>
      <c r="AB37" s="14"/>
      <c r="AC37" s="50"/>
    </row>
    <row r="38" spans="1:30" x14ac:dyDescent="0.25">
      <c r="A38" s="2">
        <v>1405</v>
      </c>
      <c r="B38" s="2">
        <v>824</v>
      </c>
      <c r="C38" s="2">
        <v>3661</v>
      </c>
      <c r="D38" s="2" t="s">
        <v>772</v>
      </c>
      <c r="E38" t="s">
        <v>388</v>
      </c>
      <c r="H38" s="2"/>
      <c r="I38" s="2"/>
      <c r="J38" s="97"/>
      <c r="K38" s="97"/>
      <c r="L38" s="97"/>
      <c r="M38" s="97"/>
      <c r="N38" s="97"/>
      <c r="O38" s="97"/>
      <c r="P38" s="97"/>
      <c r="Q38" s="1"/>
      <c r="R38" s="1"/>
      <c r="S38" s="1"/>
      <c r="T38" s="1"/>
      <c r="U38" s="1"/>
      <c r="V38" s="1"/>
      <c r="W38" s="2"/>
      <c r="X38" s="1"/>
      <c r="Y38" s="14"/>
      <c r="Z38" s="14"/>
      <c r="AA38" s="14"/>
      <c r="AB38" s="14"/>
      <c r="AC38" s="50"/>
    </row>
    <row r="39" spans="1:30" x14ac:dyDescent="0.25">
      <c r="A39" s="2">
        <v>986</v>
      </c>
      <c r="B39" s="2">
        <v>572</v>
      </c>
      <c r="C39" s="2">
        <v>3907</v>
      </c>
      <c r="D39" s="2" t="s">
        <v>772</v>
      </c>
      <c r="E39" t="s">
        <v>1414</v>
      </c>
      <c r="H39" s="2"/>
      <c r="I39" s="2"/>
      <c r="J39" s="97"/>
      <c r="K39" s="97"/>
      <c r="L39" s="97"/>
      <c r="M39" s="97"/>
      <c r="N39" s="97"/>
      <c r="O39" s="97"/>
      <c r="P39" s="97"/>
      <c r="Q39" s="1"/>
      <c r="R39" s="1"/>
      <c r="S39" s="1"/>
      <c r="T39" s="1"/>
      <c r="U39" s="1"/>
      <c r="V39" s="1"/>
      <c r="W39" s="2"/>
      <c r="X39" s="1"/>
      <c r="Y39" s="14"/>
      <c r="Z39" s="14"/>
      <c r="AA39" s="14"/>
      <c r="AB39" s="14"/>
      <c r="AC39" s="50"/>
    </row>
    <row r="40" spans="1:30" x14ac:dyDescent="0.25">
      <c r="A40" s="2">
        <v>2194</v>
      </c>
      <c r="B40" s="2">
        <v>798</v>
      </c>
      <c r="C40" s="2">
        <v>3908</v>
      </c>
      <c r="D40" s="2" t="s">
        <v>772</v>
      </c>
      <c r="E40" t="s">
        <v>1202</v>
      </c>
      <c r="H40" s="2"/>
      <c r="I40" s="2"/>
      <c r="J40" s="97"/>
      <c r="K40" s="97"/>
      <c r="L40" s="97"/>
      <c r="M40" s="97"/>
      <c r="N40" s="97"/>
      <c r="O40" s="97"/>
      <c r="P40" s="97"/>
      <c r="Q40" s="1"/>
      <c r="R40" s="1"/>
      <c r="S40" s="1"/>
      <c r="T40" s="1"/>
      <c r="U40" s="1"/>
      <c r="V40" s="1"/>
      <c r="W40" s="2"/>
      <c r="X40" s="1"/>
      <c r="Y40" s="14"/>
      <c r="Z40" s="14"/>
      <c r="AA40" s="14"/>
      <c r="AB40" s="14"/>
      <c r="AC40" s="50"/>
    </row>
    <row r="41" spans="1:30" x14ac:dyDescent="0.25">
      <c r="A41" s="2">
        <v>962</v>
      </c>
      <c r="B41" s="2">
        <v>640</v>
      </c>
      <c r="C41" s="2">
        <v>4029</v>
      </c>
      <c r="D41" s="2" t="s">
        <v>772</v>
      </c>
      <c r="E41" t="s">
        <v>506</v>
      </c>
      <c r="F41" t="s">
        <v>6</v>
      </c>
      <c r="H41" s="2"/>
      <c r="I41" s="2"/>
      <c r="J41" s="97"/>
      <c r="K41" s="97"/>
      <c r="L41" s="97"/>
      <c r="M41" s="97"/>
      <c r="N41" s="97"/>
      <c r="O41" s="97"/>
      <c r="P41" s="97"/>
      <c r="Q41" s="1"/>
      <c r="R41" s="1"/>
      <c r="S41" s="1"/>
      <c r="T41" s="1"/>
      <c r="U41" s="1"/>
      <c r="V41" s="1"/>
      <c r="W41" s="2"/>
      <c r="X41" s="1"/>
      <c r="Y41" s="14"/>
      <c r="Z41" s="14"/>
      <c r="AA41" s="14"/>
      <c r="AB41" s="14"/>
      <c r="AC41" s="50"/>
    </row>
    <row r="42" spans="1:30" x14ac:dyDescent="0.25">
      <c r="A42" s="2">
        <v>1537</v>
      </c>
      <c r="B42" s="2">
        <v>2466</v>
      </c>
      <c r="C42" s="2">
        <v>4157</v>
      </c>
      <c r="D42" s="2" t="s">
        <v>772</v>
      </c>
      <c r="E42" t="s">
        <v>757</v>
      </c>
      <c r="H42" s="2"/>
      <c r="I42" s="2"/>
      <c r="J42" s="97"/>
      <c r="K42" s="97">
        <v>14.3</v>
      </c>
      <c r="L42" s="97">
        <v>15.37</v>
      </c>
      <c r="M42" s="97">
        <v>14.34</v>
      </c>
      <c r="N42" s="97">
        <v>15.75</v>
      </c>
      <c r="O42" s="97">
        <v>15.96</v>
      </c>
      <c r="P42" s="97">
        <v>16.489999999999998</v>
      </c>
      <c r="Q42" s="1"/>
      <c r="R42" s="1"/>
      <c r="S42" s="1"/>
      <c r="T42" s="1"/>
      <c r="U42" s="1"/>
      <c r="V42" s="1"/>
      <c r="W42" s="2"/>
      <c r="X42" s="1"/>
      <c r="Y42" s="14"/>
      <c r="Z42" s="14"/>
      <c r="AA42" s="14"/>
      <c r="AB42" s="14"/>
      <c r="AC42" s="50"/>
      <c r="AD42" s="19">
        <v>0.125</v>
      </c>
    </row>
    <row r="43" spans="1:30" x14ac:dyDescent="0.25">
      <c r="A43" s="2">
        <v>5999</v>
      </c>
      <c r="B43" s="2">
        <v>5998</v>
      </c>
      <c r="C43" s="2">
        <v>4497</v>
      </c>
      <c r="D43" s="2">
        <v>7110</v>
      </c>
      <c r="E43" t="s">
        <v>1186</v>
      </c>
      <c r="H43" s="2"/>
      <c r="I43" s="15"/>
      <c r="J43" s="97"/>
      <c r="K43" s="97">
        <v>11.12</v>
      </c>
      <c r="L43" s="97">
        <v>4.8369999999999997</v>
      </c>
      <c r="M43" s="97">
        <v>3.0230000000000001</v>
      </c>
      <c r="N43" s="97">
        <v>3.21</v>
      </c>
      <c r="O43" s="97">
        <v>3.6960000000000002</v>
      </c>
      <c r="P43" s="97">
        <v>9.6639999999999997</v>
      </c>
      <c r="Q43" s="1"/>
      <c r="R43" s="1"/>
      <c r="S43" s="1"/>
      <c r="T43" s="1"/>
      <c r="U43" s="1"/>
      <c r="V43" s="1"/>
      <c r="W43" s="2"/>
      <c r="X43" s="1"/>
      <c r="Y43" s="14"/>
      <c r="Z43" s="14">
        <v>6.74</v>
      </c>
      <c r="AA43" s="14"/>
      <c r="AB43" s="14"/>
      <c r="AC43" s="50"/>
      <c r="AD43" s="19">
        <v>0.3430555555555555</v>
      </c>
    </row>
    <row r="44" spans="1:30" x14ac:dyDescent="0.25">
      <c r="A44" s="2">
        <v>1383</v>
      </c>
      <c r="B44" s="2">
        <v>1488</v>
      </c>
      <c r="C44" s="2">
        <v>4822</v>
      </c>
      <c r="D44" s="2">
        <v>5067</v>
      </c>
      <c r="E44" t="s">
        <v>595</v>
      </c>
      <c r="H44" s="2"/>
      <c r="I44" s="2"/>
      <c r="J44" s="97">
        <v>13</v>
      </c>
      <c r="K44" s="97">
        <v>14.36</v>
      </c>
      <c r="L44" s="97">
        <v>14.49</v>
      </c>
      <c r="M44" s="97">
        <v>13.46</v>
      </c>
      <c r="N44" s="97">
        <v>14.63</v>
      </c>
      <c r="O44" s="97">
        <v>14.96</v>
      </c>
      <c r="P44" s="97">
        <v>16.45</v>
      </c>
      <c r="Q44" s="1"/>
      <c r="R44" s="1"/>
      <c r="S44" s="1"/>
      <c r="T44" s="1"/>
      <c r="U44" s="1"/>
      <c r="V44" s="1"/>
      <c r="W44" s="2"/>
      <c r="X44" s="1"/>
      <c r="Y44" s="14"/>
      <c r="Z44" s="14"/>
      <c r="AA44" s="14"/>
      <c r="AB44" s="14"/>
      <c r="AC44" s="50"/>
    </row>
    <row r="45" spans="1:30" x14ac:dyDescent="0.25">
      <c r="A45" s="2">
        <v>1367</v>
      </c>
      <c r="B45" s="2" t="s">
        <v>772</v>
      </c>
      <c r="C45" s="2">
        <v>5071</v>
      </c>
      <c r="D45" s="2" t="s">
        <v>772</v>
      </c>
      <c r="E45" t="s">
        <v>1471</v>
      </c>
      <c r="H45" s="2"/>
      <c r="I45" s="2"/>
      <c r="J45" s="97"/>
      <c r="K45" s="97"/>
      <c r="L45" s="97"/>
      <c r="M45" s="97"/>
      <c r="N45" s="97"/>
      <c r="O45" s="97"/>
      <c r="P45" s="97"/>
      <c r="Q45" s="1"/>
      <c r="R45" s="1"/>
      <c r="S45" s="1"/>
      <c r="T45" s="1"/>
      <c r="U45" s="1"/>
      <c r="V45" s="1"/>
      <c r="W45" s="2"/>
      <c r="X45" s="1"/>
      <c r="Y45" s="14"/>
      <c r="Z45" s="14"/>
      <c r="AA45" s="14"/>
      <c r="AB45" s="14"/>
      <c r="AC45" s="50"/>
    </row>
    <row r="46" spans="1:30" x14ac:dyDescent="0.25">
      <c r="A46" s="2">
        <v>5592</v>
      </c>
      <c r="B46" s="2">
        <v>7668</v>
      </c>
      <c r="C46" s="2">
        <v>5250</v>
      </c>
      <c r="D46" s="2">
        <v>7121</v>
      </c>
      <c r="E46" t="s">
        <v>760</v>
      </c>
      <c r="H46" s="2"/>
      <c r="I46" s="2"/>
      <c r="J46" s="97"/>
      <c r="K46" s="97"/>
      <c r="L46" s="97"/>
      <c r="M46" s="97"/>
      <c r="N46" s="97"/>
      <c r="O46" s="97"/>
      <c r="P46" s="97"/>
      <c r="Q46" s="1"/>
      <c r="R46" s="1"/>
      <c r="S46" s="1"/>
      <c r="T46" s="1"/>
      <c r="U46" s="1"/>
      <c r="V46" s="1"/>
      <c r="W46" s="2"/>
      <c r="X46" s="1"/>
      <c r="Y46" s="14"/>
      <c r="Z46" s="14"/>
      <c r="AA46" s="14"/>
      <c r="AB46" s="14"/>
      <c r="AC46" s="50"/>
    </row>
    <row r="47" spans="1:30" x14ac:dyDescent="0.25">
      <c r="A47" s="2">
        <v>2445</v>
      </c>
      <c r="B47" s="2">
        <v>1963</v>
      </c>
      <c r="C47" s="2">
        <v>6853</v>
      </c>
      <c r="D47" s="2">
        <v>6354</v>
      </c>
      <c r="E47" t="s">
        <v>596</v>
      </c>
      <c r="H47" s="2"/>
      <c r="I47" s="2"/>
      <c r="J47" s="97"/>
      <c r="K47" s="97"/>
      <c r="L47" s="97"/>
      <c r="M47" s="97"/>
      <c r="N47" s="97"/>
      <c r="O47" s="97"/>
      <c r="P47" s="97"/>
      <c r="Q47" s="1"/>
      <c r="R47" s="1"/>
      <c r="S47" s="1"/>
      <c r="T47" s="1"/>
      <c r="U47" s="1"/>
      <c r="V47" s="1"/>
      <c r="W47" s="2"/>
      <c r="X47" s="1"/>
      <c r="Y47" s="14"/>
      <c r="Z47" s="14"/>
      <c r="AA47" s="14"/>
      <c r="AB47" s="14"/>
      <c r="AC47" s="50"/>
    </row>
    <row r="48" spans="1:30" x14ac:dyDescent="0.25">
      <c r="A48" s="2">
        <v>2941</v>
      </c>
      <c r="B48" s="2">
        <v>2349</v>
      </c>
      <c r="C48" s="2">
        <v>8394</v>
      </c>
      <c r="D48" s="2" t="s">
        <v>772</v>
      </c>
      <c r="E48" t="s">
        <v>723</v>
      </c>
      <c r="H48" s="2"/>
      <c r="I48" s="2"/>
      <c r="J48" s="97"/>
      <c r="K48" s="97"/>
      <c r="L48" s="97"/>
      <c r="M48" s="97"/>
      <c r="N48" s="97"/>
      <c r="O48" s="97"/>
      <c r="P48" s="97"/>
      <c r="Q48" s="1"/>
      <c r="R48" s="1"/>
      <c r="S48" s="1"/>
      <c r="T48" s="1"/>
      <c r="U48" s="1"/>
      <c r="V48" s="1"/>
      <c r="W48" s="2"/>
      <c r="X48" s="1"/>
      <c r="Y48" s="14"/>
      <c r="Z48" s="14"/>
      <c r="AA48" s="14"/>
      <c r="AB48" s="14"/>
      <c r="AC48" s="50"/>
    </row>
    <row r="49" spans="1:30" x14ac:dyDescent="0.25">
      <c r="A49" s="2">
        <v>6159</v>
      </c>
      <c r="B49" s="2">
        <v>5080</v>
      </c>
      <c r="C49" s="2">
        <v>10355</v>
      </c>
      <c r="D49" s="2">
        <v>3988</v>
      </c>
      <c r="E49" t="s">
        <v>602</v>
      </c>
      <c r="H49" s="2"/>
      <c r="I49" s="14"/>
      <c r="J49" s="97"/>
      <c r="K49" s="97">
        <v>4.5114999999999998</v>
      </c>
      <c r="L49" s="97">
        <v>4.57</v>
      </c>
      <c r="M49" s="97">
        <v>4.3940000000000001</v>
      </c>
      <c r="N49" s="97">
        <v>4.7329999999999997</v>
      </c>
      <c r="O49" s="97">
        <v>5.5010000000000003</v>
      </c>
      <c r="P49" s="97">
        <v>7.6440000000000001</v>
      </c>
      <c r="Q49" s="1"/>
      <c r="R49" s="1"/>
      <c r="S49" s="1"/>
      <c r="T49" s="1"/>
      <c r="U49" s="1"/>
      <c r="V49" s="1"/>
      <c r="W49" s="2"/>
      <c r="X49" s="1"/>
      <c r="Y49" s="14"/>
      <c r="Z49" s="14">
        <v>12.54</v>
      </c>
      <c r="AA49" s="14"/>
      <c r="AB49" s="14"/>
      <c r="AC49" s="50"/>
      <c r="AD49" s="19">
        <v>0.27916666666666667</v>
      </c>
    </row>
    <row r="50" spans="1:30" x14ac:dyDescent="0.25">
      <c r="A50" s="2">
        <v>3456</v>
      </c>
      <c r="B50" s="2">
        <v>2912</v>
      </c>
      <c r="C50" s="2">
        <v>11011</v>
      </c>
      <c r="D50" s="2" t="s">
        <v>772</v>
      </c>
      <c r="E50" t="s">
        <v>612</v>
      </c>
      <c r="H50" s="2"/>
      <c r="I50" s="2"/>
      <c r="J50" s="97"/>
      <c r="K50" s="97">
        <v>5.0030000000000001</v>
      </c>
      <c r="L50" s="97">
        <v>5.5129999999999999</v>
      </c>
      <c r="M50" s="97">
        <v>5.7679999999999998</v>
      </c>
      <c r="N50" s="97">
        <v>6.2919999999999998</v>
      </c>
      <c r="O50" s="97">
        <v>6.3040000000000003</v>
      </c>
      <c r="P50" s="97">
        <v>6.2489999999999997</v>
      </c>
      <c r="Q50" s="1"/>
      <c r="R50" s="1"/>
      <c r="S50" s="1"/>
      <c r="T50" s="1"/>
      <c r="U50" s="1"/>
      <c r="V50" s="1"/>
      <c r="W50" s="2"/>
      <c r="X50" s="1"/>
      <c r="Y50" s="14"/>
      <c r="Z50" s="14"/>
      <c r="AA50" s="14"/>
      <c r="AB50" s="14"/>
      <c r="AC50" s="50"/>
    </row>
    <row r="51" spans="1:30" x14ac:dyDescent="0.25">
      <c r="A51" s="2">
        <v>9532</v>
      </c>
      <c r="B51" s="2" t="s">
        <v>772</v>
      </c>
      <c r="C51" s="2">
        <v>13126</v>
      </c>
      <c r="D51" s="2" t="s">
        <v>772</v>
      </c>
      <c r="E51" t="s">
        <v>1201</v>
      </c>
      <c r="H51" s="2"/>
      <c r="I51" s="2"/>
      <c r="J51" s="97"/>
      <c r="K51" s="97"/>
      <c r="L51" s="97"/>
      <c r="M51" s="97"/>
      <c r="N51" s="97"/>
      <c r="O51" s="97"/>
      <c r="P51" s="97"/>
      <c r="Q51" s="1"/>
      <c r="R51" s="1"/>
      <c r="S51" s="1"/>
      <c r="T51" s="1"/>
      <c r="U51" s="1"/>
      <c r="V51" s="1"/>
      <c r="W51" s="2"/>
      <c r="X51" s="1"/>
      <c r="Y51" s="14"/>
      <c r="Z51" s="14"/>
      <c r="AA51" s="14"/>
      <c r="AB51" s="14"/>
      <c r="AC51" s="50"/>
    </row>
    <row r="52" spans="1:30" x14ac:dyDescent="0.25">
      <c r="A52" s="2">
        <v>7701</v>
      </c>
      <c r="B52" s="2">
        <v>4191</v>
      </c>
      <c r="C52" s="2">
        <v>13524</v>
      </c>
      <c r="D52" s="2">
        <v>22404</v>
      </c>
      <c r="E52" t="s">
        <v>1199</v>
      </c>
      <c r="H52" s="2"/>
      <c r="I52" s="14"/>
      <c r="J52" s="97"/>
      <c r="K52" s="97">
        <v>5.6749999999999998</v>
      </c>
      <c r="L52" s="97">
        <v>5.7779999999999996</v>
      </c>
      <c r="M52" s="97">
        <v>5.8289999999999997</v>
      </c>
      <c r="N52" s="97">
        <v>7.5730000000000004</v>
      </c>
      <c r="O52" s="97">
        <v>7.8609999999999998</v>
      </c>
      <c r="P52" s="97">
        <v>11.34</v>
      </c>
      <c r="Q52" s="1"/>
      <c r="R52" s="1"/>
      <c r="S52" s="1"/>
      <c r="T52" s="1"/>
      <c r="U52" s="1"/>
      <c r="V52" s="1"/>
      <c r="W52" s="2"/>
      <c r="X52" s="1"/>
      <c r="Y52" s="14"/>
      <c r="Z52" s="14">
        <v>2.6480000000000001</v>
      </c>
      <c r="AA52" s="14"/>
      <c r="AB52" s="14"/>
      <c r="AC52" s="50"/>
      <c r="AD52" s="21">
        <v>0.31736111111111115</v>
      </c>
    </row>
    <row r="53" spans="1:30" x14ac:dyDescent="0.25">
      <c r="A53" s="2">
        <v>4220</v>
      </c>
      <c r="B53" s="2">
        <v>2015</v>
      </c>
      <c r="C53" s="2">
        <v>14821</v>
      </c>
      <c r="D53" s="2" t="s">
        <v>772</v>
      </c>
      <c r="E53" t="s">
        <v>584</v>
      </c>
      <c r="H53" s="2"/>
      <c r="I53" s="15"/>
      <c r="J53" s="97"/>
      <c r="K53" s="97"/>
      <c r="L53" s="97"/>
      <c r="M53" s="97"/>
      <c r="N53" s="97"/>
      <c r="O53" s="97"/>
      <c r="P53" s="97"/>
      <c r="Q53" s="1"/>
      <c r="R53" s="1"/>
      <c r="S53" s="1"/>
      <c r="T53" s="1"/>
      <c r="U53" s="1"/>
      <c r="V53" s="1"/>
      <c r="W53" s="2"/>
      <c r="X53" s="1"/>
      <c r="Y53" s="14"/>
      <c r="Z53" s="14"/>
      <c r="AA53" s="14"/>
      <c r="AB53" s="14"/>
      <c r="AC53" s="50"/>
      <c r="AD53" s="19"/>
    </row>
    <row r="54" spans="1:30" x14ac:dyDescent="0.25">
      <c r="A54" s="2">
        <v>3568</v>
      </c>
      <c r="B54" s="2">
        <v>4069</v>
      </c>
      <c r="C54" s="2">
        <v>14857</v>
      </c>
      <c r="D54" s="2">
        <v>17258</v>
      </c>
      <c r="E54" t="s">
        <v>1470</v>
      </c>
      <c r="H54" s="2"/>
      <c r="I54" s="14"/>
      <c r="J54" s="97"/>
      <c r="K54" s="97"/>
      <c r="L54" s="97"/>
      <c r="M54" s="97"/>
      <c r="N54" s="97"/>
      <c r="O54" s="97"/>
      <c r="P54" s="97"/>
      <c r="Q54" s="1"/>
      <c r="R54" s="1"/>
      <c r="S54" s="1"/>
      <c r="T54" s="1"/>
      <c r="U54" s="1"/>
      <c r="V54" s="1"/>
      <c r="W54" s="2"/>
      <c r="X54" s="1"/>
      <c r="Y54" s="14"/>
      <c r="Z54" s="14"/>
      <c r="AA54" s="14"/>
      <c r="AB54" s="14"/>
      <c r="AC54" s="50"/>
      <c r="AD54" s="21"/>
    </row>
    <row r="55" spans="1:30" x14ac:dyDescent="0.25">
      <c r="A55" s="2">
        <v>7431</v>
      </c>
      <c r="B55" s="2" t="s">
        <v>772</v>
      </c>
      <c r="C55" s="2">
        <v>15493</v>
      </c>
      <c r="D55" s="2" t="s">
        <v>772</v>
      </c>
      <c r="E55" t="s">
        <v>1487</v>
      </c>
      <c r="H55" s="2"/>
      <c r="I55" s="14"/>
      <c r="J55" s="97"/>
      <c r="K55" s="97"/>
      <c r="L55" s="97"/>
      <c r="M55" s="97"/>
      <c r="N55" s="97"/>
      <c r="O55" s="97"/>
      <c r="P55" s="97"/>
      <c r="Q55" s="1"/>
      <c r="R55" s="1"/>
      <c r="S55" s="1"/>
      <c r="T55" s="1"/>
      <c r="U55" s="1"/>
      <c r="V55" s="1"/>
      <c r="W55" s="2"/>
      <c r="X55" s="1"/>
      <c r="Y55" s="14"/>
      <c r="Z55" s="14"/>
      <c r="AA55" s="14"/>
      <c r="AB55" s="14"/>
      <c r="AC55" s="50"/>
      <c r="AD55" s="21"/>
    </row>
    <row r="56" spans="1:30" x14ac:dyDescent="0.25">
      <c r="A56" s="2">
        <v>8800</v>
      </c>
      <c r="B56" s="2">
        <v>5323</v>
      </c>
      <c r="C56" s="2">
        <v>21527</v>
      </c>
      <c r="D56" s="2">
        <v>12542</v>
      </c>
      <c r="E56" t="s">
        <v>585</v>
      </c>
      <c r="H56" s="2"/>
      <c r="I56" s="2"/>
      <c r="J56" s="97"/>
      <c r="K56" s="97">
        <v>3.7480000000000002</v>
      </c>
      <c r="L56" s="97">
        <v>4.327</v>
      </c>
      <c r="M56" s="97">
        <v>4.2290000000000001</v>
      </c>
      <c r="N56" s="97">
        <v>4.9530000000000003</v>
      </c>
      <c r="O56" s="97">
        <v>4.3929999999999998</v>
      </c>
      <c r="P56" s="97">
        <v>4.9009999999999998</v>
      </c>
      <c r="Q56" s="1"/>
      <c r="R56" s="1"/>
      <c r="S56" s="1"/>
      <c r="T56" s="1"/>
      <c r="U56" s="1"/>
      <c r="V56" s="1"/>
      <c r="W56" s="2"/>
      <c r="X56" s="1"/>
      <c r="Y56" s="14"/>
      <c r="Z56" s="14">
        <v>7.12</v>
      </c>
      <c r="AA56" s="14"/>
      <c r="AB56" s="14"/>
      <c r="AC56" s="50"/>
      <c r="AD56" s="19">
        <v>5.8333333333333327E-2</v>
      </c>
    </row>
    <row r="57" spans="1:30" x14ac:dyDescent="0.25">
      <c r="A57" s="2">
        <v>10097</v>
      </c>
      <c r="B57" s="2">
        <v>8940</v>
      </c>
      <c r="C57" s="2">
        <v>24147</v>
      </c>
      <c r="D57" s="2">
        <v>19229</v>
      </c>
      <c r="E57" t="s">
        <v>761</v>
      </c>
      <c r="H57" s="2"/>
      <c r="I57" s="15"/>
      <c r="J57" s="97"/>
      <c r="K57" s="97">
        <v>2.3980000000000001</v>
      </c>
      <c r="L57" s="97">
        <v>2.903</v>
      </c>
      <c r="M57" s="97">
        <v>3.71</v>
      </c>
      <c r="N57" s="97">
        <v>3.2120000000000002</v>
      </c>
      <c r="O57" s="97">
        <v>2.7549999999999999</v>
      </c>
      <c r="P57" s="97">
        <v>3.1230000000000002</v>
      </c>
      <c r="Q57" s="1"/>
      <c r="R57" s="1"/>
      <c r="S57" s="1"/>
      <c r="T57" s="1"/>
      <c r="U57" s="1"/>
      <c r="V57" s="1"/>
      <c r="W57" s="2"/>
      <c r="X57" s="1"/>
      <c r="Y57" s="14"/>
      <c r="Z57" s="14">
        <v>3.51</v>
      </c>
      <c r="AA57" s="14"/>
      <c r="AB57" s="14"/>
      <c r="AC57" s="50"/>
      <c r="AD57" s="19">
        <v>8.3333333333333329E-2</v>
      </c>
    </row>
    <row r="58" spans="1:30" x14ac:dyDescent="0.25">
      <c r="A58" s="2">
        <v>11050</v>
      </c>
      <c r="B58" s="2" t="s">
        <v>772</v>
      </c>
      <c r="C58" s="2">
        <v>26035</v>
      </c>
      <c r="D58" s="2" t="s">
        <v>772</v>
      </c>
      <c r="E58" t="s">
        <v>1156</v>
      </c>
      <c r="H58" s="2"/>
      <c r="I58" s="15"/>
      <c r="J58" s="97"/>
      <c r="K58" s="97">
        <v>2.1760000000000002</v>
      </c>
      <c r="L58" s="97">
        <v>2.548</v>
      </c>
      <c r="M58" s="97">
        <v>2.5619999999999998</v>
      </c>
      <c r="N58" s="97">
        <v>2.37</v>
      </c>
      <c r="O58" s="97">
        <v>2.2440000000000002</v>
      </c>
      <c r="P58" s="97">
        <v>2.6520000000000001</v>
      </c>
      <c r="Q58" s="1"/>
      <c r="R58" s="1"/>
      <c r="S58" s="1"/>
      <c r="T58" s="1"/>
      <c r="U58" s="1"/>
      <c r="V58" s="1"/>
      <c r="W58" s="2"/>
      <c r="X58" s="1"/>
      <c r="Y58" s="14"/>
      <c r="Z58" s="14"/>
      <c r="AA58" s="14"/>
      <c r="AB58" s="14"/>
      <c r="AC58" s="50"/>
      <c r="AD58" s="19"/>
    </row>
    <row r="59" spans="1:30" x14ac:dyDescent="0.25">
      <c r="A59" s="2">
        <v>9110</v>
      </c>
      <c r="B59" s="2" t="s">
        <v>772</v>
      </c>
      <c r="C59" s="2">
        <v>29979</v>
      </c>
      <c r="D59" s="2" t="s">
        <v>772</v>
      </c>
      <c r="E59" t="s">
        <v>1486</v>
      </c>
      <c r="H59" s="2"/>
      <c r="I59" s="15"/>
      <c r="J59" s="97"/>
      <c r="K59" s="97">
        <v>1.6319999999999999</v>
      </c>
      <c r="L59" s="97">
        <v>2.2549999999999999</v>
      </c>
      <c r="M59" s="97">
        <v>2.3479999999999999</v>
      </c>
      <c r="N59" s="97">
        <v>2.7480000000000002</v>
      </c>
      <c r="O59" s="97">
        <v>3.2970000000000002</v>
      </c>
      <c r="P59" s="97">
        <v>3.4660000000000002</v>
      </c>
      <c r="Q59" s="1"/>
      <c r="R59" s="1"/>
      <c r="S59" s="1"/>
      <c r="T59" s="1"/>
      <c r="U59" s="1"/>
      <c r="V59" s="1"/>
      <c r="W59" s="2"/>
      <c r="X59" s="1"/>
      <c r="Y59" s="14"/>
      <c r="Z59" s="14"/>
      <c r="AA59" s="14"/>
      <c r="AB59" s="14"/>
      <c r="AC59" s="50"/>
      <c r="AD59" s="19"/>
    </row>
    <row r="60" spans="1:30" x14ac:dyDescent="0.25">
      <c r="A60" s="2">
        <v>7473</v>
      </c>
      <c r="B60" s="2">
        <v>8366</v>
      </c>
      <c r="C60" s="2">
        <v>29988</v>
      </c>
      <c r="D60" s="2">
        <v>35031</v>
      </c>
      <c r="E60" t="s">
        <v>577</v>
      </c>
      <c r="H60" s="2"/>
      <c r="I60" s="14"/>
      <c r="J60" s="97"/>
      <c r="K60" s="97"/>
      <c r="L60" s="97"/>
      <c r="M60" s="97"/>
      <c r="N60" s="97"/>
      <c r="O60" s="97"/>
      <c r="P60" s="97"/>
      <c r="Q60" s="1"/>
      <c r="R60" s="1"/>
      <c r="S60" s="1"/>
      <c r="T60" s="1"/>
      <c r="U60" s="1"/>
      <c r="V60" s="1"/>
      <c r="W60" s="2"/>
      <c r="X60" s="1"/>
      <c r="Y60" s="14"/>
      <c r="Z60" s="14"/>
      <c r="AA60" s="14"/>
      <c r="AB60" s="14"/>
      <c r="AC60" s="50"/>
      <c r="AD60" s="21"/>
    </row>
    <row r="61" spans="1:30" x14ac:dyDescent="0.25">
      <c r="A61" s="2">
        <v>26136</v>
      </c>
      <c r="B61" s="2" t="s">
        <v>772</v>
      </c>
      <c r="C61" s="2">
        <v>36669</v>
      </c>
      <c r="D61" s="2" t="s">
        <v>772</v>
      </c>
      <c r="E61" t="s">
        <v>1488</v>
      </c>
      <c r="H61" s="2"/>
      <c r="I61" s="15"/>
      <c r="J61" s="97"/>
      <c r="K61" s="97"/>
      <c r="L61" s="97"/>
      <c r="M61" s="97"/>
      <c r="N61" s="97"/>
      <c r="O61" s="97"/>
      <c r="P61" s="97"/>
      <c r="Q61" s="1"/>
      <c r="R61" s="1"/>
      <c r="S61" s="1"/>
      <c r="T61" s="1"/>
      <c r="U61" s="1"/>
      <c r="V61" s="1"/>
      <c r="W61" s="2"/>
      <c r="X61" s="1"/>
      <c r="Y61" s="14"/>
      <c r="Z61" s="14"/>
      <c r="AA61" s="14"/>
      <c r="AB61" s="14"/>
      <c r="AC61" s="50"/>
      <c r="AD61" s="19"/>
    </row>
    <row r="62" spans="1:30" x14ac:dyDescent="0.25">
      <c r="A62" s="2">
        <v>13286</v>
      </c>
      <c r="B62" s="2">
        <v>13113</v>
      </c>
      <c r="C62" s="2">
        <v>42466</v>
      </c>
      <c r="D62" s="2">
        <v>31790</v>
      </c>
      <c r="E62" t="s">
        <v>1000</v>
      </c>
      <c r="H62" s="2"/>
      <c r="I62" s="15"/>
      <c r="J62" s="97"/>
      <c r="K62" s="14">
        <v>1.0309999999999999</v>
      </c>
      <c r="L62" s="14">
        <v>1.236</v>
      </c>
      <c r="M62" s="14">
        <v>1.633</v>
      </c>
      <c r="N62" s="14">
        <v>1.5329999999999999</v>
      </c>
      <c r="O62" s="14">
        <v>1.4790000000000001</v>
      </c>
      <c r="P62" s="14">
        <v>1.5669999999999999</v>
      </c>
      <c r="Q62" s="1"/>
      <c r="R62" s="1"/>
      <c r="S62" s="1"/>
      <c r="T62" s="1"/>
      <c r="U62" s="1"/>
      <c r="V62" s="1"/>
      <c r="W62" s="2"/>
      <c r="X62" s="1"/>
      <c r="Y62" s="14"/>
      <c r="Z62" s="14">
        <v>1.8819999999999999</v>
      </c>
      <c r="AA62" s="14"/>
      <c r="AB62" s="14"/>
      <c r="AC62" s="50"/>
      <c r="AD62" s="19">
        <v>6.458333333333334E-2</v>
      </c>
    </row>
    <row r="63" spans="1:30" x14ac:dyDescent="0.25">
      <c r="A63" s="2">
        <v>22367</v>
      </c>
      <c r="B63" s="2" t="s">
        <v>772</v>
      </c>
      <c r="C63" s="2">
        <v>43078</v>
      </c>
      <c r="D63" s="2" t="s">
        <v>772</v>
      </c>
      <c r="E63" t="s">
        <v>1489</v>
      </c>
      <c r="H63" s="2"/>
      <c r="I63" s="15"/>
      <c r="J63" s="97"/>
      <c r="K63" s="97"/>
      <c r="L63" s="97"/>
      <c r="M63" s="97"/>
      <c r="N63" s="97"/>
      <c r="O63" s="97"/>
      <c r="P63" s="97"/>
      <c r="Q63" s="1"/>
      <c r="R63" s="1"/>
      <c r="S63" s="1"/>
      <c r="T63" s="1"/>
      <c r="U63" s="1"/>
      <c r="V63" s="1"/>
      <c r="W63" s="2"/>
      <c r="X63" s="1"/>
      <c r="Y63" s="14"/>
      <c r="Z63" s="14"/>
      <c r="AA63" s="14"/>
      <c r="AB63" s="14"/>
      <c r="AC63" s="50"/>
      <c r="AD63" s="19"/>
    </row>
    <row r="64" spans="1:30" s="3" customFormat="1" ht="13" x14ac:dyDescent="0.3">
      <c r="A64" s="4">
        <v>15942</v>
      </c>
      <c r="B64" s="4">
        <v>32417</v>
      </c>
      <c r="C64" s="4">
        <v>43129</v>
      </c>
      <c r="D64" s="4">
        <v>74686</v>
      </c>
      <c r="E64" s="3" t="s">
        <v>568</v>
      </c>
      <c r="H64" s="4" t="s">
        <v>772</v>
      </c>
      <c r="I64" s="16"/>
      <c r="J64" s="95"/>
      <c r="K64" s="45">
        <v>1.1220000000000001</v>
      </c>
      <c r="L64" s="45">
        <v>1.18</v>
      </c>
      <c r="M64" s="45">
        <v>1.325</v>
      </c>
      <c r="N64" s="45">
        <v>1.242</v>
      </c>
      <c r="O64" s="45">
        <v>1.1319999999999999</v>
      </c>
      <c r="P64" s="45">
        <v>1.0469999999999999</v>
      </c>
      <c r="Q64" s="9"/>
      <c r="R64" s="9"/>
      <c r="S64" s="9"/>
      <c r="T64" s="9"/>
      <c r="U64" s="9"/>
      <c r="V64" s="9"/>
      <c r="W64" s="4"/>
      <c r="X64" s="9">
        <v>0.77525200000000005</v>
      </c>
      <c r="Y64" s="45"/>
      <c r="Z64" s="45">
        <v>0.74199700000000002</v>
      </c>
      <c r="AA64" s="45"/>
      <c r="AB64" s="45"/>
      <c r="AC64" s="51"/>
      <c r="AD64" s="22">
        <v>0.1763888888888889</v>
      </c>
    </row>
    <row r="65" spans="1:30" x14ac:dyDescent="0.25">
      <c r="A65" s="2">
        <v>9479</v>
      </c>
      <c r="B65" s="2" t="s">
        <v>772</v>
      </c>
      <c r="C65" s="2">
        <v>44288</v>
      </c>
      <c r="D65" s="2" t="s">
        <v>772</v>
      </c>
      <c r="E65" t="s">
        <v>1472</v>
      </c>
      <c r="H65" s="2"/>
      <c r="I65" s="14"/>
      <c r="J65" s="97"/>
      <c r="K65" s="97"/>
      <c r="L65" s="97"/>
      <c r="M65" s="97"/>
      <c r="N65" s="97"/>
      <c r="O65" s="97"/>
      <c r="P65" s="97"/>
      <c r="Q65" s="1"/>
      <c r="R65" s="1"/>
      <c r="S65" s="1"/>
      <c r="T65" s="1"/>
      <c r="U65" s="1"/>
      <c r="V65" s="1"/>
      <c r="W65" s="2"/>
      <c r="X65" s="1"/>
      <c r="Y65" s="14"/>
      <c r="Z65" s="14"/>
      <c r="AA65" s="14"/>
      <c r="AB65" s="14"/>
      <c r="AC65" s="50"/>
      <c r="AD65" s="21"/>
    </row>
    <row r="66" spans="1:30" x14ac:dyDescent="0.25">
      <c r="A66" s="2">
        <v>21450</v>
      </c>
      <c r="B66" s="2">
        <v>18053</v>
      </c>
      <c r="C66" s="2">
        <v>47531</v>
      </c>
      <c r="D66" s="2">
        <v>46525</v>
      </c>
      <c r="E66" t="s">
        <v>992</v>
      </c>
      <c r="H66" s="2"/>
      <c r="I66" s="15"/>
      <c r="J66" s="97"/>
      <c r="K66" s="14">
        <v>1.427</v>
      </c>
      <c r="L66" s="14">
        <v>1.5149999999999999</v>
      </c>
      <c r="M66" s="14">
        <v>1.7410000000000001</v>
      </c>
      <c r="N66" s="14">
        <v>1.597</v>
      </c>
      <c r="O66" s="14">
        <v>1.554</v>
      </c>
      <c r="P66" s="14">
        <v>1.823</v>
      </c>
      <c r="Q66" s="1"/>
      <c r="R66" s="1"/>
      <c r="S66" s="1"/>
      <c r="T66" s="1"/>
      <c r="U66" s="1"/>
      <c r="V66" s="1"/>
      <c r="W66" s="2"/>
      <c r="X66" s="1"/>
      <c r="Y66" s="14"/>
      <c r="Z66" s="14">
        <v>1.73</v>
      </c>
      <c r="AA66" s="14"/>
      <c r="AB66" s="14"/>
      <c r="AC66" s="50"/>
      <c r="AD66" s="21">
        <v>3.2638888888888891E-2</v>
      </c>
    </row>
    <row r="67" spans="1:30" x14ac:dyDescent="0.25">
      <c r="A67" s="2">
        <v>11817</v>
      </c>
      <c r="B67" s="2">
        <v>9617</v>
      </c>
      <c r="C67" s="2">
        <v>56121</v>
      </c>
      <c r="D67" s="2"/>
      <c r="E67" t="s">
        <v>1085</v>
      </c>
      <c r="H67" s="2"/>
      <c r="I67" s="15"/>
      <c r="J67" s="97"/>
      <c r="K67" s="97"/>
      <c r="L67" s="97"/>
      <c r="M67" s="97"/>
      <c r="N67" s="97"/>
      <c r="O67" s="97"/>
      <c r="P67" s="97"/>
      <c r="Q67" s="15"/>
      <c r="R67" s="15"/>
      <c r="S67" s="15"/>
      <c r="T67" s="15"/>
      <c r="U67" s="15"/>
      <c r="V67" s="15"/>
      <c r="W67" s="2"/>
      <c r="X67" s="15"/>
      <c r="Y67" s="14"/>
      <c r="Z67" s="14">
        <v>1.1080000000000001</v>
      </c>
      <c r="AA67" s="14"/>
      <c r="AB67" s="14"/>
      <c r="AC67" s="50"/>
      <c r="AD67" s="19">
        <v>9.3055555555555558E-2</v>
      </c>
    </row>
    <row r="68" spans="1:30" x14ac:dyDescent="0.25">
      <c r="A68" s="2">
        <v>33551</v>
      </c>
      <c r="B68" s="2" t="s">
        <v>772</v>
      </c>
      <c r="C68" s="2">
        <v>59033</v>
      </c>
      <c r="D68" s="2" t="s">
        <v>772</v>
      </c>
      <c r="E68" t="s">
        <v>1491</v>
      </c>
      <c r="H68" s="2"/>
      <c r="I68" s="15"/>
      <c r="J68" s="97"/>
      <c r="K68" s="14">
        <v>0.70411500000000005</v>
      </c>
      <c r="L68" s="14">
        <v>0.66574800000000001</v>
      </c>
      <c r="M68" s="14">
        <v>0.58069400000000004</v>
      </c>
      <c r="N68" s="14">
        <v>0.41298600000000002</v>
      </c>
      <c r="O68" s="14">
        <v>0.45358900000000002</v>
      </c>
      <c r="P68" s="14">
        <v>0.67107499999999998</v>
      </c>
      <c r="Q68" s="15"/>
      <c r="R68" s="15"/>
      <c r="S68" s="15"/>
      <c r="T68" s="15"/>
      <c r="U68" s="15"/>
      <c r="V68" s="15"/>
      <c r="W68" s="2"/>
      <c r="X68" s="15"/>
      <c r="Y68" s="14"/>
      <c r="Z68" s="14"/>
      <c r="AA68" s="14"/>
      <c r="AB68" s="14"/>
      <c r="AC68" s="50"/>
      <c r="AD68" s="19"/>
    </row>
    <row r="69" spans="1:30" x14ac:dyDescent="0.25">
      <c r="A69" s="2">
        <v>12473</v>
      </c>
      <c r="B69" s="2">
        <v>10674</v>
      </c>
      <c r="C69" s="2">
        <v>63519</v>
      </c>
      <c r="D69" s="2"/>
      <c r="E69" t="s">
        <v>1077</v>
      </c>
      <c r="H69" s="2"/>
      <c r="I69" s="15"/>
      <c r="J69" s="97"/>
      <c r="K69" s="97"/>
      <c r="L69" s="97"/>
      <c r="M69" s="97"/>
      <c r="N69" s="97"/>
      <c r="O69" s="97"/>
      <c r="P69" s="97"/>
      <c r="Q69" s="15"/>
      <c r="R69" s="15"/>
      <c r="S69" s="15"/>
      <c r="T69" s="15"/>
      <c r="U69" s="15"/>
      <c r="V69" s="15"/>
      <c r="W69" s="2"/>
      <c r="X69" s="15"/>
      <c r="Y69" s="14"/>
      <c r="Z69" s="14">
        <v>0.980263</v>
      </c>
      <c r="AA69" s="14"/>
      <c r="AB69" s="14"/>
      <c r="AC69" s="50"/>
      <c r="AD69" s="19">
        <v>9.5833333333333326E-2</v>
      </c>
    </row>
    <row r="70" spans="1:30" x14ac:dyDescent="0.25">
      <c r="A70" s="2">
        <v>15569</v>
      </c>
      <c r="B70" s="2">
        <v>14530</v>
      </c>
      <c r="C70" s="2">
        <v>66390</v>
      </c>
      <c r="D70" s="2">
        <v>63885</v>
      </c>
      <c r="E70" t="s">
        <v>1079</v>
      </c>
      <c r="H70" s="2"/>
      <c r="I70" s="15"/>
      <c r="J70" s="97"/>
      <c r="K70" s="14">
        <v>0.903914</v>
      </c>
      <c r="L70" s="14">
        <v>1.093</v>
      </c>
      <c r="M70" s="14">
        <v>1.597</v>
      </c>
      <c r="N70" s="14">
        <v>1.968</v>
      </c>
      <c r="O70" s="14">
        <v>2.339</v>
      </c>
      <c r="P70" s="14">
        <v>1.6319999999999999</v>
      </c>
      <c r="Q70" s="1"/>
      <c r="R70" s="1"/>
      <c r="S70" s="1"/>
      <c r="T70" s="1"/>
      <c r="U70" s="1"/>
      <c r="V70" s="1"/>
      <c r="W70" s="2"/>
      <c r="X70" s="1"/>
      <c r="Y70" s="14"/>
      <c r="Z70" s="14">
        <v>1.224</v>
      </c>
      <c r="AA70" s="14"/>
      <c r="AB70" s="14"/>
      <c r="AC70" s="50"/>
      <c r="AD70" s="19">
        <v>3.6111111111111115E-2</v>
      </c>
    </row>
    <row r="71" spans="1:30" x14ac:dyDescent="0.25">
      <c r="A71" s="2">
        <v>13684</v>
      </c>
      <c r="B71" s="2">
        <v>12099</v>
      </c>
      <c r="C71" s="2">
        <v>70506</v>
      </c>
      <c r="D71" s="2"/>
      <c r="E71" t="s">
        <v>613</v>
      </c>
      <c r="H71" s="2"/>
      <c r="I71" s="15"/>
      <c r="J71" s="97"/>
      <c r="K71" s="97"/>
      <c r="L71" s="97"/>
      <c r="M71" s="97"/>
      <c r="N71" s="97"/>
      <c r="O71" s="97"/>
      <c r="P71" s="97"/>
      <c r="Q71" s="1"/>
      <c r="R71" s="1"/>
      <c r="S71" s="1"/>
      <c r="T71" s="1"/>
      <c r="U71" s="1"/>
      <c r="V71" s="1"/>
      <c r="W71" s="2"/>
      <c r="X71" s="1"/>
      <c r="Y71" s="14"/>
      <c r="Z71" s="14">
        <v>0.85121400000000003</v>
      </c>
      <c r="AA71" s="14"/>
      <c r="AB71" s="14"/>
      <c r="AC71" s="50"/>
      <c r="AD71" s="19">
        <v>5.6944444444444443E-2</v>
      </c>
    </row>
    <row r="72" spans="1:30" x14ac:dyDescent="0.25">
      <c r="A72" s="2">
        <v>49201</v>
      </c>
      <c r="B72" s="2" t="s">
        <v>772</v>
      </c>
      <c r="C72" s="2">
        <v>87336</v>
      </c>
      <c r="D72" s="2" t="s">
        <v>772</v>
      </c>
      <c r="E72" t="s">
        <v>1494</v>
      </c>
      <c r="H72" s="2"/>
      <c r="I72" s="15"/>
      <c r="J72" s="97"/>
      <c r="K72" s="14">
        <v>0.46071600000000001</v>
      </c>
      <c r="L72" s="14">
        <v>0.43276599999999998</v>
      </c>
      <c r="M72" s="14">
        <v>0.44360899999999998</v>
      </c>
      <c r="N72" s="14">
        <v>0.55219300000000004</v>
      </c>
      <c r="O72" s="14">
        <v>0.58385900000000002</v>
      </c>
      <c r="P72" s="14">
        <v>0.62329900000000005</v>
      </c>
      <c r="Q72" s="1"/>
      <c r="R72" s="1"/>
      <c r="S72" s="1"/>
      <c r="T72" s="1"/>
      <c r="U72" s="1"/>
      <c r="V72" s="1"/>
      <c r="W72" s="2"/>
      <c r="X72" s="1"/>
      <c r="Y72" s="14"/>
      <c r="Z72" s="14"/>
      <c r="AA72" s="14"/>
      <c r="AB72" s="14"/>
      <c r="AC72" s="50"/>
      <c r="AD72" s="19"/>
    </row>
    <row r="73" spans="1:30" s="3" customFormat="1" ht="13" x14ac:dyDescent="0.3">
      <c r="A73" s="4">
        <v>30091</v>
      </c>
      <c r="B73" s="4" t="s">
        <v>772</v>
      </c>
      <c r="C73" s="4">
        <v>89876</v>
      </c>
      <c r="D73" s="4" t="s">
        <v>772</v>
      </c>
      <c r="E73" s="3" t="s">
        <v>1493</v>
      </c>
      <c r="H73" s="4"/>
      <c r="I73" s="16"/>
      <c r="J73" s="95"/>
      <c r="K73" s="45">
        <v>0.73828000000000005</v>
      </c>
      <c r="L73" s="45">
        <v>0.64059900000000003</v>
      </c>
      <c r="M73" s="45">
        <v>0.49881399999999998</v>
      </c>
      <c r="N73" s="45">
        <v>0.61848400000000003</v>
      </c>
      <c r="O73" s="45">
        <v>0.73205699999999996</v>
      </c>
      <c r="P73" s="45">
        <v>0.665265</v>
      </c>
      <c r="Q73" s="9"/>
      <c r="R73" s="9"/>
      <c r="S73" s="9"/>
      <c r="T73" s="9"/>
      <c r="U73" s="9"/>
      <c r="V73" s="9"/>
      <c r="W73" s="4"/>
      <c r="X73" s="9"/>
      <c r="Y73" s="45"/>
      <c r="Z73" s="45"/>
      <c r="AA73" s="45"/>
      <c r="AB73" s="45"/>
      <c r="AC73" s="51"/>
      <c r="AD73" s="22"/>
    </row>
    <row r="74" spans="1:30" s="3" customFormat="1" ht="13" x14ac:dyDescent="0.3">
      <c r="A74" s="4">
        <v>35126</v>
      </c>
      <c r="B74" s="4" t="s">
        <v>772</v>
      </c>
      <c r="C74" s="4">
        <v>94229</v>
      </c>
      <c r="D74" s="4" t="s">
        <v>772</v>
      </c>
      <c r="E74" s="3" t="s">
        <v>1492</v>
      </c>
      <c r="H74" s="4"/>
      <c r="I74" s="16"/>
      <c r="J74" s="95"/>
      <c r="K74" s="45">
        <v>0.41767700000000002</v>
      </c>
      <c r="L74" s="45">
        <v>0.31962499999999999</v>
      </c>
      <c r="M74" s="45">
        <v>0.32921099999999998</v>
      </c>
      <c r="N74" s="45">
        <v>0.31748999999999999</v>
      </c>
      <c r="O74" s="45">
        <v>0.27634599999999998</v>
      </c>
      <c r="P74" s="45">
        <v>0.27168900000000001</v>
      </c>
      <c r="Q74" s="9"/>
      <c r="R74" s="9"/>
      <c r="S74" s="9"/>
      <c r="T74" s="9"/>
      <c r="U74" s="9"/>
      <c r="V74" s="9"/>
      <c r="W74" s="4"/>
      <c r="X74" s="9"/>
      <c r="Y74" s="45"/>
      <c r="Z74" s="45"/>
      <c r="AA74" s="45"/>
      <c r="AB74" s="45"/>
      <c r="AC74" s="51"/>
      <c r="AD74" s="22"/>
    </row>
    <row r="75" spans="1:30" s="3" customFormat="1" ht="13" x14ac:dyDescent="0.3">
      <c r="A75" s="4">
        <v>67128</v>
      </c>
      <c r="B75" s="4" t="s">
        <v>772</v>
      </c>
      <c r="C75" s="4">
        <v>96132</v>
      </c>
      <c r="D75" s="4" t="s">
        <v>772</v>
      </c>
      <c r="E75" s="3" t="s">
        <v>1482</v>
      </c>
      <c r="H75" s="4" t="s">
        <v>772</v>
      </c>
      <c r="I75" s="16"/>
      <c r="J75" s="95"/>
      <c r="K75" s="45">
        <v>0.34581899999999999</v>
      </c>
      <c r="L75" s="45">
        <v>0.51886100000000002</v>
      </c>
      <c r="M75" s="45">
        <v>0.53439499999999995</v>
      </c>
      <c r="N75" s="45">
        <v>0.56997699999999996</v>
      </c>
      <c r="O75" s="45">
        <v>0.63187000000000004</v>
      </c>
      <c r="P75" s="45">
        <v>0.65936300000000003</v>
      </c>
      <c r="Q75" s="9"/>
      <c r="R75" s="9"/>
      <c r="S75" s="9"/>
      <c r="T75" s="9"/>
      <c r="U75" s="9"/>
      <c r="V75" s="9"/>
      <c r="W75" s="4"/>
      <c r="X75" s="9"/>
      <c r="Y75" s="45"/>
      <c r="Z75" s="45"/>
      <c r="AA75" s="45"/>
      <c r="AB75" s="45"/>
      <c r="AC75" s="51"/>
      <c r="AD75" s="22"/>
    </row>
    <row r="76" spans="1:30" s="3" customFormat="1" ht="13" x14ac:dyDescent="0.3">
      <c r="A76" s="4">
        <v>49403</v>
      </c>
      <c r="B76" s="4" t="s">
        <v>772</v>
      </c>
      <c r="C76" s="4">
        <v>96748</v>
      </c>
      <c r="D76" s="4" t="s">
        <v>772</v>
      </c>
      <c r="E76" s="3" t="s">
        <v>1495</v>
      </c>
      <c r="H76" s="4"/>
      <c r="I76" s="16"/>
      <c r="J76" s="95"/>
      <c r="K76" s="45">
        <v>0.40490300000000001</v>
      </c>
      <c r="L76" s="45">
        <v>0.37499199999999999</v>
      </c>
      <c r="M76" s="45">
        <v>0.41084199999999998</v>
      </c>
      <c r="N76" s="45">
        <v>0.43920599999999999</v>
      </c>
      <c r="O76" s="45">
        <v>0.32631399999999999</v>
      </c>
      <c r="P76" s="45">
        <v>0.30858400000000002</v>
      </c>
      <c r="Q76" s="9"/>
      <c r="R76" s="9"/>
      <c r="S76" s="9"/>
      <c r="T76" s="9"/>
      <c r="U76" s="9"/>
      <c r="V76" s="9"/>
      <c r="W76" s="4"/>
      <c r="X76" s="9"/>
      <c r="Y76" s="45"/>
      <c r="Z76" s="45"/>
      <c r="AA76" s="45"/>
      <c r="AB76" s="45"/>
      <c r="AC76" s="51"/>
      <c r="AD76" s="22"/>
    </row>
    <row r="77" spans="1:30" x14ac:dyDescent="0.25">
      <c r="A77" s="2">
        <v>43009</v>
      </c>
      <c r="B77" s="2">
        <v>21998</v>
      </c>
      <c r="C77" s="2">
        <v>108533</v>
      </c>
      <c r="D77" s="2">
        <v>75891</v>
      </c>
      <c r="E77" t="s">
        <v>1141</v>
      </c>
      <c r="H77" s="2"/>
      <c r="I77" s="15"/>
      <c r="J77" s="97"/>
      <c r="K77" s="14">
        <v>0.53372299999999995</v>
      </c>
      <c r="L77" s="14">
        <v>0.66596299999999997</v>
      </c>
      <c r="M77" s="14">
        <v>0.70773399999999997</v>
      </c>
      <c r="N77" s="14">
        <v>0.70870900000000003</v>
      </c>
      <c r="O77" s="14">
        <v>0.69958100000000001</v>
      </c>
      <c r="P77" s="14">
        <v>0.645949</v>
      </c>
      <c r="Q77" s="1"/>
      <c r="R77" s="1"/>
      <c r="S77" s="1"/>
      <c r="T77" s="1"/>
      <c r="U77" s="1"/>
      <c r="V77" s="1"/>
      <c r="W77" s="2"/>
      <c r="X77" s="1"/>
      <c r="Y77" s="14"/>
      <c r="Z77" s="14">
        <v>1.0049999999999999</v>
      </c>
      <c r="AA77" s="14"/>
      <c r="AB77" s="14"/>
      <c r="AC77" s="50"/>
      <c r="AD77" s="19">
        <v>3.7499999999999999E-2</v>
      </c>
    </row>
    <row r="78" spans="1:30" x14ac:dyDescent="0.25">
      <c r="A78" s="2">
        <v>43791</v>
      </c>
      <c r="B78" s="2" t="s">
        <v>772</v>
      </c>
      <c r="C78" s="2">
        <v>124424</v>
      </c>
      <c r="D78" s="2" t="s">
        <v>772</v>
      </c>
      <c r="E78" t="s">
        <v>1496</v>
      </c>
      <c r="H78" s="2"/>
      <c r="I78" s="15"/>
      <c r="J78" s="97"/>
      <c r="K78" s="14">
        <v>0.27579100000000001</v>
      </c>
      <c r="L78" s="14">
        <v>0.19334499999999999</v>
      </c>
      <c r="M78" s="14">
        <v>0.148976</v>
      </c>
      <c r="N78" s="14">
        <v>0.25952599999999998</v>
      </c>
      <c r="O78" s="14">
        <v>0.178451</v>
      </c>
      <c r="P78" s="14">
        <v>0.216391</v>
      </c>
      <c r="Q78" s="1"/>
      <c r="R78" s="1"/>
      <c r="S78" s="1"/>
      <c r="T78" s="1"/>
      <c r="U78" s="1"/>
      <c r="V78" s="1"/>
      <c r="W78" s="2"/>
      <c r="X78" s="1"/>
      <c r="Y78" s="14"/>
      <c r="Z78" s="14"/>
      <c r="AA78" s="14"/>
      <c r="AB78" s="14"/>
      <c r="AC78" s="50"/>
      <c r="AD78" s="19"/>
    </row>
    <row r="79" spans="1:30" x14ac:dyDescent="0.25">
      <c r="A79" s="2">
        <v>67293</v>
      </c>
      <c r="B79" s="2">
        <v>266787</v>
      </c>
      <c r="C79" s="2">
        <v>134561</v>
      </c>
      <c r="D79" s="2">
        <v>721521</v>
      </c>
      <c r="E79" t="s">
        <v>909</v>
      </c>
      <c r="H79" s="2">
        <v>3000</v>
      </c>
      <c r="I79" s="15"/>
      <c r="J79" s="97"/>
      <c r="K79" s="14">
        <v>0.31187199999999998</v>
      </c>
      <c r="L79" s="14">
        <v>0.24485999999999999</v>
      </c>
      <c r="M79" s="14">
        <v>0.23485900000000001</v>
      </c>
      <c r="N79" s="14">
        <v>0.246526</v>
      </c>
      <c r="O79" s="14">
        <v>0.21945400000000001</v>
      </c>
      <c r="P79" s="14">
        <v>0.185836</v>
      </c>
      <c r="Q79" s="1"/>
      <c r="R79" s="1"/>
      <c r="S79" s="1"/>
      <c r="T79" s="1"/>
      <c r="U79" s="1"/>
      <c r="V79" s="1"/>
      <c r="W79" s="2"/>
      <c r="X79" s="1"/>
      <c r="Y79" s="14"/>
      <c r="Z79" s="14"/>
      <c r="AA79" s="14"/>
      <c r="AB79" s="14"/>
      <c r="AC79" s="50"/>
      <c r="AD79" s="19"/>
    </row>
    <row r="80" spans="1:30" x14ac:dyDescent="0.25">
      <c r="A80" s="2">
        <v>90902</v>
      </c>
      <c r="B80" s="2" t="s">
        <v>772</v>
      </c>
      <c r="C80" s="2">
        <v>145206</v>
      </c>
      <c r="D80" s="2" t="s">
        <v>772</v>
      </c>
      <c r="E80" t="s">
        <v>1508</v>
      </c>
      <c r="H80" s="2"/>
      <c r="I80" s="15"/>
      <c r="J80" s="97"/>
      <c r="K80" s="14">
        <v>0.26924100000000001</v>
      </c>
      <c r="L80" s="14">
        <v>0.25565500000000002</v>
      </c>
      <c r="M80" s="14">
        <v>0.29754799999999998</v>
      </c>
      <c r="N80" s="14">
        <v>0.29980600000000002</v>
      </c>
      <c r="O80" s="14">
        <v>0.28523399999999999</v>
      </c>
      <c r="P80" s="14">
        <v>0.29941099999999998</v>
      </c>
      <c r="Q80" s="1"/>
      <c r="R80" s="1"/>
      <c r="S80" s="1"/>
      <c r="T80" s="1"/>
      <c r="U80" s="1"/>
      <c r="V80" s="1"/>
      <c r="W80" s="2"/>
      <c r="X80" s="1"/>
      <c r="Y80" s="14"/>
      <c r="Z80" s="14"/>
      <c r="AA80" s="14"/>
      <c r="AB80" s="14"/>
      <c r="AC80" s="50"/>
      <c r="AD80" s="19"/>
    </row>
    <row r="81" spans="1:31" x14ac:dyDescent="0.25">
      <c r="A81" s="2">
        <v>39115</v>
      </c>
      <c r="B81" s="2">
        <v>29115</v>
      </c>
      <c r="C81" s="2">
        <v>145557</v>
      </c>
      <c r="D81" s="2">
        <v>125709</v>
      </c>
      <c r="E81" t="s">
        <v>1142</v>
      </c>
      <c r="H81" s="2"/>
      <c r="I81" s="15"/>
      <c r="J81" s="97"/>
      <c r="K81" s="14">
        <v>0.37992300000000001</v>
      </c>
      <c r="L81" s="14">
        <v>0.39610600000000001</v>
      </c>
      <c r="M81" s="14">
        <v>0.43713400000000002</v>
      </c>
      <c r="N81" s="14">
        <v>0.529447</v>
      </c>
      <c r="O81" s="14">
        <v>0.536574</v>
      </c>
      <c r="P81" s="14">
        <v>0.56195499999999998</v>
      </c>
      <c r="Q81" s="1"/>
      <c r="R81" s="1"/>
      <c r="S81" s="1"/>
      <c r="T81" s="1"/>
      <c r="U81" s="1"/>
      <c r="V81" s="1"/>
      <c r="W81" s="2"/>
      <c r="X81" s="1"/>
      <c r="Y81" s="14"/>
      <c r="Z81" s="14">
        <v>0.58443599999999996</v>
      </c>
      <c r="AA81" s="14"/>
      <c r="AB81" s="14"/>
      <c r="AC81" s="50"/>
      <c r="AD81" s="19">
        <v>2.9166666666666664E-2</v>
      </c>
    </row>
    <row r="82" spans="1:31" x14ac:dyDescent="0.25">
      <c r="A82" s="2">
        <v>43306</v>
      </c>
      <c r="B82" s="2" t="s">
        <v>772</v>
      </c>
      <c r="C82" s="2">
        <v>153922</v>
      </c>
      <c r="D82" s="2" t="s">
        <v>772</v>
      </c>
      <c r="E82" t="s">
        <v>1498</v>
      </c>
      <c r="H82" s="2"/>
      <c r="I82" s="15"/>
      <c r="J82" s="97"/>
      <c r="K82" s="14">
        <v>0.204236</v>
      </c>
      <c r="L82" s="14">
        <v>0.17266699999999999</v>
      </c>
      <c r="M82" s="14">
        <v>0.17660899999999999</v>
      </c>
      <c r="N82" s="14">
        <v>0.196187</v>
      </c>
      <c r="O82" s="14">
        <v>0.16906099999999999</v>
      </c>
      <c r="P82" s="14">
        <v>0.22312299999999999</v>
      </c>
      <c r="Q82" s="1"/>
      <c r="R82" s="1"/>
      <c r="S82" s="1"/>
      <c r="T82" s="1"/>
      <c r="U82" s="1"/>
      <c r="V82" s="1"/>
      <c r="W82" s="2"/>
      <c r="X82" s="1"/>
      <c r="Y82" s="14"/>
      <c r="Z82" s="14"/>
      <c r="AA82" s="14"/>
      <c r="AB82" s="14"/>
      <c r="AC82" s="50"/>
      <c r="AD82" s="19"/>
    </row>
    <row r="83" spans="1:31" x14ac:dyDescent="0.25">
      <c r="A83" s="2">
        <v>36599</v>
      </c>
      <c r="B83" s="2" t="s">
        <v>772</v>
      </c>
      <c r="C83" s="2">
        <v>159889</v>
      </c>
      <c r="D83" s="2" t="s">
        <v>772</v>
      </c>
      <c r="E83" t="s">
        <v>1490</v>
      </c>
      <c r="H83" s="2"/>
      <c r="I83" s="15"/>
      <c r="J83" s="97"/>
      <c r="K83" s="14">
        <v>0.275281</v>
      </c>
      <c r="L83" s="14">
        <v>0.29414899999999999</v>
      </c>
      <c r="M83" s="14">
        <v>0.32404300000000003</v>
      </c>
      <c r="N83" s="14">
        <v>0.36441099999999998</v>
      </c>
      <c r="O83" s="14">
        <v>0.34762300000000002</v>
      </c>
      <c r="P83" s="14">
        <v>0.40218599999999999</v>
      </c>
      <c r="Q83" s="1"/>
      <c r="R83" s="1"/>
      <c r="S83" s="1"/>
      <c r="T83" s="1"/>
      <c r="U83" s="1"/>
      <c r="V83" s="1"/>
      <c r="W83" s="2"/>
      <c r="X83" s="1"/>
      <c r="Y83" s="14"/>
      <c r="Z83" s="14"/>
      <c r="AA83" s="14"/>
      <c r="AB83" s="14"/>
      <c r="AC83" s="50"/>
      <c r="AD83" s="19"/>
    </row>
    <row r="84" spans="1:31" s="3" customFormat="1" ht="13" x14ac:dyDescent="0.3">
      <c r="A84" s="4">
        <v>72888</v>
      </c>
      <c r="B84" s="4" t="s">
        <v>772</v>
      </c>
      <c r="C84" s="4">
        <v>185060</v>
      </c>
      <c r="D84" s="4" t="s">
        <v>772</v>
      </c>
      <c r="E84" s="3" t="s">
        <v>1483</v>
      </c>
      <c r="G84" s="4" t="s">
        <v>1484</v>
      </c>
      <c r="I84" s="16"/>
      <c r="J84" s="9"/>
      <c r="K84" s="45">
        <v>0.14820900000000001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9"/>
      <c r="R84" s="9"/>
      <c r="S84" s="9"/>
      <c r="T84" s="9"/>
      <c r="U84" s="9"/>
      <c r="V84" s="9"/>
      <c r="W84" s="4"/>
      <c r="X84" s="9"/>
      <c r="Y84" s="45"/>
      <c r="Z84" s="45"/>
      <c r="AA84" s="45"/>
      <c r="AB84" s="45"/>
      <c r="AC84" s="51"/>
      <c r="AD84" s="22"/>
    </row>
    <row r="85" spans="1:31" s="3" customFormat="1" ht="13" x14ac:dyDescent="0.3">
      <c r="A85" s="4">
        <v>68108</v>
      </c>
      <c r="B85" s="4" t="s">
        <v>772</v>
      </c>
      <c r="C85" s="4">
        <v>225878</v>
      </c>
      <c r="D85" s="4" t="s">
        <v>772</v>
      </c>
      <c r="E85" s="3" t="s">
        <v>1497</v>
      </c>
      <c r="G85" s="4"/>
      <c r="I85" s="16"/>
      <c r="J85" s="9"/>
      <c r="K85" s="45">
        <v>0.202541</v>
      </c>
      <c r="L85" s="45">
        <v>0.23596600000000001</v>
      </c>
      <c r="M85" s="45">
        <v>0.23322799999999999</v>
      </c>
      <c r="N85" s="45">
        <v>0.23857</v>
      </c>
      <c r="O85" s="45">
        <v>0.25546200000000002</v>
      </c>
      <c r="P85" s="45">
        <v>0.30455700000000002</v>
      </c>
      <c r="Q85" s="9"/>
      <c r="R85" s="9"/>
      <c r="S85" s="9"/>
      <c r="T85" s="9"/>
      <c r="U85" s="9"/>
      <c r="V85" s="9"/>
      <c r="W85" s="4"/>
      <c r="X85" s="9"/>
      <c r="Y85" s="45"/>
      <c r="Z85" s="45"/>
      <c r="AA85" s="45"/>
      <c r="AB85" s="45"/>
      <c r="AC85" s="51"/>
      <c r="AD85" s="22"/>
    </row>
    <row r="86" spans="1:31" s="101" customFormat="1" ht="13" x14ac:dyDescent="0.3">
      <c r="A86" s="100">
        <v>74515</v>
      </c>
      <c r="B86" s="100" t="s">
        <v>772</v>
      </c>
      <c r="C86" s="100">
        <v>231959</v>
      </c>
      <c r="D86" s="100" t="s">
        <v>772</v>
      </c>
      <c r="E86" s="101" t="s">
        <v>1481</v>
      </c>
      <c r="H86" s="100" t="s">
        <v>772</v>
      </c>
      <c r="I86" s="102"/>
      <c r="J86" s="103"/>
      <c r="K86" s="104">
        <v>0.20810300000000001</v>
      </c>
      <c r="L86" s="104">
        <v>0.203102</v>
      </c>
      <c r="M86" s="104">
        <v>0.242788</v>
      </c>
      <c r="N86" s="104">
        <v>0.31181199999999998</v>
      </c>
      <c r="O86" s="104">
        <v>0.27760200000000002</v>
      </c>
      <c r="P86" s="104">
        <v>0.304205</v>
      </c>
      <c r="Q86" s="103"/>
      <c r="R86" s="103"/>
      <c r="S86" s="103"/>
      <c r="T86" s="103"/>
      <c r="U86" s="103"/>
      <c r="V86" s="103"/>
      <c r="W86" s="100"/>
      <c r="X86" s="103"/>
      <c r="Y86" s="104"/>
      <c r="Z86" s="104"/>
      <c r="AA86" s="104"/>
      <c r="AB86" s="104"/>
      <c r="AC86" s="105"/>
      <c r="AD86" s="106"/>
    </row>
    <row r="87" spans="1:31" x14ac:dyDescent="0.25">
      <c r="A87" s="2">
        <v>100146</v>
      </c>
      <c r="B87" s="2" t="s">
        <v>772</v>
      </c>
      <c r="C87" s="2">
        <v>268636</v>
      </c>
      <c r="D87" s="2" t="s">
        <v>772</v>
      </c>
      <c r="E87" t="s">
        <v>1503</v>
      </c>
      <c r="H87" s="2"/>
      <c r="I87" s="15"/>
      <c r="J87" s="1"/>
      <c r="K87" s="14">
        <v>0.15398300000000001</v>
      </c>
      <c r="L87" s="14">
        <v>0.15457599999999999</v>
      </c>
      <c r="M87" s="14">
        <v>0.19192600000000001</v>
      </c>
      <c r="N87" s="14">
        <v>0.22880500000000001</v>
      </c>
      <c r="O87" s="14">
        <v>0.18363199999999999</v>
      </c>
      <c r="P87" s="14">
        <v>0.22647600000000001</v>
      </c>
      <c r="Q87" s="1"/>
      <c r="R87" s="1"/>
      <c r="S87" s="1"/>
      <c r="T87" s="1"/>
      <c r="U87" s="1"/>
      <c r="V87" s="1"/>
      <c r="W87" s="2"/>
      <c r="X87" s="1"/>
      <c r="Y87" s="14"/>
      <c r="Z87" s="14"/>
      <c r="AA87" s="14"/>
      <c r="AB87" s="14"/>
      <c r="AC87" s="50"/>
      <c r="AD87" s="21"/>
    </row>
    <row r="88" spans="1:31" x14ac:dyDescent="0.25">
      <c r="A88" s="2" t="s">
        <v>772</v>
      </c>
      <c r="B88" s="2" t="s">
        <v>772</v>
      </c>
      <c r="C88" s="2">
        <v>311925</v>
      </c>
      <c r="D88" s="2" t="s">
        <v>772</v>
      </c>
      <c r="E88" t="s">
        <v>1506</v>
      </c>
      <c r="H88" s="2"/>
      <c r="I88" s="15"/>
      <c r="J88" s="1"/>
      <c r="K88" s="14">
        <v>0.12939800000000001</v>
      </c>
      <c r="L88" s="14">
        <v>9.6511E-2</v>
      </c>
      <c r="M88" s="14">
        <v>0.10425</v>
      </c>
      <c r="N88" s="14">
        <v>0.147096</v>
      </c>
      <c r="O88" s="14">
        <v>0.12723499999999999</v>
      </c>
      <c r="P88" s="14">
        <v>0.13403899999999999</v>
      </c>
      <c r="Q88" s="1"/>
      <c r="R88" s="1"/>
      <c r="S88" s="1"/>
      <c r="T88" s="1"/>
      <c r="U88" s="1"/>
      <c r="V88" s="1"/>
      <c r="W88" s="2"/>
      <c r="X88" s="1"/>
      <c r="Y88" s="14"/>
      <c r="Z88" s="14"/>
      <c r="AA88" s="14"/>
      <c r="AB88" s="14"/>
      <c r="AC88" s="50"/>
      <c r="AD88" s="21"/>
    </row>
    <row r="89" spans="1:31" x14ac:dyDescent="0.25">
      <c r="A89" s="2">
        <v>130071</v>
      </c>
      <c r="B89" s="2" t="s">
        <v>772</v>
      </c>
      <c r="C89" s="2">
        <v>316390</v>
      </c>
      <c r="D89" s="2" t="s">
        <v>772</v>
      </c>
      <c r="E89" t="s">
        <v>1504</v>
      </c>
      <c r="H89" s="2"/>
      <c r="I89" s="15"/>
      <c r="J89" s="1"/>
      <c r="K89" s="14">
        <v>0.129329</v>
      </c>
      <c r="L89" s="14">
        <v>0.151339</v>
      </c>
      <c r="M89" s="14">
        <v>0.165882</v>
      </c>
      <c r="N89" s="14">
        <v>0.17962800000000001</v>
      </c>
      <c r="O89" s="14">
        <v>0.14754200000000001</v>
      </c>
      <c r="P89" s="14">
        <v>0.184531</v>
      </c>
      <c r="Q89" s="1"/>
      <c r="R89" s="1"/>
      <c r="S89" s="1"/>
      <c r="T89" s="1"/>
      <c r="U89" s="1"/>
      <c r="V89" s="1"/>
      <c r="W89" s="2"/>
      <c r="X89" s="1"/>
      <c r="Y89" s="14"/>
      <c r="Z89" s="14"/>
      <c r="AA89" s="14"/>
      <c r="AB89" s="14"/>
      <c r="AC89" s="50"/>
      <c r="AD89" s="21"/>
    </row>
    <row r="90" spans="1:31" x14ac:dyDescent="0.25">
      <c r="A90" s="2">
        <v>355754</v>
      </c>
      <c r="B90" s="2" t="s">
        <v>772</v>
      </c>
      <c r="C90" s="2">
        <v>706334</v>
      </c>
      <c r="D90" s="2" t="s">
        <v>772</v>
      </c>
      <c r="E90" t="s">
        <v>1505</v>
      </c>
      <c r="H90" s="2"/>
      <c r="I90" s="15"/>
      <c r="J90" s="1"/>
      <c r="K90" s="14">
        <v>4.2213000000000001E-2</v>
      </c>
      <c r="L90" s="14">
        <v>4.0715000000000001E-2</v>
      </c>
      <c r="M90" s="14">
        <v>4.3930999999999998E-2</v>
      </c>
      <c r="N90" s="14">
        <v>3.7843000000000002E-2</v>
      </c>
      <c r="O90" s="14">
        <v>4.5664000000000003E-2</v>
      </c>
      <c r="P90" s="14">
        <v>3.3013000000000001E-2</v>
      </c>
      <c r="Q90" s="1"/>
      <c r="R90" s="1"/>
      <c r="S90" s="1"/>
      <c r="T90" s="1"/>
      <c r="U90" s="1"/>
      <c r="V90" s="1"/>
      <c r="W90" s="2"/>
      <c r="X90" s="1"/>
      <c r="Y90" s="14"/>
      <c r="Z90" s="14"/>
      <c r="AA90" s="14"/>
      <c r="AB90" s="14"/>
      <c r="AC90" s="50"/>
      <c r="AD90" s="21"/>
    </row>
    <row r="91" spans="1:31" x14ac:dyDescent="0.25">
      <c r="A91" s="2">
        <v>803743</v>
      </c>
      <c r="B91" s="2" t="s">
        <v>772</v>
      </c>
      <c r="C91" s="2">
        <v>840002</v>
      </c>
      <c r="D91" s="2" t="s">
        <v>772</v>
      </c>
      <c r="E91" t="s">
        <v>1507</v>
      </c>
      <c r="H91" s="2"/>
      <c r="I91" s="15"/>
      <c r="J91" s="1"/>
      <c r="K91" s="14">
        <v>3.0166999999999999E-2</v>
      </c>
      <c r="L91" s="14">
        <v>2.3206999999999998E-2</v>
      </c>
      <c r="M91" s="14">
        <v>2.8143999999999999E-2</v>
      </c>
      <c r="N91" s="14">
        <v>2.3501000000000001E-2</v>
      </c>
      <c r="O91" s="14">
        <v>1.6993999999999999E-2</v>
      </c>
      <c r="P91" s="14">
        <v>1.5486E-2</v>
      </c>
      <c r="Q91" s="1"/>
      <c r="R91" s="1"/>
      <c r="S91" s="1"/>
      <c r="T91" s="1"/>
      <c r="U91" s="1"/>
      <c r="V91" s="1"/>
      <c r="W91" s="2"/>
      <c r="X91" s="1"/>
      <c r="Y91" s="14"/>
      <c r="Z91" s="14"/>
      <c r="AA91" s="14"/>
      <c r="AB91" s="14"/>
      <c r="AC91" s="50"/>
      <c r="AD91" s="21"/>
    </row>
    <row r="92" spans="1:31" x14ac:dyDescent="0.25">
      <c r="A92" s="2">
        <v>535751</v>
      </c>
      <c r="B92" s="2" t="s">
        <v>772</v>
      </c>
      <c r="C92" s="2">
        <v>971981</v>
      </c>
      <c r="D92" s="2" t="s">
        <v>772</v>
      </c>
      <c r="E92" t="s">
        <v>1501</v>
      </c>
      <c r="K92" s="14">
        <v>2.7726000000000001E-2</v>
      </c>
      <c r="L92" s="14">
        <v>2.8673000000000001E-2</v>
      </c>
      <c r="M92" s="14">
        <v>2.2929000000000001E-2</v>
      </c>
      <c r="N92" s="14">
        <v>3.0439000000000001E-2</v>
      </c>
      <c r="O92" s="14">
        <v>3.2936E-2</v>
      </c>
      <c r="P92" s="14">
        <v>2.7348999999999998E-2</v>
      </c>
    </row>
    <row r="93" spans="1:31" ht="13" x14ac:dyDescent="0.3">
      <c r="A93" s="9" t="s">
        <v>772</v>
      </c>
      <c r="B93" s="4" t="s">
        <v>772</v>
      </c>
      <c r="C93" s="4">
        <v>9953118</v>
      </c>
      <c r="D93" s="4" t="s">
        <v>772</v>
      </c>
      <c r="E93" s="3" t="s">
        <v>1502</v>
      </c>
      <c r="F93" s="3"/>
      <c r="G93" s="3"/>
      <c r="H93" s="3"/>
      <c r="I93" s="3"/>
      <c r="J93" s="3"/>
      <c r="K93" s="45">
        <v>1.132E-3</v>
      </c>
      <c r="L93" s="45">
        <v>9.4499999999999998E-4</v>
      </c>
      <c r="M93" s="45">
        <v>1.7619999999999999E-3</v>
      </c>
      <c r="N93" s="45">
        <v>9.990000000000001E-4</v>
      </c>
      <c r="O93" s="45">
        <v>8.2799999999999996E-4</v>
      </c>
      <c r="P93" s="45">
        <v>2.1440000000000001E-3</v>
      </c>
    </row>
    <row r="95" spans="1:31" x14ac:dyDescent="0.25">
      <c r="A95" s="2">
        <v>289</v>
      </c>
      <c r="B95" s="2">
        <v>800</v>
      </c>
      <c r="C95" s="2">
        <v>113</v>
      </c>
      <c r="D95" s="2">
        <v>278</v>
      </c>
      <c r="E95" t="s">
        <v>570</v>
      </c>
      <c r="F95" t="s">
        <v>6</v>
      </c>
      <c r="H95" s="2">
        <v>3000</v>
      </c>
      <c r="I95" s="2"/>
      <c r="J95" s="97">
        <v>193.3</v>
      </c>
      <c r="K95" s="97">
        <v>204.4</v>
      </c>
      <c r="L95" s="97">
        <v>209</v>
      </c>
      <c r="M95" s="97">
        <v>207.1</v>
      </c>
      <c r="N95" s="97">
        <v>201.7</v>
      </c>
      <c r="O95" s="97">
        <v>190.9</v>
      </c>
      <c r="P95" s="97">
        <v>221.8</v>
      </c>
    </row>
    <row r="96" spans="1:31" x14ac:dyDescent="0.25">
      <c r="A96" s="2">
        <v>1534</v>
      </c>
      <c r="B96" s="2">
        <v>906</v>
      </c>
      <c r="C96" s="2">
        <v>436</v>
      </c>
      <c r="D96" s="2">
        <v>373</v>
      </c>
      <c r="E96" t="s">
        <v>597</v>
      </c>
      <c r="H96" s="2"/>
      <c r="I96" s="2"/>
      <c r="J96" s="97"/>
      <c r="K96" s="97"/>
      <c r="L96" s="97"/>
      <c r="M96" s="97"/>
      <c r="N96" s="97"/>
      <c r="O96" s="97"/>
      <c r="P96" s="97"/>
      <c r="Q96" s="1"/>
      <c r="R96" s="1"/>
      <c r="S96" s="1"/>
      <c r="T96" s="1"/>
      <c r="U96" s="1"/>
      <c r="V96" s="2"/>
      <c r="W96" s="2"/>
      <c r="X96" s="2"/>
      <c r="Y96" s="2"/>
      <c r="Z96" s="14"/>
      <c r="AA96" s="14"/>
      <c r="AB96" s="14"/>
      <c r="AC96" s="14"/>
      <c r="AD96" s="19"/>
      <c r="AE96" s="8"/>
    </row>
    <row r="97" spans="1:16" x14ac:dyDescent="0.25">
      <c r="A97" s="2">
        <v>542</v>
      </c>
      <c r="B97" s="2">
        <v>522</v>
      </c>
      <c r="C97" s="2">
        <v>1508</v>
      </c>
      <c r="D97" s="2">
        <v>1070</v>
      </c>
      <c r="E97" t="s">
        <v>323</v>
      </c>
      <c r="F97" t="s">
        <v>6</v>
      </c>
    </row>
    <row r="98" spans="1:16" x14ac:dyDescent="0.25">
      <c r="A98" s="2">
        <v>1075</v>
      </c>
      <c r="B98" s="2">
        <v>1472</v>
      </c>
      <c r="C98" s="2">
        <v>2621</v>
      </c>
      <c r="D98" s="2" t="s">
        <v>772</v>
      </c>
      <c r="E98" t="s">
        <v>569</v>
      </c>
      <c r="H98" s="2"/>
      <c r="I98" s="2"/>
      <c r="J98" s="97"/>
      <c r="K98" s="97">
        <v>19.38</v>
      </c>
      <c r="L98" s="97">
        <v>20.59</v>
      </c>
      <c r="M98" s="97">
        <v>24.26</v>
      </c>
      <c r="N98" s="97">
        <v>22.13</v>
      </c>
      <c r="O98" s="97">
        <v>23.92</v>
      </c>
      <c r="P98" s="97">
        <v>27.58</v>
      </c>
    </row>
    <row r="99" spans="1:16" x14ac:dyDescent="0.25">
      <c r="A99" s="2">
        <v>1383</v>
      </c>
      <c r="B99" s="2">
        <v>1488</v>
      </c>
      <c r="C99" s="2">
        <v>4822</v>
      </c>
      <c r="D99" s="2">
        <v>5067</v>
      </c>
      <c r="E99" t="s">
        <v>595</v>
      </c>
      <c r="H99" s="2"/>
      <c r="I99" s="2"/>
      <c r="J99" s="97">
        <v>13</v>
      </c>
      <c r="K99" s="97">
        <v>14.36</v>
      </c>
      <c r="L99" s="97">
        <v>14.49</v>
      </c>
      <c r="M99" s="97">
        <v>13.46</v>
      </c>
      <c r="N99" s="97">
        <v>14.63</v>
      </c>
      <c r="O99" s="97">
        <v>14.96</v>
      </c>
      <c r="P99" s="97">
        <v>16.45</v>
      </c>
    </row>
    <row r="100" spans="1:16" x14ac:dyDescent="0.25">
      <c r="A100" s="2">
        <v>1367</v>
      </c>
      <c r="B100" s="2" t="s">
        <v>772</v>
      </c>
      <c r="C100" s="2">
        <v>5071</v>
      </c>
      <c r="D100" s="2" t="s">
        <v>772</v>
      </c>
      <c r="E100" t="s">
        <v>1471</v>
      </c>
    </row>
    <row r="101" spans="1:16" x14ac:dyDescent="0.25">
      <c r="A101" s="2">
        <v>13286</v>
      </c>
      <c r="B101" s="2">
        <v>13113</v>
      </c>
      <c r="C101" s="2">
        <v>42466</v>
      </c>
      <c r="D101" s="2">
        <v>31790</v>
      </c>
      <c r="E101" t="s">
        <v>1000</v>
      </c>
      <c r="H101" s="2"/>
      <c r="I101" s="15"/>
      <c r="J101" s="97"/>
      <c r="K101" s="14">
        <v>1.0309999999999999</v>
      </c>
      <c r="L101" s="14">
        <v>1.236</v>
      </c>
      <c r="M101" s="14">
        <v>1.633</v>
      </c>
      <c r="N101" s="14">
        <v>1.5329999999999999</v>
      </c>
      <c r="O101" s="14">
        <v>1.4790000000000001</v>
      </c>
      <c r="P101" s="14">
        <v>1.5669999999999999</v>
      </c>
    </row>
    <row r="102" spans="1:16" ht="13" x14ac:dyDescent="0.3">
      <c r="A102" s="4">
        <v>15942</v>
      </c>
      <c r="B102" s="4">
        <v>32417</v>
      </c>
      <c r="C102" s="4">
        <v>43129</v>
      </c>
      <c r="D102" s="4">
        <v>74686</v>
      </c>
      <c r="E102" s="3" t="s">
        <v>568</v>
      </c>
      <c r="F102" s="3"/>
      <c r="G102" s="3"/>
      <c r="H102" s="4" t="s">
        <v>772</v>
      </c>
      <c r="I102" s="16"/>
      <c r="J102" s="95"/>
      <c r="K102" s="45">
        <v>1.1220000000000001</v>
      </c>
      <c r="L102" s="45">
        <v>1.18</v>
      </c>
      <c r="M102" s="45">
        <v>1.325</v>
      </c>
      <c r="N102" s="45">
        <v>1.242</v>
      </c>
      <c r="O102" s="45">
        <v>1.1319999999999999</v>
      </c>
      <c r="P102" s="45">
        <v>1.0469999999999999</v>
      </c>
    </row>
    <row r="103" spans="1:16" ht="13" x14ac:dyDescent="0.3">
      <c r="A103" s="4">
        <v>30091</v>
      </c>
      <c r="B103" s="4" t="s">
        <v>772</v>
      </c>
      <c r="C103" s="4">
        <v>89876</v>
      </c>
      <c r="D103" s="4" t="s">
        <v>772</v>
      </c>
      <c r="E103" s="3" t="s">
        <v>1493</v>
      </c>
      <c r="F103" s="3"/>
      <c r="G103" s="3"/>
      <c r="H103" s="4"/>
      <c r="I103" s="16"/>
      <c r="J103" s="95"/>
      <c r="K103" s="45">
        <v>0.73828000000000005</v>
      </c>
      <c r="L103" s="45">
        <v>0.64059900000000003</v>
      </c>
      <c r="M103" s="45">
        <v>0.49881399999999998</v>
      </c>
      <c r="N103" s="45">
        <v>0.61848400000000003</v>
      </c>
      <c r="O103" s="45">
        <v>0.73205699999999996</v>
      </c>
      <c r="P103" s="45">
        <v>0.665265</v>
      </c>
    </row>
    <row r="104" spans="1:16" ht="13" x14ac:dyDescent="0.3">
      <c r="A104" s="4">
        <v>35126</v>
      </c>
      <c r="B104" s="4" t="s">
        <v>772</v>
      </c>
      <c r="C104" s="4">
        <v>94229</v>
      </c>
      <c r="D104" s="4" t="s">
        <v>772</v>
      </c>
      <c r="E104" s="3" t="s">
        <v>1492</v>
      </c>
      <c r="F104" s="3"/>
      <c r="G104" s="3"/>
      <c r="H104" s="4"/>
      <c r="I104" s="16"/>
      <c r="J104" s="95"/>
      <c r="K104" s="45">
        <v>0.41767700000000002</v>
      </c>
      <c r="L104" s="45">
        <v>0.31962499999999999</v>
      </c>
      <c r="M104" s="45">
        <v>0.32921099999999998</v>
      </c>
      <c r="N104" s="45">
        <v>0.31748999999999999</v>
      </c>
      <c r="O104" s="45">
        <v>0.27634599999999998</v>
      </c>
      <c r="P104" s="45">
        <v>0.27168900000000001</v>
      </c>
    </row>
    <row r="105" spans="1:16" ht="13" x14ac:dyDescent="0.3">
      <c r="A105" s="4">
        <v>67128</v>
      </c>
      <c r="B105" s="4" t="s">
        <v>772</v>
      </c>
      <c r="C105" s="4">
        <v>96132</v>
      </c>
      <c r="D105" s="4" t="s">
        <v>772</v>
      </c>
      <c r="E105" s="3" t="s">
        <v>1482</v>
      </c>
      <c r="F105" s="3"/>
      <c r="G105" s="3"/>
      <c r="H105" s="4" t="s">
        <v>772</v>
      </c>
      <c r="I105" s="16"/>
      <c r="J105" s="95"/>
      <c r="K105" s="45">
        <v>0.34581899999999999</v>
      </c>
      <c r="L105" s="45">
        <v>0.51886100000000002</v>
      </c>
      <c r="M105" s="45">
        <v>0.53439499999999995</v>
      </c>
      <c r="N105" s="45">
        <v>0.56997699999999996</v>
      </c>
      <c r="O105" s="45">
        <v>0.63187000000000004</v>
      </c>
      <c r="P105" s="45">
        <v>0.65936300000000003</v>
      </c>
    </row>
    <row r="106" spans="1:16" ht="13" x14ac:dyDescent="0.3">
      <c r="A106" s="4">
        <v>49403</v>
      </c>
      <c r="B106" s="4" t="s">
        <v>772</v>
      </c>
      <c r="C106" s="4">
        <v>96748</v>
      </c>
      <c r="D106" s="4" t="s">
        <v>772</v>
      </c>
      <c r="E106" s="3" t="s">
        <v>1495</v>
      </c>
      <c r="F106" s="3"/>
      <c r="G106" s="3"/>
      <c r="H106" s="4"/>
      <c r="I106" s="16"/>
      <c r="J106" s="95"/>
      <c r="K106" s="45">
        <v>0.40490300000000001</v>
      </c>
      <c r="L106" s="45">
        <v>0.37499199999999999</v>
      </c>
      <c r="M106" s="45">
        <v>0.41084199999999998</v>
      </c>
      <c r="N106" s="45">
        <v>0.43920599999999999</v>
      </c>
      <c r="O106" s="45">
        <v>0.32631399999999999</v>
      </c>
      <c r="P106" s="45">
        <v>0.30858400000000002</v>
      </c>
    </row>
    <row r="107" spans="1:16" ht="13" x14ac:dyDescent="0.3">
      <c r="A107" s="4">
        <v>72888</v>
      </c>
      <c r="B107" s="4" t="s">
        <v>772</v>
      </c>
      <c r="C107" s="4">
        <v>185060</v>
      </c>
      <c r="D107" s="4" t="s">
        <v>772</v>
      </c>
      <c r="E107" s="3" t="s">
        <v>1483</v>
      </c>
      <c r="F107" s="3"/>
      <c r="G107" s="4" t="s">
        <v>1484</v>
      </c>
      <c r="H107" s="3"/>
      <c r="I107" s="16"/>
      <c r="J107" s="9"/>
      <c r="K107" s="45">
        <v>0.14820900000000001</v>
      </c>
      <c r="L107" s="45">
        <v>0</v>
      </c>
      <c r="M107" s="45">
        <v>0</v>
      </c>
      <c r="N107" s="45">
        <v>0</v>
      </c>
      <c r="O107" s="45">
        <v>0</v>
      </c>
      <c r="P107" s="45">
        <v>0</v>
      </c>
    </row>
    <row r="108" spans="1:16" ht="13" x14ac:dyDescent="0.3">
      <c r="A108" s="4">
        <v>68108</v>
      </c>
      <c r="B108" s="4" t="s">
        <v>772</v>
      </c>
      <c r="C108" s="4">
        <v>225878</v>
      </c>
      <c r="D108" s="4" t="s">
        <v>772</v>
      </c>
      <c r="E108" s="3" t="s">
        <v>1497</v>
      </c>
      <c r="F108" s="3"/>
      <c r="G108" s="4"/>
      <c r="H108" s="3"/>
      <c r="I108" s="16"/>
      <c r="J108" s="9"/>
      <c r="K108" s="45">
        <v>0.202541</v>
      </c>
      <c r="L108" s="45">
        <v>0.23596600000000001</v>
      </c>
      <c r="M108" s="45">
        <v>0.23322799999999999</v>
      </c>
      <c r="N108" s="45">
        <v>0.23857</v>
      </c>
      <c r="O108" s="45">
        <v>0.25546200000000002</v>
      </c>
      <c r="P108" s="45">
        <v>0.30455700000000002</v>
      </c>
    </row>
    <row r="109" spans="1:16" ht="13" x14ac:dyDescent="0.3">
      <c r="A109" s="100">
        <v>74515</v>
      </c>
      <c r="B109" s="100" t="s">
        <v>772</v>
      </c>
      <c r="C109" s="100">
        <v>231959</v>
      </c>
      <c r="D109" s="100" t="s">
        <v>772</v>
      </c>
      <c r="E109" s="101" t="s">
        <v>1481</v>
      </c>
      <c r="F109" s="101"/>
      <c r="G109" s="101"/>
      <c r="H109" s="100" t="s">
        <v>772</v>
      </c>
      <c r="I109" s="102"/>
      <c r="J109" s="103"/>
      <c r="K109" s="104">
        <v>0.20810300000000001</v>
      </c>
      <c r="L109" s="104">
        <v>0.203102</v>
      </c>
      <c r="M109" s="104">
        <v>0.242788</v>
      </c>
      <c r="N109" s="104">
        <v>0.31181199999999998</v>
      </c>
      <c r="O109" s="104">
        <v>0.27760200000000002</v>
      </c>
      <c r="P109" s="104">
        <v>0.304205</v>
      </c>
    </row>
    <row r="110" spans="1:16" x14ac:dyDescent="0.25">
      <c r="A110" s="2">
        <v>100146</v>
      </c>
      <c r="B110" s="2" t="s">
        <v>772</v>
      </c>
      <c r="C110" s="2">
        <v>268636</v>
      </c>
      <c r="D110" s="2" t="s">
        <v>772</v>
      </c>
      <c r="E110" t="s">
        <v>1503</v>
      </c>
      <c r="H110" s="2"/>
      <c r="I110" s="15"/>
      <c r="J110" s="1"/>
      <c r="K110" s="14">
        <v>0.15398300000000001</v>
      </c>
      <c r="L110" s="14">
        <v>0.15457599999999999</v>
      </c>
      <c r="M110" s="14">
        <v>0.19192600000000001</v>
      </c>
      <c r="N110" s="14">
        <v>0.22880500000000001</v>
      </c>
      <c r="O110" s="14">
        <v>0.18363199999999999</v>
      </c>
      <c r="P110" s="14">
        <v>0.22647600000000001</v>
      </c>
    </row>
    <row r="111" spans="1:16" x14ac:dyDescent="0.25">
      <c r="A111" s="2">
        <v>130071</v>
      </c>
      <c r="B111" s="2" t="s">
        <v>772</v>
      </c>
      <c r="C111" s="2">
        <v>316390</v>
      </c>
      <c r="D111" s="2" t="s">
        <v>772</v>
      </c>
      <c r="E111" t="s">
        <v>1504</v>
      </c>
      <c r="H111" s="2"/>
      <c r="I111" s="15"/>
      <c r="J111" s="1"/>
      <c r="K111" s="14">
        <v>0.129329</v>
      </c>
      <c r="L111" s="14">
        <v>0.151339</v>
      </c>
      <c r="M111" s="14">
        <v>0.165882</v>
      </c>
      <c r="N111" s="14">
        <v>0.17962800000000001</v>
      </c>
      <c r="O111" s="14">
        <v>0.14754200000000001</v>
      </c>
      <c r="P111" s="14">
        <v>0.184531</v>
      </c>
    </row>
    <row r="112" spans="1:16" x14ac:dyDescent="0.25">
      <c r="A112" s="2">
        <v>803743</v>
      </c>
      <c r="B112" s="2" t="s">
        <v>772</v>
      </c>
      <c r="C112" s="2">
        <v>840002</v>
      </c>
      <c r="D112" s="2" t="s">
        <v>772</v>
      </c>
      <c r="E112" t="s">
        <v>1507</v>
      </c>
      <c r="H112" s="2"/>
      <c r="I112" s="15"/>
      <c r="J112" s="1"/>
      <c r="K112" s="14">
        <v>3.0166999999999999E-2</v>
      </c>
      <c r="L112" s="14">
        <v>2.3206999999999998E-2</v>
      </c>
      <c r="M112" s="14">
        <v>2.8143999999999999E-2</v>
      </c>
      <c r="N112" s="14">
        <v>2.3501000000000001E-2</v>
      </c>
      <c r="O112" s="14">
        <v>1.6993999999999999E-2</v>
      </c>
      <c r="P112" s="14">
        <v>1.5486E-2</v>
      </c>
    </row>
    <row r="113" spans="1:16" ht="13" x14ac:dyDescent="0.3">
      <c r="A113" s="9" t="s">
        <v>772</v>
      </c>
      <c r="B113" s="4" t="s">
        <v>772</v>
      </c>
      <c r="C113" s="4">
        <v>9953118</v>
      </c>
      <c r="D113" s="4" t="s">
        <v>772</v>
      </c>
      <c r="E113" s="3" t="s">
        <v>1502</v>
      </c>
      <c r="F113" s="3"/>
      <c r="G113" s="3"/>
      <c r="H113" s="3"/>
      <c r="I113" s="3"/>
      <c r="J113" s="3"/>
      <c r="K113" s="45">
        <v>1.132E-3</v>
      </c>
      <c r="L113" s="45">
        <v>9.4499999999999998E-4</v>
      </c>
      <c r="M113" s="45">
        <v>1.7619999999999999E-3</v>
      </c>
      <c r="N113" s="45">
        <v>9.990000000000001E-4</v>
      </c>
      <c r="O113" s="45">
        <v>8.2799999999999996E-4</v>
      </c>
      <c r="P113" s="45">
        <v>2.1440000000000001E-3</v>
      </c>
    </row>
  </sheetData>
  <mergeCells count="1">
    <mergeCell ref="AB1:AC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5614-4153-B149-8C91-0A3FDEC11024}">
  <dimension ref="A1:Z222"/>
  <sheetViews>
    <sheetView topLeftCell="A41" zoomScale="104" workbookViewId="0">
      <selection activeCell="A60" sqref="A60"/>
    </sheetView>
  </sheetViews>
  <sheetFormatPr defaultColWidth="11.453125" defaultRowHeight="12.5" x14ac:dyDescent="0.25"/>
  <cols>
    <col min="5" max="5" width="12.7265625" customWidth="1"/>
    <col min="14" max="14" width="10.81640625" style="8"/>
  </cols>
  <sheetData>
    <row r="1" spans="1:26" x14ac:dyDescent="0.25">
      <c r="E1" s="8"/>
    </row>
    <row r="2" spans="1:26" x14ac:dyDescent="0.25">
      <c r="A2" s="24">
        <v>1</v>
      </c>
      <c r="B2" s="24"/>
      <c r="C2" s="24">
        <v>1</v>
      </c>
      <c r="D2" s="25" t="s">
        <v>19</v>
      </c>
      <c r="E2" s="29">
        <v>824094</v>
      </c>
      <c r="F2" s="25" t="s">
        <v>0</v>
      </c>
      <c r="G2" s="26">
        <v>1000000</v>
      </c>
      <c r="H2" s="26">
        <v>71600</v>
      </c>
      <c r="I2" s="27">
        <v>2818</v>
      </c>
      <c r="J2" s="27">
        <v>1257</v>
      </c>
      <c r="K2" s="26"/>
      <c r="L2" s="24" t="s">
        <v>14</v>
      </c>
      <c r="M2" s="24" t="s">
        <v>16</v>
      </c>
      <c r="N2" s="26">
        <v>77990</v>
      </c>
      <c r="O2" s="24"/>
      <c r="P2" s="25"/>
      <c r="Q2" s="28">
        <v>0.44027777777777777</v>
      </c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25">
      <c r="A3" s="24">
        <v>2</v>
      </c>
      <c r="B3" s="24"/>
      <c r="C3" s="24">
        <f>C2+1</f>
        <v>2</v>
      </c>
      <c r="D3" s="25" t="s">
        <v>20</v>
      </c>
      <c r="E3" s="29">
        <v>626584</v>
      </c>
      <c r="F3" s="25" t="s">
        <v>0</v>
      </c>
      <c r="G3" s="26">
        <v>1000000</v>
      </c>
      <c r="H3" s="26">
        <v>30210</v>
      </c>
      <c r="I3" s="27">
        <v>1079</v>
      </c>
      <c r="J3" s="27">
        <v>423.1</v>
      </c>
      <c r="K3" s="26"/>
      <c r="L3" s="24" t="s">
        <v>13</v>
      </c>
      <c r="M3" s="24" t="s">
        <v>16</v>
      </c>
      <c r="N3" s="26">
        <v>30740</v>
      </c>
      <c r="O3" s="24"/>
      <c r="P3" s="25"/>
      <c r="Q3" s="28">
        <v>0.84930555555555554</v>
      </c>
      <c r="R3" s="25" t="s">
        <v>157</v>
      </c>
      <c r="S3" s="25"/>
      <c r="T3" s="25"/>
      <c r="U3" s="25"/>
      <c r="V3" s="25"/>
      <c r="W3" s="25"/>
      <c r="X3" s="25"/>
      <c r="Y3" s="25"/>
      <c r="Z3" s="25"/>
    </row>
    <row r="4" spans="1:26" x14ac:dyDescent="0.25">
      <c r="A4" s="24">
        <v>3</v>
      </c>
      <c r="B4" s="24"/>
      <c r="C4" s="24">
        <f t="shared" ref="C4:C51" si="0">C3+1</f>
        <v>3</v>
      </c>
      <c r="D4" s="25" t="s">
        <v>21</v>
      </c>
      <c r="E4" s="29">
        <v>167581</v>
      </c>
      <c r="F4" s="25" t="s">
        <v>1</v>
      </c>
      <c r="G4" s="26">
        <v>500000</v>
      </c>
      <c r="H4" s="26">
        <v>15740</v>
      </c>
      <c r="I4" s="27">
        <v>562.1</v>
      </c>
      <c r="J4" s="27">
        <v>277.60000000000002</v>
      </c>
      <c r="K4" s="26"/>
      <c r="L4" s="24" t="s">
        <v>11</v>
      </c>
      <c r="M4" s="24" t="s">
        <v>16</v>
      </c>
      <c r="N4" s="26">
        <v>15760</v>
      </c>
      <c r="O4" s="24"/>
      <c r="P4" s="25"/>
      <c r="Q4" s="28">
        <v>0.44305555555555554</v>
      </c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24">
        <v>6</v>
      </c>
      <c r="B5" s="24"/>
      <c r="C5" s="24">
        <f t="shared" si="0"/>
        <v>4</v>
      </c>
      <c r="D5" s="25" t="s">
        <v>24</v>
      </c>
      <c r="E5" s="29">
        <v>64768</v>
      </c>
      <c r="F5" s="25" t="s">
        <v>4</v>
      </c>
      <c r="G5" s="26">
        <v>20000</v>
      </c>
      <c r="H5" s="26">
        <v>5910</v>
      </c>
      <c r="I5" s="27">
        <v>211</v>
      </c>
      <c r="J5" s="27">
        <v>113.1</v>
      </c>
      <c r="K5" s="26"/>
      <c r="L5" s="24" t="s">
        <v>12</v>
      </c>
      <c r="M5" s="24" t="s">
        <v>16</v>
      </c>
      <c r="N5" s="26">
        <v>5997</v>
      </c>
      <c r="O5" s="24"/>
      <c r="P5" s="25"/>
      <c r="Q5" s="28">
        <v>0.45</v>
      </c>
      <c r="R5" s="25"/>
      <c r="S5" s="25"/>
      <c r="T5" s="25"/>
      <c r="U5" s="25"/>
      <c r="V5" s="25"/>
      <c r="W5" s="25"/>
      <c r="X5" s="25"/>
      <c r="Y5" s="25"/>
      <c r="Z5" s="25"/>
    </row>
    <row r="6" spans="1:26" ht="13" x14ac:dyDescent="0.3">
      <c r="A6" s="24">
        <v>97</v>
      </c>
      <c r="B6" s="24"/>
      <c r="C6" s="24">
        <f t="shared" si="0"/>
        <v>5</v>
      </c>
      <c r="D6" s="25" t="s">
        <v>122</v>
      </c>
      <c r="E6" s="29">
        <v>50997</v>
      </c>
      <c r="F6" s="25" t="s">
        <v>1</v>
      </c>
      <c r="G6" s="26">
        <v>600000</v>
      </c>
      <c r="H6" s="26"/>
      <c r="I6" s="27"/>
      <c r="J6" s="32"/>
      <c r="K6" s="26"/>
      <c r="L6" s="24"/>
      <c r="M6" s="24"/>
      <c r="N6" s="26">
        <v>2715</v>
      </c>
      <c r="O6" s="24"/>
      <c r="P6" s="25"/>
      <c r="Q6" s="28">
        <v>0.78263888888888899</v>
      </c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25">
      <c r="A7" s="24">
        <v>7</v>
      </c>
      <c r="B7" s="24"/>
      <c r="C7" s="24">
        <f t="shared" si="0"/>
        <v>6</v>
      </c>
      <c r="D7" s="25" t="s">
        <v>25</v>
      </c>
      <c r="E7" s="29">
        <v>50970</v>
      </c>
      <c r="F7" s="25" t="s">
        <v>1</v>
      </c>
      <c r="G7" s="26">
        <v>500000</v>
      </c>
      <c r="H7" s="26">
        <v>5884</v>
      </c>
      <c r="I7" s="27">
        <v>210.1</v>
      </c>
      <c r="J7" s="27">
        <v>121.4</v>
      </c>
      <c r="K7" s="26"/>
      <c r="L7" s="24"/>
      <c r="M7" s="24" t="s">
        <v>16</v>
      </c>
      <c r="N7" s="26">
        <v>6141</v>
      </c>
      <c r="O7" s="24"/>
      <c r="P7" s="25"/>
      <c r="Q7" s="28">
        <v>0.34583333333333338</v>
      </c>
      <c r="R7" s="25"/>
      <c r="S7" s="25"/>
      <c r="T7" s="25"/>
      <c r="U7" s="25"/>
      <c r="V7" s="25"/>
      <c r="W7" s="25"/>
      <c r="X7" s="25"/>
      <c r="Y7" s="25"/>
      <c r="Z7" s="25"/>
    </row>
    <row r="8" spans="1:26" ht="13" x14ac:dyDescent="0.3">
      <c r="A8" s="24">
        <v>5</v>
      </c>
      <c r="B8" s="24"/>
      <c r="C8" s="24">
        <f t="shared" si="0"/>
        <v>7</v>
      </c>
      <c r="D8" s="30" t="s">
        <v>23</v>
      </c>
      <c r="E8" s="29">
        <v>28240</v>
      </c>
      <c r="F8" s="30" t="s">
        <v>722</v>
      </c>
      <c r="G8" s="31">
        <v>4400</v>
      </c>
      <c r="H8" s="31">
        <v>2989</v>
      </c>
      <c r="I8" s="32">
        <v>106.7</v>
      </c>
      <c r="J8" s="27">
        <v>56.75</v>
      </c>
      <c r="K8" s="26"/>
      <c r="L8" s="24"/>
      <c r="M8" s="24" t="s">
        <v>16</v>
      </c>
      <c r="N8" s="26">
        <v>3203</v>
      </c>
      <c r="O8" s="24"/>
      <c r="P8" s="25"/>
      <c r="Q8" s="28">
        <v>0.36736111111111108</v>
      </c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25">
      <c r="A9" s="24">
        <v>4</v>
      </c>
      <c r="B9" s="24"/>
      <c r="C9" s="24">
        <f t="shared" si="0"/>
        <v>8</v>
      </c>
      <c r="D9" s="25" t="s">
        <v>22</v>
      </c>
      <c r="E9" s="29">
        <v>17578</v>
      </c>
      <c r="F9" s="25" t="s">
        <v>2</v>
      </c>
      <c r="G9" s="26">
        <v>1000000</v>
      </c>
      <c r="H9" s="26">
        <v>2096</v>
      </c>
      <c r="I9" s="27">
        <v>74.86</v>
      </c>
      <c r="J9" s="27">
        <v>50.16</v>
      </c>
      <c r="K9" s="26"/>
      <c r="L9" s="24"/>
      <c r="M9" s="24"/>
      <c r="N9" s="26">
        <v>2318</v>
      </c>
      <c r="O9" s="24"/>
      <c r="P9" s="25"/>
      <c r="Q9" s="28">
        <v>0.31597222222222221</v>
      </c>
      <c r="R9" s="25"/>
      <c r="S9" s="25"/>
      <c r="T9" s="25"/>
      <c r="U9" s="25"/>
      <c r="V9" s="25"/>
      <c r="W9" s="25"/>
      <c r="X9" s="25"/>
      <c r="Y9" s="25"/>
      <c r="Z9" s="25"/>
    </row>
    <row r="10" spans="1:26" ht="13" x14ac:dyDescent="0.3">
      <c r="A10" s="24">
        <v>8</v>
      </c>
      <c r="B10" s="24"/>
      <c r="C10" s="24">
        <f t="shared" si="0"/>
        <v>9</v>
      </c>
      <c r="D10" s="25" t="s">
        <v>26</v>
      </c>
      <c r="E10" s="29">
        <v>15552</v>
      </c>
      <c r="F10" s="33" t="s">
        <v>5</v>
      </c>
      <c r="G10" s="34">
        <v>0</v>
      </c>
      <c r="H10" s="34">
        <v>4214</v>
      </c>
      <c r="I10" s="35">
        <v>150.5</v>
      </c>
      <c r="J10" s="35">
        <v>110.2</v>
      </c>
      <c r="K10" s="34">
        <v>320</v>
      </c>
      <c r="L10" s="36" t="s">
        <v>11</v>
      </c>
      <c r="M10" s="36" t="s">
        <v>11</v>
      </c>
      <c r="N10" s="34">
        <v>4022</v>
      </c>
      <c r="O10" s="36"/>
      <c r="P10" s="25"/>
      <c r="Q10" s="28">
        <v>0.16111111111111112</v>
      </c>
      <c r="R10" s="25"/>
      <c r="S10" s="25"/>
      <c r="T10" s="25"/>
      <c r="U10" s="25"/>
      <c r="V10" s="25"/>
      <c r="W10" s="37" t="s">
        <v>567</v>
      </c>
      <c r="X10" s="25"/>
      <c r="Y10" s="25"/>
      <c r="Z10" s="25"/>
    </row>
    <row r="11" spans="1:26" x14ac:dyDescent="0.25">
      <c r="A11" s="24">
        <v>18</v>
      </c>
      <c r="B11" s="24"/>
      <c r="C11" s="24">
        <f t="shared" si="0"/>
        <v>10</v>
      </c>
      <c r="D11" s="25" t="s">
        <v>39</v>
      </c>
      <c r="E11" s="29">
        <v>14891</v>
      </c>
      <c r="F11" s="25" t="s">
        <v>7</v>
      </c>
      <c r="G11" s="26">
        <v>2000000</v>
      </c>
      <c r="H11" s="26">
        <v>1863</v>
      </c>
      <c r="I11" s="27">
        <v>66.55</v>
      </c>
      <c r="J11" s="27">
        <v>35.92</v>
      </c>
      <c r="K11" s="26"/>
      <c r="L11" s="24"/>
      <c r="M11" s="24"/>
      <c r="N11" s="26">
        <v>1846</v>
      </c>
      <c r="O11" s="24"/>
      <c r="P11" s="25"/>
      <c r="Q11" s="28">
        <v>0.33611111111111108</v>
      </c>
      <c r="R11" s="25"/>
      <c r="S11" s="25"/>
      <c r="T11" s="25"/>
      <c r="U11" s="25"/>
      <c r="V11" s="25"/>
      <c r="W11" s="38">
        <v>39</v>
      </c>
      <c r="X11" s="25" t="s">
        <v>61</v>
      </c>
      <c r="Y11" s="25" t="s">
        <v>7</v>
      </c>
      <c r="Z11" s="26"/>
    </row>
    <row r="12" spans="1:26" x14ac:dyDescent="0.25">
      <c r="A12" s="24">
        <v>9</v>
      </c>
      <c r="B12" s="24"/>
      <c r="C12" s="24">
        <f t="shared" si="0"/>
        <v>11</v>
      </c>
      <c r="D12" s="25" t="s">
        <v>27</v>
      </c>
      <c r="E12" s="29">
        <v>13669</v>
      </c>
      <c r="F12" s="25" t="s">
        <v>6</v>
      </c>
      <c r="G12" s="26">
        <v>15000</v>
      </c>
      <c r="H12" s="26">
        <v>1555</v>
      </c>
      <c r="I12" s="27">
        <v>55.53</v>
      </c>
      <c r="J12" s="27">
        <v>29.72</v>
      </c>
      <c r="K12" s="26"/>
      <c r="L12" s="24"/>
      <c r="M12" s="24" t="s">
        <v>16</v>
      </c>
      <c r="N12" s="26">
        <v>1605</v>
      </c>
      <c r="O12" s="24"/>
      <c r="P12" s="25"/>
      <c r="Q12" s="28">
        <v>0.35486111111111113</v>
      </c>
      <c r="R12" s="25"/>
      <c r="S12" s="25"/>
      <c r="T12" s="25"/>
      <c r="U12" s="24">
        <v>1600</v>
      </c>
      <c r="V12" s="25"/>
      <c r="W12" s="25" t="s">
        <v>196</v>
      </c>
      <c r="X12" s="25" t="s">
        <v>0</v>
      </c>
      <c r="Y12" s="25"/>
      <c r="Z12" s="25"/>
    </row>
    <row r="13" spans="1:26" x14ac:dyDescent="0.25">
      <c r="A13" s="24">
        <v>11</v>
      </c>
      <c r="B13" s="24"/>
      <c r="C13" s="24">
        <f t="shared" si="0"/>
        <v>12</v>
      </c>
      <c r="D13" s="25" t="s">
        <v>31</v>
      </c>
      <c r="E13" s="29">
        <v>12070</v>
      </c>
      <c r="F13" s="25" t="s">
        <v>7</v>
      </c>
      <c r="G13" s="26">
        <v>2000000</v>
      </c>
      <c r="H13" s="26">
        <v>1338</v>
      </c>
      <c r="I13" s="27">
        <v>47.78</v>
      </c>
      <c r="J13" s="27">
        <v>22.4</v>
      </c>
      <c r="K13" s="26"/>
      <c r="L13" s="24" t="s">
        <v>18</v>
      </c>
      <c r="M13" s="24" t="s">
        <v>11</v>
      </c>
      <c r="N13" s="26">
        <v>1201</v>
      </c>
      <c r="O13" s="24"/>
      <c r="P13" s="25"/>
      <c r="Q13" s="28">
        <v>0.41875000000000001</v>
      </c>
      <c r="R13" s="25"/>
      <c r="S13" s="25"/>
      <c r="T13" s="25"/>
      <c r="U13" s="25"/>
      <c r="V13" s="25"/>
      <c r="W13" s="25" t="s">
        <v>403</v>
      </c>
      <c r="X13" s="25" t="s">
        <v>0</v>
      </c>
      <c r="Y13" s="25"/>
      <c r="Z13" s="25"/>
    </row>
    <row r="14" spans="1:26" x14ac:dyDescent="0.25">
      <c r="A14" s="24">
        <v>13</v>
      </c>
      <c r="B14" s="24"/>
      <c r="C14" s="24">
        <f t="shared" si="0"/>
        <v>13</v>
      </c>
      <c r="D14" s="25" t="s">
        <v>34</v>
      </c>
      <c r="E14" s="29">
        <v>11775</v>
      </c>
      <c r="F14" s="25" t="s">
        <v>7</v>
      </c>
      <c r="G14" s="26">
        <v>2000000</v>
      </c>
      <c r="H14" s="26">
        <v>1514</v>
      </c>
      <c r="I14" s="27">
        <v>54.08</v>
      </c>
      <c r="J14" s="27">
        <v>31.73</v>
      </c>
      <c r="K14" s="26"/>
      <c r="L14" s="24" t="s">
        <v>735</v>
      </c>
      <c r="M14" s="24" t="s">
        <v>16</v>
      </c>
      <c r="N14" s="26">
        <v>1570</v>
      </c>
      <c r="O14" s="24"/>
      <c r="P14" s="25"/>
      <c r="Q14" s="28">
        <v>0.3125</v>
      </c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25">
      <c r="A15" s="24">
        <v>31</v>
      </c>
      <c r="B15" s="24"/>
      <c r="C15" s="24">
        <f t="shared" si="0"/>
        <v>14</v>
      </c>
      <c r="D15" s="25" t="s">
        <v>52</v>
      </c>
      <c r="E15" s="29">
        <v>10954</v>
      </c>
      <c r="F15" s="25" t="s">
        <v>521</v>
      </c>
      <c r="G15" s="26">
        <v>24420</v>
      </c>
      <c r="H15" s="26">
        <v>716</v>
      </c>
      <c r="I15" s="27">
        <v>25.57</v>
      </c>
      <c r="J15" s="27">
        <v>9.7479999999999993</v>
      </c>
      <c r="K15" s="26"/>
      <c r="L15" s="24"/>
      <c r="M15" s="24"/>
      <c r="N15" s="26">
        <v>801.5</v>
      </c>
      <c r="O15" s="24"/>
      <c r="P15" s="25"/>
      <c r="Q15" s="28">
        <v>0.56944444444444442</v>
      </c>
      <c r="R15" s="25"/>
      <c r="S15" s="25"/>
      <c r="T15" s="25"/>
      <c r="U15" s="25"/>
      <c r="V15" s="25"/>
      <c r="W15" s="25"/>
      <c r="X15" s="25"/>
      <c r="Y15" s="25"/>
      <c r="Z15" s="25"/>
    </row>
    <row r="16" spans="1:26" x14ac:dyDescent="0.25">
      <c r="A16" s="24">
        <v>38</v>
      </c>
      <c r="B16" s="24"/>
      <c r="C16" s="24">
        <f t="shared" si="0"/>
        <v>15</v>
      </c>
      <c r="D16" s="25" t="s">
        <v>60</v>
      </c>
      <c r="E16" s="29">
        <v>9102</v>
      </c>
      <c r="F16" s="25" t="s">
        <v>2</v>
      </c>
      <c r="G16" s="26">
        <v>1000000</v>
      </c>
      <c r="H16" s="26">
        <v>1071</v>
      </c>
      <c r="I16" s="27">
        <v>35</v>
      </c>
      <c r="J16" s="27">
        <v>12.88</v>
      </c>
      <c r="K16" s="26"/>
      <c r="L16" s="24"/>
      <c r="M16" s="24"/>
      <c r="N16" s="26">
        <v>1002</v>
      </c>
      <c r="O16" s="24"/>
      <c r="P16" s="25"/>
      <c r="Q16" s="28">
        <v>0.37847222222222227</v>
      </c>
      <c r="R16" s="25"/>
      <c r="S16" s="25"/>
      <c r="T16" s="25"/>
      <c r="U16" s="25"/>
      <c r="V16" s="25"/>
      <c r="W16" s="25" t="s">
        <v>28</v>
      </c>
      <c r="X16" s="25" t="s">
        <v>6</v>
      </c>
      <c r="Y16" s="26">
        <v>1000</v>
      </c>
      <c r="Z16" s="25"/>
    </row>
    <row r="17" spans="1:26" x14ac:dyDescent="0.25">
      <c r="A17" s="24">
        <v>23</v>
      </c>
      <c r="B17" s="24"/>
      <c r="C17" s="24">
        <f t="shared" si="0"/>
        <v>16</v>
      </c>
      <c r="D17" s="25" t="s">
        <v>44</v>
      </c>
      <c r="E17" s="29">
        <v>7668</v>
      </c>
      <c r="F17" s="25" t="s">
        <v>519</v>
      </c>
      <c r="G17" s="26">
        <v>152910</v>
      </c>
      <c r="H17" s="26">
        <v>1291</v>
      </c>
      <c r="I17" s="27">
        <v>46.11</v>
      </c>
      <c r="J17" s="27">
        <v>24.61</v>
      </c>
      <c r="K17" s="26"/>
      <c r="L17" s="24"/>
      <c r="M17" s="24"/>
      <c r="N17" s="26">
        <v>1390</v>
      </c>
      <c r="O17" s="24"/>
      <c r="P17" s="25"/>
      <c r="Q17" s="28">
        <v>0.2298611111111111</v>
      </c>
      <c r="R17" s="25"/>
      <c r="S17" s="25"/>
      <c r="T17" s="25"/>
      <c r="U17" s="25"/>
      <c r="V17" s="25"/>
      <c r="W17" s="25"/>
      <c r="X17" s="25"/>
      <c r="Y17" s="25"/>
      <c r="Z17" s="25"/>
    </row>
    <row r="18" spans="1:26" x14ac:dyDescent="0.25">
      <c r="A18" s="24">
        <v>25</v>
      </c>
      <c r="B18" s="24"/>
      <c r="C18" s="24">
        <f t="shared" si="0"/>
        <v>17</v>
      </c>
      <c r="D18" s="25" t="s">
        <v>46</v>
      </c>
      <c r="E18" s="29">
        <v>7658</v>
      </c>
      <c r="F18" s="25" t="s">
        <v>6</v>
      </c>
      <c r="G18" s="26">
        <v>180000</v>
      </c>
      <c r="H18" s="26">
        <v>1898</v>
      </c>
      <c r="I18" s="27">
        <v>67.81</v>
      </c>
      <c r="J18" s="27">
        <v>52.79</v>
      </c>
      <c r="K18" s="26"/>
      <c r="L18" s="24"/>
      <c r="M18" s="24"/>
      <c r="N18" s="26">
        <v>2042</v>
      </c>
      <c r="O18" s="24"/>
      <c r="P18" s="25"/>
      <c r="Q18" s="28">
        <v>0.15625</v>
      </c>
      <c r="R18" s="25"/>
      <c r="S18" s="25"/>
      <c r="T18" s="25"/>
      <c r="U18" s="25"/>
      <c r="V18" s="25"/>
      <c r="W18" s="25"/>
      <c r="X18" s="25"/>
      <c r="Y18" s="25"/>
      <c r="Z18" s="25"/>
    </row>
    <row r="19" spans="1:26" x14ac:dyDescent="0.25">
      <c r="A19" s="24">
        <v>20</v>
      </c>
      <c r="B19" s="24"/>
      <c r="C19" s="24">
        <f t="shared" si="0"/>
        <v>18</v>
      </c>
      <c r="D19" s="25" t="s">
        <v>41</v>
      </c>
      <c r="E19" s="29">
        <v>7300</v>
      </c>
      <c r="F19" s="25" t="s">
        <v>7</v>
      </c>
      <c r="G19" s="26">
        <v>2000000</v>
      </c>
      <c r="H19" s="26">
        <v>1155</v>
      </c>
      <c r="I19" s="27">
        <v>41.27</v>
      </c>
      <c r="J19" s="27">
        <v>22.19</v>
      </c>
      <c r="K19" s="26"/>
      <c r="L19" s="24"/>
      <c r="M19" s="24" t="s">
        <v>16</v>
      </c>
      <c r="N19" s="26">
        <v>1095</v>
      </c>
      <c r="O19" s="24"/>
      <c r="P19" s="25"/>
      <c r="Q19" s="28">
        <v>0.27777777777777779</v>
      </c>
      <c r="R19" s="25"/>
      <c r="S19" s="25"/>
      <c r="T19" s="25"/>
      <c r="U19" s="25"/>
      <c r="V19" s="25"/>
      <c r="W19" s="25"/>
      <c r="X19" s="25" t="s">
        <v>258</v>
      </c>
      <c r="Y19" s="25"/>
      <c r="Z19" s="25"/>
    </row>
    <row r="20" spans="1:26" x14ac:dyDescent="0.25">
      <c r="A20" s="24">
        <v>10</v>
      </c>
      <c r="B20" s="24"/>
      <c r="C20" s="24">
        <f t="shared" si="0"/>
        <v>19</v>
      </c>
      <c r="D20" s="25" t="s">
        <v>29</v>
      </c>
      <c r="E20" s="29">
        <v>7261</v>
      </c>
      <c r="F20" s="25" t="s">
        <v>6</v>
      </c>
      <c r="G20" s="26">
        <v>8000</v>
      </c>
      <c r="H20" s="26">
        <v>1025</v>
      </c>
      <c r="I20" s="27">
        <v>36.630000000000003</v>
      </c>
      <c r="J20" s="27">
        <v>21.86</v>
      </c>
      <c r="K20" s="26"/>
      <c r="L20" s="24" t="s">
        <v>17</v>
      </c>
      <c r="M20" s="24" t="s">
        <v>11</v>
      </c>
      <c r="N20" s="26">
        <v>1073</v>
      </c>
      <c r="O20" s="24"/>
      <c r="P20" s="25"/>
      <c r="Q20" s="28">
        <v>0.28194444444444444</v>
      </c>
      <c r="R20" s="25"/>
      <c r="S20" s="25"/>
      <c r="T20" s="25"/>
      <c r="U20" s="24">
        <v>2800</v>
      </c>
      <c r="V20" s="25"/>
      <c r="W20" s="25" t="s">
        <v>345</v>
      </c>
      <c r="X20" s="25" t="s">
        <v>0</v>
      </c>
      <c r="Y20" s="25"/>
      <c r="Z20" s="25"/>
    </row>
    <row r="21" spans="1:26" x14ac:dyDescent="0.25">
      <c r="A21" s="24">
        <v>19</v>
      </c>
      <c r="B21" s="24"/>
      <c r="C21" s="24">
        <f t="shared" si="0"/>
        <v>20</v>
      </c>
      <c r="D21" s="25" t="s">
        <v>40</v>
      </c>
      <c r="E21" s="29">
        <v>6485</v>
      </c>
      <c r="F21" s="25" t="s">
        <v>6</v>
      </c>
      <c r="G21" s="26">
        <v>500</v>
      </c>
      <c r="H21" s="26">
        <v>744</v>
      </c>
      <c r="I21" s="27">
        <v>26.58</v>
      </c>
      <c r="J21" s="27">
        <v>11.74</v>
      </c>
      <c r="K21" s="26"/>
      <c r="L21" s="24" t="s">
        <v>11</v>
      </c>
      <c r="M21" s="24"/>
      <c r="N21" s="26">
        <v>747</v>
      </c>
      <c r="O21" s="24"/>
      <c r="P21" s="25"/>
      <c r="Q21" s="28">
        <v>0.36180555555555555</v>
      </c>
      <c r="R21" s="25"/>
      <c r="S21" s="25"/>
      <c r="T21" s="25"/>
      <c r="U21" s="25"/>
      <c r="V21" s="25"/>
      <c r="W21" s="38">
        <v>67</v>
      </c>
      <c r="X21" s="25" t="s">
        <v>92</v>
      </c>
      <c r="Y21" s="25" t="s">
        <v>7</v>
      </c>
      <c r="Z21" s="25"/>
    </row>
    <row r="22" spans="1:26" x14ac:dyDescent="0.25">
      <c r="A22" s="24">
        <v>42</v>
      </c>
      <c r="B22" s="24"/>
      <c r="C22" s="24">
        <f t="shared" si="0"/>
        <v>21</v>
      </c>
      <c r="D22" s="25" t="s">
        <v>65</v>
      </c>
      <c r="E22" s="29">
        <v>6371</v>
      </c>
      <c r="F22" s="25" t="s">
        <v>6</v>
      </c>
      <c r="G22" s="26">
        <v>29000</v>
      </c>
      <c r="H22" s="26">
        <v>1504</v>
      </c>
      <c r="I22" s="27">
        <v>59.85</v>
      </c>
      <c r="J22" s="27">
        <v>35.47</v>
      </c>
      <c r="K22" s="26"/>
      <c r="L22" s="24"/>
      <c r="M22" s="24"/>
      <c r="N22" s="26">
        <v>1448</v>
      </c>
      <c r="O22" s="24"/>
      <c r="P22" s="25"/>
      <c r="Q22" s="28">
        <v>0.18333333333333335</v>
      </c>
      <c r="R22" s="25"/>
      <c r="S22" s="25"/>
      <c r="T22" s="25"/>
      <c r="U22" s="25"/>
      <c r="V22" s="25"/>
      <c r="W22" s="25" t="s">
        <v>58</v>
      </c>
      <c r="X22" s="25" t="s">
        <v>6</v>
      </c>
      <c r="Y22" s="25"/>
      <c r="Z22" s="25"/>
    </row>
    <row r="23" spans="1:26" x14ac:dyDescent="0.25">
      <c r="A23" s="24">
        <v>29</v>
      </c>
      <c r="B23" s="24"/>
      <c r="C23" s="24">
        <f t="shared" si="0"/>
        <v>22</v>
      </c>
      <c r="D23" s="25" t="s">
        <v>50</v>
      </c>
      <c r="E23" s="29">
        <v>5672</v>
      </c>
      <c r="F23" s="25" t="s">
        <v>531</v>
      </c>
      <c r="G23" s="26">
        <v>14720</v>
      </c>
      <c r="H23" s="26">
        <v>917</v>
      </c>
      <c r="I23" s="27">
        <v>32.74</v>
      </c>
      <c r="J23" s="27">
        <v>24.51</v>
      </c>
      <c r="K23" s="26"/>
      <c r="L23" s="24"/>
      <c r="M23" s="24"/>
      <c r="N23" s="26">
        <v>945.3</v>
      </c>
      <c r="O23" s="24"/>
      <c r="P23" s="25"/>
      <c r="Q23" s="28">
        <v>0.25</v>
      </c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3" x14ac:dyDescent="0.3">
      <c r="A24" s="24">
        <v>115</v>
      </c>
      <c r="B24" s="24"/>
      <c r="C24" s="24">
        <f t="shared" si="0"/>
        <v>23</v>
      </c>
      <c r="D24" s="25" t="s">
        <v>141</v>
      </c>
      <c r="E24" s="29">
        <v>5455</v>
      </c>
      <c r="F24" s="25" t="s">
        <v>545</v>
      </c>
      <c r="G24" s="26">
        <v>97170</v>
      </c>
      <c r="H24" s="26"/>
      <c r="I24" s="27"/>
      <c r="J24" s="32"/>
      <c r="K24" s="26"/>
      <c r="L24" s="24"/>
      <c r="M24" s="24"/>
      <c r="N24" s="26">
        <v>618.70000000000005</v>
      </c>
      <c r="O24" s="24"/>
      <c r="P24" s="25"/>
      <c r="Q24" s="28">
        <v>0.36736111111111108</v>
      </c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3" x14ac:dyDescent="0.3">
      <c r="A25" s="24">
        <v>52</v>
      </c>
      <c r="B25" s="24"/>
      <c r="C25" s="24">
        <f t="shared" si="0"/>
        <v>24</v>
      </c>
      <c r="D25" s="25" t="s">
        <v>75</v>
      </c>
      <c r="E25" s="29">
        <v>5301</v>
      </c>
      <c r="F25" s="25"/>
      <c r="G25" s="26"/>
      <c r="H25" s="26"/>
      <c r="I25" s="27"/>
      <c r="J25" s="32"/>
      <c r="K25" s="26"/>
      <c r="L25" s="24"/>
      <c r="M25" s="24"/>
      <c r="N25" s="26">
        <v>328.9</v>
      </c>
      <c r="O25" s="24"/>
      <c r="P25" s="25"/>
      <c r="Q25" s="28">
        <v>0.67152777777777783</v>
      </c>
      <c r="R25" s="25"/>
      <c r="S25" s="25"/>
      <c r="T25" s="25"/>
      <c r="U25" s="25"/>
      <c r="V25" s="25"/>
      <c r="W25" s="25" t="s">
        <v>261</v>
      </c>
      <c r="X25" s="25"/>
      <c r="Y25" s="25"/>
      <c r="Z25" s="25"/>
    </row>
    <row r="26" spans="1:26" ht="13" x14ac:dyDescent="0.3">
      <c r="A26" s="24">
        <v>186</v>
      </c>
      <c r="B26" s="24"/>
      <c r="C26" s="24">
        <f t="shared" si="0"/>
        <v>25</v>
      </c>
      <c r="D26" s="30" t="s">
        <v>217</v>
      </c>
      <c r="E26" s="29">
        <v>5127</v>
      </c>
      <c r="F26" s="25" t="s">
        <v>6</v>
      </c>
      <c r="G26" s="26">
        <v>1000</v>
      </c>
      <c r="H26" s="26">
        <v>187</v>
      </c>
      <c r="I26" s="32">
        <v>8.1509999999999998</v>
      </c>
      <c r="J26" s="42">
        <v>2.8319999999999999</v>
      </c>
      <c r="K26" s="26">
        <v>13</v>
      </c>
      <c r="L26" s="24" t="s">
        <v>11</v>
      </c>
      <c r="M26" s="24" t="s">
        <v>11</v>
      </c>
      <c r="N26" s="26">
        <v>175</v>
      </c>
      <c r="O26" s="43">
        <v>223.9</v>
      </c>
      <c r="P26" s="25">
        <v>228.2</v>
      </c>
      <c r="Q26" s="41">
        <v>1.2222222222222221</v>
      </c>
      <c r="R26" s="25"/>
      <c r="S26" s="25"/>
      <c r="T26" s="25"/>
      <c r="U26" s="25"/>
      <c r="V26" s="25"/>
      <c r="W26" s="25"/>
      <c r="X26" s="25"/>
      <c r="Y26" s="25"/>
      <c r="Z26" s="25"/>
    </row>
    <row r="27" spans="1:26" x14ac:dyDescent="0.25">
      <c r="A27" s="24">
        <v>12</v>
      </c>
      <c r="B27" s="24"/>
      <c r="C27" s="24">
        <f t="shared" si="0"/>
        <v>26</v>
      </c>
      <c r="D27" s="25" t="s">
        <v>32</v>
      </c>
      <c r="E27" s="29">
        <v>4526</v>
      </c>
      <c r="F27" s="25" t="s">
        <v>528</v>
      </c>
      <c r="G27" s="26">
        <v>24440</v>
      </c>
      <c r="H27" s="26">
        <v>630</v>
      </c>
      <c r="I27" s="27">
        <v>22.49</v>
      </c>
      <c r="J27" s="27">
        <v>15.26</v>
      </c>
      <c r="K27" s="26"/>
      <c r="L27" s="24" t="s">
        <v>736</v>
      </c>
      <c r="M27" s="24" t="s">
        <v>16</v>
      </c>
      <c r="N27" s="26">
        <v>658</v>
      </c>
      <c r="O27" s="24"/>
      <c r="P27" s="25"/>
      <c r="Q27" s="28">
        <v>0.28680555555555554</v>
      </c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3" x14ac:dyDescent="0.3">
      <c r="A28" s="24">
        <v>151</v>
      </c>
      <c r="B28" s="24"/>
      <c r="C28" s="24">
        <f t="shared" si="0"/>
        <v>27</v>
      </c>
      <c r="D28" s="25" t="s">
        <v>180</v>
      </c>
      <c r="E28" s="29">
        <v>4202</v>
      </c>
      <c r="F28" s="25" t="s">
        <v>1</v>
      </c>
      <c r="G28" s="26">
        <v>600000</v>
      </c>
      <c r="H28" s="26"/>
      <c r="I28" s="27"/>
      <c r="J28" s="32"/>
      <c r="K28" s="26"/>
      <c r="L28" s="24"/>
      <c r="M28" s="24"/>
      <c r="N28" s="26">
        <v>299.10000000000002</v>
      </c>
      <c r="O28" s="24"/>
      <c r="P28" s="25"/>
      <c r="Q28" s="28">
        <v>0.5854166666666667</v>
      </c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3" x14ac:dyDescent="0.3">
      <c r="A29" s="24">
        <v>114</v>
      </c>
      <c r="B29" s="24"/>
      <c r="C29" s="24">
        <f t="shared" si="0"/>
        <v>28</v>
      </c>
      <c r="D29" s="25" t="s">
        <v>139</v>
      </c>
      <c r="E29" s="29">
        <v>4048</v>
      </c>
      <c r="F29" s="25" t="s">
        <v>6</v>
      </c>
      <c r="G29" s="26">
        <v>19000</v>
      </c>
      <c r="H29" s="26"/>
      <c r="I29" s="27"/>
      <c r="J29" s="32"/>
      <c r="K29" s="26"/>
      <c r="L29" s="24"/>
      <c r="M29" s="24"/>
      <c r="N29" s="26">
        <v>392.4</v>
      </c>
      <c r="O29" s="24"/>
      <c r="P29" s="25"/>
      <c r="Q29" s="28">
        <v>0.42986111111111108</v>
      </c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3" x14ac:dyDescent="0.3">
      <c r="A30" s="24">
        <v>60</v>
      </c>
      <c r="B30" s="24"/>
      <c r="C30" s="24">
        <f t="shared" si="0"/>
        <v>29</v>
      </c>
      <c r="D30" s="25" t="s">
        <v>85</v>
      </c>
      <c r="E30" s="29">
        <v>3857</v>
      </c>
      <c r="F30" s="25" t="s">
        <v>553</v>
      </c>
      <c r="G30" s="26">
        <v>27530</v>
      </c>
      <c r="H30" s="26"/>
      <c r="I30" s="27"/>
      <c r="J30" s="32"/>
      <c r="K30" s="26"/>
      <c r="L30" s="24"/>
      <c r="M30" s="24"/>
      <c r="N30" s="26">
        <v>447.6</v>
      </c>
      <c r="O30" s="24"/>
      <c r="P30" s="25"/>
      <c r="Q30" s="28">
        <v>0.35902777777777778</v>
      </c>
      <c r="R30" s="25"/>
      <c r="S30" s="25"/>
      <c r="T30" s="25"/>
      <c r="U30" s="25"/>
      <c r="V30" s="25"/>
      <c r="W30" s="25" t="s">
        <v>457</v>
      </c>
      <c r="X30" s="25"/>
      <c r="Y30" s="25"/>
      <c r="Z30" s="25"/>
    </row>
    <row r="31" spans="1:26" x14ac:dyDescent="0.25">
      <c r="A31" s="24">
        <v>35</v>
      </c>
      <c r="B31" s="24"/>
      <c r="C31" s="24">
        <f t="shared" si="0"/>
        <v>30</v>
      </c>
      <c r="D31" s="25" t="s">
        <v>56</v>
      </c>
      <c r="E31" s="29">
        <v>3725</v>
      </c>
      <c r="F31" s="25" t="s">
        <v>532</v>
      </c>
      <c r="G31" s="26">
        <v>65000</v>
      </c>
      <c r="H31" s="26">
        <v>546</v>
      </c>
      <c r="I31" s="27">
        <v>19.48</v>
      </c>
      <c r="J31" s="27">
        <v>14.08</v>
      </c>
      <c r="K31" s="26"/>
      <c r="L31" s="24"/>
      <c r="M31" s="24"/>
      <c r="N31" s="26">
        <v>570.1</v>
      </c>
      <c r="O31" s="24"/>
      <c r="P31" s="25"/>
      <c r="Q31" s="28">
        <v>0.2722222222222222</v>
      </c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25">
      <c r="A32" s="24">
        <v>33</v>
      </c>
      <c r="B32" s="24"/>
      <c r="C32" s="24">
        <f t="shared" si="0"/>
        <v>31</v>
      </c>
      <c r="D32" s="25" t="s">
        <v>54</v>
      </c>
      <c r="E32" s="29">
        <v>3672</v>
      </c>
      <c r="F32" s="25" t="s">
        <v>6</v>
      </c>
      <c r="G32" s="26">
        <v>200</v>
      </c>
      <c r="H32" s="26">
        <v>680</v>
      </c>
      <c r="I32" s="27">
        <v>24.29</v>
      </c>
      <c r="J32" s="27">
        <v>16</v>
      </c>
      <c r="K32" s="26"/>
      <c r="L32" s="24"/>
      <c r="M32" s="24"/>
      <c r="N32" s="26">
        <v>706.2</v>
      </c>
      <c r="O32" s="24"/>
      <c r="P32" s="25"/>
      <c r="Q32" s="28">
        <v>0.21666666666666667</v>
      </c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3" x14ac:dyDescent="0.3">
      <c r="A33" s="24">
        <v>152</v>
      </c>
      <c r="B33" s="24"/>
      <c r="C33" s="24">
        <f t="shared" si="0"/>
        <v>32</v>
      </c>
      <c r="D33" s="25" t="s">
        <v>181</v>
      </c>
      <c r="E33" s="29">
        <v>3245</v>
      </c>
      <c r="F33" s="25" t="s">
        <v>695</v>
      </c>
      <c r="G33" s="26">
        <v>0</v>
      </c>
      <c r="H33" s="26"/>
      <c r="I33" s="27"/>
      <c r="J33" s="32"/>
      <c r="K33" s="26"/>
      <c r="L33" s="24"/>
      <c r="M33" s="24"/>
      <c r="N33" s="26">
        <v>176.7</v>
      </c>
      <c r="O33" s="24"/>
      <c r="P33" s="25"/>
      <c r="Q33" s="28">
        <v>0.76527777777777783</v>
      </c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3" x14ac:dyDescent="0.3">
      <c r="A34" s="24">
        <v>50</v>
      </c>
      <c r="B34" s="24"/>
      <c r="C34" s="24">
        <f t="shared" si="0"/>
        <v>33</v>
      </c>
      <c r="D34" s="25" t="s">
        <v>73</v>
      </c>
      <c r="E34" s="29">
        <v>3222</v>
      </c>
      <c r="F34" s="25" t="s">
        <v>7</v>
      </c>
      <c r="G34" s="26">
        <v>2000000</v>
      </c>
      <c r="H34" s="26"/>
      <c r="I34" s="27"/>
      <c r="J34" s="32"/>
      <c r="K34" s="26"/>
      <c r="L34" s="24"/>
      <c r="M34" s="24"/>
      <c r="N34" s="26">
        <v>729.4</v>
      </c>
      <c r="O34" s="24"/>
      <c r="P34" s="25"/>
      <c r="Q34" s="28">
        <v>0.18402777777777779</v>
      </c>
      <c r="R34" s="25"/>
      <c r="S34" s="25"/>
      <c r="T34" s="25"/>
      <c r="U34" s="25"/>
      <c r="V34" s="25"/>
      <c r="W34" s="25" t="s">
        <v>283</v>
      </c>
      <c r="X34" s="25"/>
      <c r="Y34" s="25"/>
      <c r="Z34" s="25"/>
    </row>
    <row r="35" spans="1:26" x14ac:dyDescent="0.25">
      <c r="A35" s="24">
        <v>17</v>
      </c>
      <c r="B35" s="24"/>
      <c r="C35" s="24">
        <f t="shared" si="0"/>
        <v>34</v>
      </c>
      <c r="D35" s="25" t="s">
        <v>38</v>
      </c>
      <c r="E35" s="29">
        <v>2919</v>
      </c>
      <c r="F35" s="25" t="s">
        <v>9</v>
      </c>
      <c r="G35" s="26">
        <v>168000</v>
      </c>
      <c r="H35" s="26">
        <v>451</v>
      </c>
      <c r="I35" s="27">
        <v>16.11</v>
      </c>
      <c r="J35" s="27">
        <v>8.4860000000000007</v>
      </c>
      <c r="K35" s="26"/>
      <c r="L35" s="24"/>
      <c r="M35" s="24"/>
      <c r="N35" s="26">
        <v>326</v>
      </c>
      <c r="O35" s="24"/>
      <c r="P35" s="25"/>
      <c r="Q35" s="28">
        <v>0.37361111111111112</v>
      </c>
      <c r="R35" s="25"/>
      <c r="S35" s="25"/>
      <c r="T35" s="25"/>
      <c r="U35" s="25"/>
      <c r="V35" s="25"/>
      <c r="W35" s="38">
        <v>30</v>
      </c>
      <c r="X35" s="38" t="s">
        <v>51</v>
      </c>
      <c r="Y35" s="38" t="s">
        <v>7</v>
      </c>
      <c r="Z35" s="39"/>
    </row>
    <row r="36" spans="1:26" ht="13" x14ac:dyDescent="0.3">
      <c r="A36" s="24">
        <v>103</v>
      </c>
      <c r="B36" s="24"/>
      <c r="C36" s="24">
        <f t="shared" si="0"/>
        <v>35</v>
      </c>
      <c r="D36" s="25" t="s">
        <v>128</v>
      </c>
      <c r="E36" s="29">
        <v>2859</v>
      </c>
      <c r="F36" s="25" t="s">
        <v>7</v>
      </c>
      <c r="G36" s="26">
        <v>2000000</v>
      </c>
      <c r="H36" s="26"/>
      <c r="I36" s="27"/>
      <c r="J36" s="32"/>
      <c r="K36" s="26"/>
      <c r="L36" s="24"/>
      <c r="M36" s="24"/>
      <c r="N36" s="26">
        <v>381.2</v>
      </c>
      <c r="O36" s="24"/>
      <c r="P36" s="25"/>
      <c r="Q36" s="28">
        <v>0.3125</v>
      </c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25">
      <c r="A37" s="24">
        <v>41</v>
      </c>
      <c r="B37" s="24"/>
      <c r="C37" s="24">
        <f t="shared" si="0"/>
        <v>36</v>
      </c>
      <c r="D37" s="25" t="s">
        <v>64</v>
      </c>
      <c r="E37" s="29">
        <v>2788</v>
      </c>
      <c r="F37" s="25" t="s">
        <v>3</v>
      </c>
      <c r="G37" s="26">
        <v>5500</v>
      </c>
      <c r="H37" s="26">
        <v>233</v>
      </c>
      <c r="I37" s="27">
        <v>7.92</v>
      </c>
      <c r="J37" s="27">
        <v>3.5169999999999999</v>
      </c>
      <c r="K37" s="26"/>
      <c r="L37" s="24"/>
      <c r="M37" s="24"/>
      <c r="N37" s="26">
        <v>243.5</v>
      </c>
      <c r="O37" s="24"/>
      <c r="P37" s="25"/>
      <c r="Q37" s="28">
        <v>0.4770833333333333</v>
      </c>
      <c r="R37" s="25"/>
      <c r="S37" s="25"/>
      <c r="T37" s="25"/>
      <c r="U37" s="25"/>
      <c r="V37" s="25"/>
      <c r="W37" s="25" t="s">
        <v>33</v>
      </c>
      <c r="X37" s="25" t="s">
        <v>6</v>
      </c>
      <c r="Y37" s="26">
        <v>1000</v>
      </c>
      <c r="Z37" s="25"/>
    </row>
    <row r="38" spans="1:26" ht="13" x14ac:dyDescent="0.3">
      <c r="A38" s="24">
        <v>113</v>
      </c>
      <c r="B38" s="24"/>
      <c r="C38" s="24">
        <f t="shared" si="0"/>
        <v>37</v>
      </c>
      <c r="D38" s="25" t="s">
        <v>138</v>
      </c>
      <c r="E38" s="29">
        <v>2723</v>
      </c>
      <c r="F38" s="25">
        <v>5935</v>
      </c>
      <c r="G38" s="26">
        <v>430000</v>
      </c>
      <c r="H38" s="26"/>
      <c r="I38" s="27"/>
      <c r="J38" s="32"/>
      <c r="K38" s="26"/>
      <c r="L38" s="24"/>
      <c r="M38" s="24"/>
      <c r="N38" s="26">
        <v>1082</v>
      </c>
      <c r="O38" s="24"/>
      <c r="P38" s="25"/>
      <c r="Q38" s="28">
        <v>0.10486111111111111</v>
      </c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3" x14ac:dyDescent="0.3">
      <c r="A39" s="24">
        <v>132</v>
      </c>
      <c r="B39" s="24"/>
      <c r="C39" s="24">
        <f t="shared" si="0"/>
        <v>38</v>
      </c>
      <c r="D39" s="25" t="s">
        <v>159</v>
      </c>
      <c r="E39" s="29">
        <v>2687</v>
      </c>
      <c r="F39" s="25" t="s">
        <v>6</v>
      </c>
      <c r="G39" s="26">
        <v>500</v>
      </c>
      <c r="H39" s="26"/>
      <c r="I39" s="27"/>
      <c r="J39" s="32"/>
      <c r="K39" s="26"/>
      <c r="L39" s="24"/>
      <c r="M39" s="24"/>
      <c r="N39" s="26">
        <v>186.2</v>
      </c>
      <c r="O39" s="24"/>
      <c r="P39" s="25"/>
      <c r="Q39" s="28">
        <v>0.60138888888888886</v>
      </c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25">
      <c r="A40" s="24">
        <v>34</v>
      </c>
      <c r="B40" s="24"/>
      <c r="C40" s="24">
        <f t="shared" si="0"/>
        <v>39</v>
      </c>
      <c r="D40" s="25" t="s">
        <v>55</v>
      </c>
      <c r="E40" s="29">
        <v>2490</v>
      </c>
      <c r="F40" s="25" t="s">
        <v>523</v>
      </c>
      <c r="G40" s="26">
        <v>19090</v>
      </c>
      <c r="H40" s="26">
        <v>783</v>
      </c>
      <c r="I40" s="27">
        <v>27.94</v>
      </c>
      <c r="J40" s="27">
        <v>19.75</v>
      </c>
      <c r="K40" s="26"/>
      <c r="L40" s="24"/>
      <c r="M40" s="24"/>
      <c r="N40" s="26">
        <v>711.5</v>
      </c>
      <c r="O40" s="24"/>
      <c r="P40" s="25"/>
      <c r="Q40" s="28">
        <v>0.14583333333333334</v>
      </c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25">
      <c r="A41" s="24">
        <v>32</v>
      </c>
      <c r="B41" s="24"/>
      <c r="C41" s="24">
        <f t="shared" si="0"/>
        <v>40</v>
      </c>
      <c r="D41" s="25" t="s">
        <v>53</v>
      </c>
      <c r="E41" s="29">
        <v>2410</v>
      </c>
      <c r="F41" s="25" t="s">
        <v>522</v>
      </c>
      <c r="G41" s="26">
        <v>11850</v>
      </c>
      <c r="H41" s="26">
        <v>431</v>
      </c>
      <c r="I41" s="27">
        <v>15.38</v>
      </c>
      <c r="J41" s="27">
        <v>11.52</v>
      </c>
      <c r="K41" s="26"/>
      <c r="L41" s="24"/>
      <c r="M41" s="24"/>
      <c r="N41" s="26">
        <v>417.9</v>
      </c>
      <c r="O41" s="24"/>
      <c r="P41" s="25"/>
      <c r="Q41" s="28">
        <v>0.24027777777777778</v>
      </c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3" x14ac:dyDescent="0.3">
      <c r="A42" s="24">
        <v>126</v>
      </c>
      <c r="B42" s="24"/>
      <c r="C42" s="24">
        <f t="shared" si="0"/>
        <v>41</v>
      </c>
      <c r="D42" s="25" t="s">
        <v>152</v>
      </c>
      <c r="E42" s="29">
        <v>2085</v>
      </c>
      <c r="F42" s="25" t="s">
        <v>563</v>
      </c>
      <c r="G42" s="26">
        <v>197580</v>
      </c>
      <c r="H42" s="26"/>
      <c r="I42" s="27"/>
      <c r="J42" s="32"/>
      <c r="K42" s="26"/>
      <c r="L42" s="24"/>
      <c r="M42" s="24"/>
      <c r="N42" s="26">
        <v>116.7</v>
      </c>
      <c r="O42" s="24"/>
      <c r="P42" s="25"/>
      <c r="Q42" s="28">
        <v>0.74444444444444446</v>
      </c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3" x14ac:dyDescent="0.3">
      <c r="A43" s="24">
        <v>59</v>
      </c>
      <c r="B43" s="24"/>
      <c r="C43" s="24">
        <f t="shared" si="0"/>
        <v>42</v>
      </c>
      <c r="D43" s="25" t="s">
        <v>84</v>
      </c>
      <c r="E43" s="29">
        <v>2082</v>
      </c>
      <c r="F43" s="25" t="s">
        <v>0</v>
      </c>
      <c r="G43" s="26">
        <v>1000000</v>
      </c>
      <c r="H43" s="26"/>
      <c r="I43" s="27"/>
      <c r="J43" s="32"/>
      <c r="K43" s="26"/>
      <c r="L43" s="24"/>
      <c r="M43" s="24"/>
      <c r="N43" s="26">
        <v>366.3</v>
      </c>
      <c r="O43" s="24"/>
      <c r="P43" s="25"/>
      <c r="Q43" s="28">
        <v>0.23680555555555557</v>
      </c>
      <c r="R43" s="25"/>
      <c r="S43" s="25"/>
      <c r="T43" s="25"/>
      <c r="U43" s="25"/>
      <c r="V43" s="25"/>
      <c r="W43" s="25" t="s">
        <v>479</v>
      </c>
      <c r="X43" s="25"/>
      <c r="Y43" s="25"/>
      <c r="Z43" s="25"/>
    </row>
    <row r="44" spans="1:26" x14ac:dyDescent="0.25">
      <c r="A44" s="24">
        <v>15</v>
      </c>
      <c r="B44" s="24"/>
      <c r="C44" s="24">
        <f t="shared" si="0"/>
        <v>43</v>
      </c>
      <c r="D44" s="25" t="s">
        <v>36</v>
      </c>
      <c r="E44" s="29">
        <v>2022</v>
      </c>
      <c r="F44" s="25" t="s">
        <v>7</v>
      </c>
      <c r="G44" s="26">
        <v>2000000</v>
      </c>
      <c r="H44" s="26">
        <v>1071</v>
      </c>
      <c r="I44" s="27">
        <v>38.270000000000003</v>
      </c>
      <c r="J44" s="27">
        <v>26.3</v>
      </c>
      <c r="K44" s="26"/>
      <c r="L44" s="24"/>
      <c r="M44" s="24"/>
      <c r="N44" s="26">
        <v>912</v>
      </c>
      <c r="O44" s="24"/>
      <c r="P44" s="25"/>
      <c r="Q44" s="28">
        <v>9.2361111111111116E-2</v>
      </c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25">
      <c r="A45" s="24">
        <v>28</v>
      </c>
      <c r="B45" s="24"/>
      <c r="C45" s="24">
        <f t="shared" si="0"/>
        <v>44</v>
      </c>
      <c r="D45" s="25" t="s">
        <v>49</v>
      </c>
      <c r="E45" s="29">
        <v>1993</v>
      </c>
      <c r="F45" s="25" t="s">
        <v>6</v>
      </c>
      <c r="G45" s="26">
        <v>2000</v>
      </c>
      <c r="H45" s="26">
        <v>676</v>
      </c>
      <c r="I45" s="27">
        <v>24.14</v>
      </c>
      <c r="J45" s="27">
        <v>19.010000000000002</v>
      </c>
      <c r="K45" s="26"/>
      <c r="L45" s="24"/>
      <c r="M45" s="24"/>
      <c r="N45" s="26">
        <v>643</v>
      </c>
      <c r="O45" s="24"/>
      <c r="P45" s="25"/>
      <c r="Q45" s="28">
        <v>0.12916666666666668</v>
      </c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25">
      <c r="A46" s="24">
        <v>21</v>
      </c>
      <c r="B46" s="24"/>
      <c r="C46" s="24">
        <f t="shared" si="0"/>
        <v>45</v>
      </c>
      <c r="D46" s="25" t="s">
        <v>42</v>
      </c>
      <c r="E46" s="29">
        <v>1958</v>
      </c>
      <c r="F46" s="25" t="s">
        <v>529</v>
      </c>
      <c r="G46" s="26">
        <v>3420</v>
      </c>
      <c r="H46" s="26">
        <v>405</v>
      </c>
      <c r="I46" s="27">
        <v>14.45</v>
      </c>
      <c r="J46" s="27">
        <v>6.4640000000000004</v>
      </c>
      <c r="K46" s="26"/>
      <c r="L46" s="24"/>
      <c r="M46" s="24"/>
      <c r="N46" s="26">
        <v>179</v>
      </c>
      <c r="O46" s="24"/>
      <c r="P46" s="25"/>
      <c r="Q46" s="28">
        <v>0.45624999999999999</v>
      </c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3" x14ac:dyDescent="0.3">
      <c r="A47" s="24">
        <v>49</v>
      </c>
      <c r="B47" s="24"/>
      <c r="C47" s="24">
        <f t="shared" si="0"/>
        <v>46</v>
      </c>
      <c r="D47" s="25" t="s">
        <v>72</v>
      </c>
      <c r="E47" s="29">
        <v>1944</v>
      </c>
      <c r="F47" s="25" t="s">
        <v>9</v>
      </c>
      <c r="G47" s="26">
        <v>167830</v>
      </c>
      <c r="H47" s="26"/>
      <c r="I47" s="27"/>
      <c r="J47" s="32"/>
      <c r="K47" s="26"/>
      <c r="L47" s="24"/>
      <c r="M47" s="24"/>
      <c r="N47" s="26">
        <v>169.3</v>
      </c>
      <c r="O47" s="24"/>
      <c r="P47" s="25"/>
      <c r="Q47" s="28">
        <v>0.47847222222222219</v>
      </c>
      <c r="R47" s="25"/>
      <c r="S47" s="25"/>
      <c r="T47" s="25"/>
      <c r="U47" s="25"/>
      <c r="V47" s="25"/>
      <c r="W47" s="25" t="s">
        <v>282</v>
      </c>
      <c r="X47" s="25"/>
      <c r="Y47" s="25"/>
      <c r="Z47" s="25"/>
    </row>
    <row r="48" spans="1:26" x14ac:dyDescent="0.25">
      <c r="A48" s="24">
        <v>26</v>
      </c>
      <c r="B48" s="24"/>
      <c r="C48" s="24">
        <f t="shared" si="0"/>
        <v>47</v>
      </c>
      <c r="D48" s="25" t="s">
        <v>47</v>
      </c>
      <c r="E48" s="29">
        <v>1933</v>
      </c>
      <c r="F48" s="25" t="s">
        <v>530</v>
      </c>
      <c r="G48" s="29">
        <v>10740</v>
      </c>
      <c r="H48" s="26">
        <v>292</v>
      </c>
      <c r="I48" s="27">
        <v>10.42</v>
      </c>
      <c r="J48" s="27">
        <v>7.625</v>
      </c>
      <c r="K48" s="26"/>
      <c r="L48" s="24"/>
      <c r="M48" s="24"/>
      <c r="N48" s="26">
        <v>312.60000000000002</v>
      </c>
      <c r="O48" s="24"/>
      <c r="P48" s="25"/>
      <c r="Q48" s="28">
        <v>0.25763888888888892</v>
      </c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3" x14ac:dyDescent="0.3">
      <c r="A49" s="24">
        <v>87</v>
      </c>
      <c r="B49" s="24"/>
      <c r="C49" s="24">
        <f t="shared" si="0"/>
        <v>48</v>
      </c>
      <c r="D49" s="25" t="s">
        <v>112</v>
      </c>
      <c r="E49" s="29">
        <v>1849</v>
      </c>
      <c r="F49" s="25" t="s">
        <v>683</v>
      </c>
      <c r="G49" s="26">
        <v>7500</v>
      </c>
      <c r="H49" s="26"/>
      <c r="I49" s="27"/>
      <c r="J49" s="32"/>
      <c r="K49" s="26"/>
      <c r="L49" s="24"/>
      <c r="M49" s="24"/>
      <c r="N49" s="26">
        <v>207.7</v>
      </c>
      <c r="O49" s="24"/>
      <c r="P49" s="25"/>
      <c r="Q49" s="28">
        <v>0.37083333333333335</v>
      </c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25">
      <c r="A50" s="24">
        <v>14</v>
      </c>
      <c r="B50" s="24"/>
      <c r="C50" s="24">
        <f t="shared" si="0"/>
        <v>49</v>
      </c>
      <c r="D50" s="25" t="s">
        <v>35</v>
      </c>
      <c r="E50" s="29">
        <v>1821</v>
      </c>
      <c r="F50" s="25" t="s">
        <v>8</v>
      </c>
      <c r="G50" s="26">
        <v>5900</v>
      </c>
      <c r="H50" s="26">
        <v>530</v>
      </c>
      <c r="I50" s="27">
        <v>18.91</v>
      </c>
      <c r="J50" s="27">
        <v>12.75</v>
      </c>
      <c r="K50" s="26"/>
      <c r="L50" s="24"/>
      <c r="M50" s="24" t="s">
        <v>16</v>
      </c>
      <c r="N50" s="26">
        <v>549</v>
      </c>
      <c r="O50" s="24"/>
      <c r="P50" s="25"/>
      <c r="Q50" s="28">
        <v>0.13819444444444443</v>
      </c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25">
      <c r="A51" s="24">
        <v>22</v>
      </c>
      <c r="B51" s="24"/>
      <c r="C51" s="24">
        <f t="shared" si="0"/>
        <v>50</v>
      </c>
      <c r="D51" s="25" t="s">
        <v>43</v>
      </c>
      <c r="E51" s="29">
        <v>1780</v>
      </c>
      <c r="F51" s="25" t="s">
        <v>518</v>
      </c>
      <c r="G51" s="26">
        <v>412860</v>
      </c>
      <c r="H51" s="26">
        <v>344</v>
      </c>
      <c r="I51" s="27">
        <v>12.28</v>
      </c>
      <c r="J51" s="27">
        <v>9.984</v>
      </c>
      <c r="K51" s="26"/>
      <c r="L51" s="24" t="s">
        <v>11</v>
      </c>
      <c r="M51" s="24" t="s">
        <v>11</v>
      </c>
      <c r="N51" s="26">
        <v>387</v>
      </c>
      <c r="O51" s="24"/>
      <c r="P51" s="25"/>
      <c r="Q51" s="28">
        <v>0.19166666666666665</v>
      </c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3" x14ac:dyDescent="0.3">
      <c r="A52" s="24">
        <v>73</v>
      </c>
      <c r="B52" s="24"/>
      <c r="C52" s="24"/>
      <c r="D52" s="25" t="s">
        <v>98</v>
      </c>
      <c r="E52" s="29">
        <v>1753</v>
      </c>
      <c r="F52" s="25" t="s">
        <v>6</v>
      </c>
      <c r="G52" s="26">
        <v>1000</v>
      </c>
      <c r="H52" s="26"/>
      <c r="I52" s="27"/>
      <c r="J52" s="32"/>
      <c r="K52" s="26"/>
      <c r="L52" s="24"/>
      <c r="M52" s="24"/>
      <c r="N52" s="26">
        <v>397</v>
      </c>
      <c r="O52" s="24"/>
      <c r="P52" s="25"/>
      <c r="Q52" s="28">
        <v>0.18402777777777779</v>
      </c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3" x14ac:dyDescent="0.3">
      <c r="A53" s="24">
        <v>16</v>
      </c>
      <c r="B53" s="24"/>
      <c r="C53" s="24"/>
      <c r="D53" s="25" t="s">
        <v>37</v>
      </c>
      <c r="E53" s="29">
        <v>1747</v>
      </c>
      <c r="F53" s="25" t="s">
        <v>533</v>
      </c>
      <c r="G53" s="26">
        <v>31000</v>
      </c>
      <c r="H53" s="26">
        <v>523</v>
      </c>
      <c r="I53" s="27">
        <v>18.66</v>
      </c>
      <c r="J53" s="27">
        <v>12.08</v>
      </c>
      <c r="K53" s="26"/>
      <c r="L53" s="24"/>
      <c r="M53" s="24"/>
      <c r="N53" s="26">
        <v>570</v>
      </c>
      <c r="O53" s="24"/>
      <c r="P53" s="25"/>
      <c r="Q53" s="28">
        <v>0.1277777777777778</v>
      </c>
      <c r="R53" s="25"/>
      <c r="S53" s="25"/>
      <c r="T53" s="25"/>
      <c r="U53" s="25"/>
      <c r="V53" s="25"/>
      <c r="W53" s="37" t="s">
        <v>676</v>
      </c>
      <c r="X53" s="25"/>
      <c r="Y53" s="25"/>
      <c r="Z53" s="25"/>
    </row>
    <row r="54" spans="1:26" ht="13" x14ac:dyDescent="0.3">
      <c r="A54" s="24">
        <v>106</v>
      </c>
      <c r="B54" s="24"/>
      <c r="C54" s="24"/>
      <c r="D54" s="25" t="s">
        <v>131</v>
      </c>
      <c r="E54" s="29">
        <v>1730</v>
      </c>
      <c r="F54" s="25" t="s">
        <v>6</v>
      </c>
      <c r="G54" s="26">
        <v>64000</v>
      </c>
      <c r="H54" s="26"/>
      <c r="I54" s="27"/>
      <c r="J54" s="32"/>
      <c r="K54" s="26"/>
      <c r="L54" s="24"/>
      <c r="M54" s="24"/>
      <c r="N54" s="26">
        <v>229.6</v>
      </c>
      <c r="O54" s="24"/>
      <c r="P54" s="25"/>
      <c r="Q54" s="28">
        <v>0.31388888888888888</v>
      </c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25">
      <c r="A55" s="24">
        <v>27</v>
      </c>
      <c r="B55" s="24"/>
      <c r="C55" s="24"/>
      <c r="D55" s="25" t="s">
        <v>48</v>
      </c>
      <c r="E55" s="29">
        <v>1725</v>
      </c>
      <c r="F55" s="25" t="s">
        <v>520</v>
      </c>
      <c r="G55" s="26">
        <v>15820</v>
      </c>
      <c r="H55" s="26">
        <v>288</v>
      </c>
      <c r="I55" s="27">
        <v>10.27</v>
      </c>
      <c r="J55" s="27">
        <v>5.9850000000000003</v>
      </c>
      <c r="K55" s="26"/>
      <c r="L55" s="24"/>
      <c r="M55" s="24"/>
      <c r="N55" s="26">
        <v>268.8</v>
      </c>
      <c r="O55" s="24"/>
      <c r="P55" s="25"/>
      <c r="Q55" s="28">
        <v>0.2673611111111111</v>
      </c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3" x14ac:dyDescent="0.3">
      <c r="A56" s="24">
        <v>147</v>
      </c>
      <c r="B56" s="24"/>
      <c r="C56" s="24"/>
      <c r="D56" s="25" t="s">
        <v>175</v>
      </c>
      <c r="E56" s="29">
        <v>1693</v>
      </c>
      <c r="F56" s="25"/>
      <c r="G56" s="26"/>
      <c r="H56" s="26"/>
      <c r="I56" s="27"/>
      <c r="J56" s="32"/>
      <c r="K56" s="26"/>
      <c r="L56" s="24"/>
      <c r="M56" s="24"/>
      <c r="N56" s="26">
        <v>128.9</v>
      </c>
      <c r="O56" s="24"/>
      <c r="P56" s="25"/>
      <c r="Q56" s="28">
        <v>0.54722222222222217</v>
      </c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3" x14ac:dyDescent="0.3">
      <c r="A57" s="24">
        <v>241</v>
      </c>
      <c r="B57" s="24">
        <v>208</v>
      </c>
      <c r="C57" s="24">
        <v>132</v>
      </c>
      <c r="D57" s="25" t="s">
        <v>239</v>
      </c>
      <c r="E57" s="29">
        <v>1654</v>
      </c>
      <c r="F57" s="25"/>
      <c r="G57" s="26"/>
      <c r="H57" s="26"/>
      <c r="I57" s="27"/>
      <c r="J57" s="32"/>
      <c r="K57" s="26"/>
      <c r="L57" s="24"/>
      <c r="M57" s="24"/>
      <c r="N57" s="26">
        <v>303</v>
      </c>
      <c r="O57" s="24"/>
      <c r="P57" s="25"/>
      <c r="Q57" s="28">
        <v>0.22777777777777777</v>
      </c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3" x14ac:dyDescent="0.3">
      <c r="A58" s="40">
        <v>138</v>
      </c>
      <c r="B58" s="40"/>
      <c r="C58" s="40"/>
      <c r="D58" s="25" t="s">
        <v>166</v>
      </c>
      <c r="E58" s="29">
        <v>1569</v>
      </c>
      <c r="F58" s="25" t="s">
        <v>9</v>
      </c>
      <c r="G58" s="26">
        <v>168050</v>
      </c>
      <c r="H58" s="26"/>
      <c r="I58" s="27"/>
      <c r="J58" s="32"/>
      <c r="K58" s="26"/>
      <c r="L58" s="24"/>
      <c r="M58" s="24"/>
      <c r="N58" s="26">
        <v>267.5</v>
      </c>
      <c r="O58" s="24"/>
      <c r="P58" s="25"/>
      <c r="Q58" s="28">
        <v>0.24444444444444446</v>
      </c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3" x14ac:dyDescent="0.3">
      <c r="A59" s="24">
        <v>53</v>
      </c>
      <c r="B59" s="24"/>
      <c r="C59" s="24"/>
      <c r="D59" s="25" t="s">
        <v>78</v>
      </c>
      <c r="E59" s="29">
        <v>1562</v>
      </c>
      <c r="F59" s="25" t="s">
        <v>6</v>
      </c>
      <c r="G59" s="26">
        <v>5000</v>
      </c>
      <c r="H59" s="26"/>
      <c r="I59" s="27"/>
      <c r="J59" s="32"/>
      <c r="K59" s="26"/>
      <c r="L59" s="24"/>
      <c r="M59" s="24"/>
      <c r="N59" s="26">
        <v>296.60000000000002</v>
      </c>
      <c r="O59" s="24"/>
      <c r="P59" s="25"/>
      <c r="Q59" s="28">
        <v>0.21944444444444444</v>
      </c>
      <c r="R59" s="25"/>
      <c r="S59" s="25"/>
      <c r="T59" s="25"/>
      <c r="U59" s="25"/>
      <c r="V59" s="25"/>
      <c r="W59" s="25" t="s">
        <v>192</v>
      </c>
      <c r="X59" s="25"/>
      <c r="Y59" s="25"/>
      <c r="Z59" s="25"/>
    </row>
    <row r="60" spans="1:26" x14ac:dyDescent="0.25">
      <c r="A60" s="24">
        <v>43</v>
      </c>
      <c r="B60" s="24"/>
      <c r="C60" s="24"/>
      <c r="D60" s="25" t="s">
        <v>66</v>
      </c>
      <c r="E60" s="29">
        <v>1557</v>
      </c>
      <c r="F60" s="25" t="s">
        <v>2</v>
      </c>
      <c r="G60" s="26">
        <v>1000000</v>
      </c>
      <c r="H60" s="26">
        <v>500</v>
      </c>
      <c r="I60" s="27">
        <v>16.05</v>
      </c>
      <c r="J60" s="27">
        <v>12.63</v>
      </c>
      <c r="K60" s="26"/>
      <c r="L60" s="24"/>
      <c r="M60" s="24"/>
      <c r="N60" s="26">
        <v>476.5</v>
      </c>
      <c r="O60" s="24"/>
      <c r="P60" s="25"/>
      <c r="Q60" s="28">
        <v>0.1361111111111111</v>
      </c>
      <c r="R60" s="25"/>
      <c r="S60" s="25"/>
      <c r="T60" s="25"/>
      <c r="U60" s="25"/>
      <c r="V60" s="25"/>
      <c r="W60" s="25" t="s">
        <v>62</v>
      </c>
      <c r="X60" s="25" t="s">
        <v>6</v>
      </c>
      <c r="Y60" s="25"/>
      <c r="Z60" s="25"/>
    </row>
    <row r="61" spans="1:26" ht="13" x14ac:dyDescent="0.3">
      <c r="A61" s="24">
        <v>70</v>
      </c>
      <c r="B61" s="24"/>
      <c r="C61" s="24"/>
      <c r="D61" s="25" t="s">
        <v>95</v>
      </c>
      <c r="E61" s="29">
        <v>1551</v>
      </c>
      <c r="F61" s="25"/>
      <c r="G61" s="26"/>
      <c r="H61" s="26"/>
      <c r="I61" s="27"/>
      <c r="J61" s="32"/>
      <c r="K61" s="26"/>
      <c r="L61" s="24"/>
      <c r="M61" s="24"/>
      <c r="N61" s="26">
        <v>522.79999999999995</v>
      </c>
      <c r="O61" s="24"/>
      <c r="P61" s="25"/>
      <c r="Q61" s="28">
        <v>0.12361111111111112</v>
      </c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3" x14ac:dyDescent="0.3">
      <c r="A62" s="24">
        <v>45</v>
      </c>
      <c r="B62" s="24"/>
      <c r="C62" s="24"/>
      <c r="D62" s="25" t="s">
        <v>68</v>
      </c>
      <c r="E62" s="29">
        <v>1525</v>
      </c>
      <c r="F62" s="25" t="s">
        <v>6</v>
      </c>
      <c r="G62" s="26">
        <v>1000</v>
      </c>
      <c r="H62" s="26"/>
      <c r="I62" s="27"/>
      <c r="J62" s="32"/>
      <c r="K62" s="26"/>
      <c r="L62" s="24"/>
      <c r="M62" s="24"/>
      <c r="N62" s="26">
        <v>193.8</v>
      </c>
      <c r="O62" s="24"/>
      <c r="P62" s="25"/>
      <c r="Q62" s="28">
        <v>0.32777777777777778</v>
      </c>
      <c r="R62" s="25"/>
      <c r="S62" s="25"/>
      <c r="T62" s="25"/>
      <c r="U62" s="25"/>
      <c r="V62" s="25"/>
      <c r="W62" s="25" t="s">
        <v>77</v>
      </c>
      <c r="X62" s="25"/>
      <c r="Y62" s="25"/>
      <c r="Z62" s="25"/>
    </row>
    <row r="63" spans="1:26" ht="13" x14ac:dyDescent="0.3">
      <c r="A63" s="24">
        <v>48</v>
      </c>
      <c r="B63" s="24"/>
      <c r="C63" s="24"/>
      <c r="D63" s="25" t="s">
        <v>71</v>
      </c>
      <c r="E63" s="29">
        <v>1508</v>
      </c>
      <c r="F63" s="25" t="s">
        <v>526</v>
      </c>
      <c r="G63" s="26">
        <v>70570</v>
      </c>
      <c r="H63" s="26"/>
      <c r="I63" s="27"/>
      <c r="J63" s="32"/>
      <c r="K63" s="26"/>
      <c r="L63" s="24"/>
      <c r="M63" s="24"/>
      <c r="N63" s="26">
        <v>415</v>
      </c>
      <c r="O63" s="24"/>
      <c r="P63" s="25"/>
      <c r="Q63" s="28">
        <v>0.15138888888888888</v>
      </c>
      <c r="R63" s="25"/>
      <c r="S63" s="25"/>
      <c r="T63" s="25"/>
      <c r="U63" s="25"/>
      <c r="V63" s="25"/>
      <c r="W63" s="25" t="s">
        <v>313</v>
      </c>
      <c r="X63" s="25"/>
      <c r="Y63" s="25"/>
      <c r="Z63" s="25"/>
    </row>
    <row r="64" spans="1:26" ht="13" x14ac:dyDescent="0.3">
      <c r="A64" s="24">
        <v>105</v>
      </c>
      <c r="B64" s="24"/>
      <c r="C64" s="24"/>
      <c r="D64" s="25" t="s">
        <v>130</v>
      </c>
      <c r="E64" s="29">
        <v>1486</v>
      </c>
      <c r="F64" s="25" t="s">
        <v>691</v>
      </c>
      <c r="G64" s="26">
        <v>1000</v>
      </c>
      <c r="H64" s="26"/>
      <c r="I64" s="27"/>
      <c r="J64" s="32"/>
      <c r="K64" s="26"/>
      <c r="L64" s="24"/>
      <c r="M64" s="24"/>
      <c r="N64" s="26">
        <v>323.10000000000002</v>
      </c>
      <c r="O64" s="24"/>
      <c r="P64" s="25"/>
      <c r="Q64" s="28">
        <v>0.19166666666666665</v>
      </c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3" x14ac:dyDescent="0.3">
      <c r="A65" s="24">
        <v>150</v>
      </c>
      <c r="B65" s="24"/>
      <c r="C65" s="24"/>
      <c r="D65" s="25" t="s">
        <v>179</v>
      </c>
      <c r="E65" s="29">
        <v>1484</v>
      </c>
      <c r="F65" s="25" t="s">
        <v>695</v>
      </c>
      <c r="G65" s="26">
        <v>0</v>
      </c>
      <c r="H65" s="26"/>
      <c r="I65" s="27"/>
      <c r="J65" s="32"/>
      <c r="K65" s="26"/>
      <c r="L65" s="24"/>
      <c r="M65" s="24"/>
      <c r="N65" s="26">
        <v>112</v>
      </c>
      <c r="O65" s="24"/>
      <c r="P65" s="25"/>
      <c r="Q65" s="28">
        <v>0.55208333333333337</v>
      </c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3" x14ac:dyDescent="0.3">
      <c r="A66" s="24">
        <v>206</v>
      </c>
      <c r="B66" s="24"/>
      <c r="C66" s="24">
        <v>85</v>
      </c>
      <c r="D66" s="25" t="s">
        <v>237</v>
      </c>
      <c r="E66" s="29">
        <v>1393</v>
      </c>
      <c r="F66" s="25"/>
      <c r="G66" s="26"/>
      <c r="H66" s="26"/>
      <c r="I66" s="27"/>
      <c r="J66" s="32"/>
      <c r="K66" s="26"/>
      <c r="L66" s="24"/>
      <c r="M66" s="24"/>
      <c r="N66" s="26">
        <v>123</v>
      </c>
      <c r="O66" s="24"/>
      <c r="P66" s="25"/>
      <c r="Q66" s="28">
        <v>0.47152777777777777</v>
      </c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3" x14ac:dyDescent="0.3">
      <c r="A67" s="24">
        <v>51</v>
      </c>
      <c r="B67" s="24"/>
      <c r="C67" s="24"/>
      <c r="D67" s="25" t="s">
        <v>74</v>
      </c>
      <c r="E67" s="29">
        <v>1322</v>
      </c>
      <c r="F67" s="25" t="s">
        <v>534</v>
      </c>
      <c r="G67" s="26">
        <v>119540</v>
      </c>
      <c r="H67" s="26"/>
      <c r="I67" s="27"/>
      <c r="J67" s="32"/>
      <c r="K67" s="26"/>
      <c r="L67" s="24"/>
      <c r="M67" s="24"/>
      <c r="N67" s="26">
        <v>111.9</v>
      </c>
      <c r="O67" s="24"/>
      <c r="P67" s="25"/>
      <c r="Q67" s="28">
        <v>0.49236111111111108</v>
      </c>
      <c r="R67" s="25"/>
      <c r="S67" s="25"/>
      <c r="T67" s="25"/>
      <c r="U67" s="25"/>
      <c r="V67" s="25"/>
      <c r="W67" s="25" t="s">
        <v>266</v>
      </c>
      <c r="X67" s="25"/>
      <c r="Y67" s="25"/>
      <c r="Z67" s="25"/>
    </row>
    <row r="68" spans="1:26" ht="13" x14ac:dyDescent="0.3">
      <c r="A68" s="24">
        <v>173</v>
      </c>
      <c r="B68" s="24"/>
      <c r="C68" s="24"/>
      <c r="D68" s="25" t="s">
        <v>204</v>
      </c>
      <c r="E68" s="29">
        <v>1299</v>
      </c>
      <c r="F68" s="25" t="s">
        <v>6</v>
      </c>
      <c r="G68" s="26">
        <v>100</v>
      </c>
      <c r="H68" s="26">
        <v>88</v>
      </c>
      <c r="I68" s="27">
        <v>2.8919999999999999</v>
      </c>
      <c r="J68" s="32">
        <v>0.997</v>
      </c>
      <c r="K68" s="26">
        <v>6</v>
      </c>
      <c r="L68" s="24"/>
      <c r="M68" s="24"/>
      <c r="N68" s="26">
        <v>86</v>
      </c>
      <c r="O68" s="24"/>
      <c r="P68" s="25"/>
      <c r="Q68" s="28">
        <v>0.62569444444444444</v>
      </c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3" x14ac:dyDescent="0.3">
      <c r="A69" s="24">
        <v>47</v>
      </c>
      <c r="B69" s="24"/>
      <c r="C69" s="24"/>
      <c r="D69" s="25" t="s">
        <v>70</v>
      </c>
      <c r="E69" s="29">
        <v>1224</v>
      </c>
      <c r="F69" s="25" t="s">
        <v>527</v>
      </c>
      <c r="G69" s="26">
        <v>392730</v>
      </c>
      <c r="H69" s="26"/>
      <c r="I69" s="27"/>
      <c r="J69" s="32"/>
      <c r="K69" s="26"/>
      <c r="L69" s="24"/>
      <c r="M69" s="24"/>
      <c r="N69" s="26">
        <v>181.3</v>
      </c>
      <c r="O69" s="24"/>
      <c r="P69" s="25"/>
      <c r="Q69" s="28">
        <v>0.28125</v>
      </c>
      <c r="R69" s="25"/>
      <c r="S69" s="25"/>
      <c r="T69" s="25"/>
      <c r="U69" s="25"/>
      <c r="V69" s="25"/>
      <c r="W69" s="25" t="s">
        <v>165</v>
      </c>
      <c r="X69" s="25"/>
      <c r="Y69" s="25"/>
      <c r="Z69" s="25"/>
    </row>
    <row r="70" spans="1:26" x14ac:dyDescent="0.25">
      <c r="A70" s="24">
        <v>24</v>
      </c>
      <c r="B70" s="24"/>
      <c r="C70" s="24"/>
      <c r="D70" s="25" t="s">
        <v>45</v>
      </c>
      <c r="E70" s="29">
        <v>1157</v>
      </c>
      <c r="F70" s="25" t="s">
        <v>677</v>
      </c>
      <c r="G70" s="26">
        <v>1000</v>
      </c>
      <c r="H70" s="26">
        <v>1037</v>
      </c>
      <c r="I70" s="27">
        <v>37.07</v>
      </c>
      <c r="J70" s="27">
        <v>29.69</v>
      </c>
      <c r="K70" s="26"/>
      <c r="L70" s="24"/>
      <c r="M70" s="24"/>
      <c r="N70" s="26">
        <v>1197</v>
      </c>
      <c r="O70" s="24"/>
      <c r="P70" s="25"/>
      <c r="Q70" s="28">
        <v>4.027777777777778E-2</v>
      </c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3" x14ac:dyDescent="0.3">
      <c r="A71" s="24">
        <v>62</v>
      </c>
      <c r="B71" s="24"/>
      <c r="C71" s="24"/>
      <c r="D71" s="25" t="s">
        <v>87</v>
      </c>
      <c r="E71" s="29">
        <v>1140</v>
      </c>
      <c r="F71" s="25" t="s">
        <v>535</v>
      </c>
      <c r="G71" s="26">
        <v>2500000</v>
      </c>
      <c r="H71" s="26"/>
      <c r="I71" s="27"/>
      <c r="J71" s="32"/>
      <c r="K71" s="26"/>
      <c r="L71" s="24"/>
      <c r="M71" s="24"/>
      <c r="N71" s="26">
        <v>416.9</v>
      </c>
      <c r="O71" s="24"/>
      <c r="P71" s="25"/>
      <c r="Q71" s="28">
        <v>0.11388888888888889</v>
      </c>
      <c r="R71" s="25"/>
      <c r="S71" s="25"/>
      <c r="T71" s="25"/>
      <c r="U71" s="25"/>
      <c r="V71" s="25"/>
      <c r="W71" s="25" t="s">
        <v>372</v>
      </c>
      <c r="X71" s="25"/>
      <c r="Y71" s="25"/>
      <c r="Z71" s="25"/>
    </row>
    <row r="72" spans="1:26" ht="13" x14ac:dyDescent="0.3">
      <c r="A72" s="24">
        <v>183</v>
      </c>
      <c r="B72" s="24"/>
      <c r="C72" s="24"/>
      <c r="D72" s="25" t="s">
        <v>214</v>
      </c>
      <c r="E72" s="29">
        <v>1130</v>
      </c>
      <c r="F72" s="25" t="s">
        <v>706</v>
      </c>
      <c r="G72" s="26">
        <v>135900</v>
      </c>
      <c r="H72" s="26"/>
      <c r="I72" s="27"/>
      <c r="J72" s="32"/>
      <c r="K72" s="26"/>
      <c r="L72" s="24"/>
      <c r="M72" s="24"/>
      <c r="N72" s="26">
        <v>181</v>
      </c>
      <c r="O72" s="24"/>
      <c r="P72" s="25"/>
      <c r="Q72" s="28">
        <v>0.26041666666666669</v>
      </c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3" x14ac:dyDescent="0.3">
      <c r="A73" s="24">
        <v>74</v>
      </c>
      <c r="B73" s="24"/>
      <c r="C73" s="24"/>
      <c r="D73" s="25" t="s">
        <v>99</v>
      </c>
      <c r="E73" s="29">
        <v>1098</v>
      </c>
      <c r="F73" s="25" t="s">
        <v>6</v>
      </c>
      <c r="G73" s="26">
        <v>0</v>
      </c>
      <c r="H73" s="26"/>
      <c r="I73" s="27"/>
      <c r="J73" s="32"/>
      <c r="K73" s="26"/>
      <c r="L73" s="24"/>
      <c r="M73" s="24"/>
      <c r="N73" s="26">
        <v>127.7</v>
      </c>
      <c r="O73" s="24"/>
      <c r="P73" s="25"/>
      <c r="Q73" s="28">
        <v>0.35833333333333334</v>
      </c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3" x14ac:dyDescent="0.3">
      <c r="A74" s="24">
        <v>98</v>
      </c>
      <c r="B74" s="24"/>
      <c r="C74" s="24"/>
      <c r="D74" s="25" t="s">
        <v>123</v>
      </c>
      <c r="E74" s="29">
        <v>1046</v>
      </c>
      <c r="F74" s="25" t="s">
        <v>688</v>
      </c>
      <c r="G74" s="26">
        <v>84130</v>
      </c>
      <c r="H74" s="26"/>
      <c r="I74" s="27"/>
      <c r="J74" s="32"/>
      <c r="K74" s="26"/>
      <c r="L74" s="24"/>
      <c r="M74" s="24"/>
      <c r="N74" s="26">
        <v>212.1</v>
      </c>
      <c r="O74" s="24"/>
      <c r="P74" s="25"/>
      <c r="Q74" s="28">
        <v>0.20555555555555557</v>
      </c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25">
      <c r="A75" s="24">
        <v>40</v>
      </c>
      <c r="B75" s="24"/>
      <c r="C75" s="24"/>
      <c r="D75" s="25" t="s">
        <v>63</v>
      </c>
      <c r="E75" s="29">
        <v>1017</v>
      </c>
      <c r="F75" s="25" t="s">
        <v>524</v>
      </c>
      <c r="G75" s="26">
        <v>290540</v>
      </c>
      <c r="H75" s="26">
        <v>181</v>
      </c>
      <c r="I75" s="27">
        <v>7.25</v>
      </c>
      <c r="J75" s="27">
        <v>5.6109999999999998</v>
      </c>
      <c r="K75" s="26"/>
      <c r="L75" s="24"/>
      <c r="M75" s="24"/>
      <c r="N75" s="26">
        <v>208.2</v>
      </c>
      <c r="O75" s="24"/>
      <c r="P75" s="25"/>
      <c r="Q75" s="28">
        <v>0.20347222222222219</v>
      </c>
      <c r="R75" s="25"/>
      <c r="S75" s="25"/>
      <c r="T75" s="25"/>
      <c r="U75" s="25"/>
      <c r="V75" s="25"/>
      <c r="W75" s="25" t="s">
        <v>30</v>
      </c>
      <c r="X75" s="25" t="s">
        <v>6</v>
      </c>
      <c r="Y75" s="26">
        <v>1000</v>
      </c>
      <c r="Z75" s="25"/>
    </row>
    <row r="76" spans="1:26" ht="13" x14ac:dyDescent="0.3">
      <c r="A76" s="24">
        <v>182</v>
      </c>
      <c r="B76" s="24"/>
      <c r="C76" s="24"/>
      <c r="D76" s="25" t="s">
        <v>213</v>
      </c>
      <c r="E76" s="29">
        <v>965</v>
      </c>
      <c r="F76" s="25" t="s">
        <v>561</v>
      </c>
      <c r="G76" s="26">
        <v>13940</v>
      </c>
      <c r="H76" s="26"/>
      <c r="I76" s="27"/>
      <c r="J76" s="32"/>
      <c r="K76" s="26"/>
      <c r="L76" s="24"/>
      <c r="M76" s="24"/>
      <c r="N76" s="26">
        <v>171</v>
      </c>
      <c r="O76" s="24"/>
      <c r="P76" s="25"/>
      <c r="Q76" s="28">
        <v>0.23541666666666669</v>
      </c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3" x14ac:dyDescent="0.3">
      <c r="A77" s="24">
        <v>116</v>
      </c>
      <c r="B77" s="24"/>
      <c r="C77" s="24"/>
      <c r="D77" s="25" t="s">
        <v>142</v>
      </c>
      <c r="E77" s="29">
        <v>958</v>
      </c>
      <c r="F77" s="25" t="s">
        <v>546</v>
      </c>
      <c r="G77" s="26">
        <v>153870</v>
      </c>
      <c r="H77" s="26"/>
      <c r="I77" s="27"/>
      <c r="J77" s="32"/>
      <c r="K77" s="26"/>
      <c r="L77" s="24"/>
      <c r="M77" s="24"/>
      <c r="N77" s="26">
        <v>241.4</v>
      </c>
      <c r="O77" s="24"/>
      <c r="P77" s="25"/>
      <c r="Q77" s="28">
        <v>0.16527777777777777</v>
      </c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3" x14ac:dyDescent="0.3">
      <c r="A78" s="24">
        <v>180</v>
      </c>
      <c r="B78" s="24"/>
      <c r="C78" s="24"/>
      <c r="D78" s="25" t="s">
        <v>211</v>
      </c>
      <c r="E78" s="29">
        <v>957</v>
      </c>
      <c r="F78" s="25" t="s">
        <v>703</v>
      </c>
      <c r="G78" s="26">
        <v>100</v>
      </c>
      <c r="H78" s="26"/>
      <c r="I78" s="27"/>
      <c r="J78" s="32"/>
      <c r="K78" s="26"/>
      <c r="L78" s="24"/>
      <c r="M78" s="24"/>
      <c r="N78" s="26">
        <v>165</v>
      </c>
      <c r="O78" s="24"/>
      <c r="P78" s="25"/>
      <c r="Q78" s="28">
        <v>0.24166666666666667</v>
      </c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3" x14ac:dyDescent="0.3">
      <c r="A79" s="24">
        <v>64</v>
      </c>
      <c r="B79" s="24"/>
      <c r="C79" s="24"/>
      <c r="D79" s="25" t="s">
        <v>89</v>
      </c>
      <c r="E79" s="29">
        <v>909</v>
      </c>
      <c r="F79" s="25" t="s">
        <v>3</v>
      </c>
      <c r="G79" s="26">
        <v>5000</v>
      </c>
      <c r="H79" s="26"/>
      <c r="I79" s="27"/>
      <c r="J79" s="32"/>
      <c r="K79" s="26"/>
      <c r="L79" s="24"/>
      <c r="M79" s="24"/>
      <c r="N79" s="26">
        <v>205.9</v>
      </c>
      <c r="O79" s="24"/>
      <c r="P79" s="25"/>
      <c r="Q79" s="28">
        <v>0.18402777777777779</v>
      </c>
      <c r="R79" s="25"/>
      <c r="S79" s="25"/>
      <c r="T79" s="25"/>
      <c r="U79" s="25"/>
      <c r="V79" s="25"/>
      <c r="W79" s="25" t="s">
        <v>472</v>
      </c>
      <c r="X79" s="25"/>
      <c r="Y79" s="25"/>
      <c r="Z79" s="25"/>
    </row>
    <row r="80" spans="1:26" ht="13" x14ac:dyDescent="0.3">
      <c r="A80" s="24">
        <v>154</v>
      </c>
      <c r="B80" s="24"/>
      <c r="C80" s="24"/>
      <c r="D80" s="25" t="s">
        <v>183</v>
      </c>
      <c r="E80" s="29">
        <v>879</v>
      </c>
      <c r="F80" s="25"/>
      <c r="G80" s="26"/>
      <c r="H80" s="26"/>
      <c r="I80" s="27"/>
      <c r="J80" s="32"/>
      <c r="K80" s="26"/>
      <c r="L80" s="24"/>
      <c r="M80" s="24"/>
      <c r="N80" s="26">
        <v>237.5</v>
      </c>
      <c r="O80" s="24"/>
      <c r="P80" s="25"/>
      <c r="Q80" s="28">
        <v>0.15416666666666667</v>
      </c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3" x14ac:dyDescent="0.3">
      <c r="A81" s="40">
        <v>78</v>
      </c>
      <c r="B81" s="40"/>
      <c r="C81" s="40"/>
      <c r="D81" s="30" t="s">
        <v>103</v>
      </c>
      <c r="E81" s="29">
        <v>852</v>
      </c>
      <c r="F81" s="25" t="s">
        <v>540</v>
      </c>
      <c r="G81" s="26">
        <v>0</v>
      </c>
      <c r="H81" s="26">
        <v>247</v>
      </c>
      <c r="I81" s="27">
        <v>7.6470000000000002</v>
      </c>
      <c r="J81" s="32">
        <v>5.8239999999999998</v>
      </c>
      <c r="K81" s="26">
        <v>103</v>
      </c>
      <c r="L81" s="24"/>
      <c r="M81" s="24"/>
      <c r="N81" s="26">
        <v>198.8</v>
      </c>
      <c r="O81" s="24"/>
      <c r="P81" s="25"/>
      <c r="Q81" s="28">
        <v>0.17847222222222223</v>
      </c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3" x14ac:dyDescent="0.3">
      <c r="A82" s="24">
        <v>61</v>
      </c>
      <c r="B82" s="24"/>
      <c r="C82" s="24"/>
      <c r="D82" s="25" t="s">
        <v>86</v>
      </c>
      <c r="E82" s="29">
        <v>845</v>
      </c>
      <c r="F82" s="25" t="s">
        <v>538</v>
      </c>
      <c r="G82" s="26">
        <v>167900</v>
      </c>
      <c r="H82" s="26"/>
      <c r="I82" s="27"/>
      <c r="J82" s="32"/>
      <c r="K82" s="26"/>
      <c r="L82" s="24"/>
      <c r="M82" s="24"/>
      <c r="N82" s="26">
        <v>123.9</v>
      </c>
      <c r="O82" s="24"/>
      <c r="P82" s="25"/>
      <c r="Q82" s="28">
        <v>0.28402777777777777</v>
      </c>
      <c r="R82" s="25"/>
      <c r="S82" s="25"/>
      <c r="T82" s="25"/>
      <c r="U82" s="25"/>
      <c r="V82" s="25"/>
      <c r="W82" s="25" t="s">
        <v>322</v>
      </c>
      <c r="X82" s="25"/>
      <c r="Y82" s="25"/>
      <c r="Z82" s="25"/>
    </row>
    <row r="83" spans="1:26" ht="13" x14ac:dyDescent="0.3">
      <c r="A83" s="24">
        <v>107</v>
      </c>
      <c r="B83" s="24"/>
      <c r="C83" s="24"/>
      <c r="D83" s="25" t="s">
        <v>132</v>
      </c>
      <c r="E83" s="29">
        <v>838</v>
      </c>
      <c r="F83" s="25" t="s">
        <v>544</v>
      </c>
      <c r="G83" s="26">
        <v>66340</v>
      </c>
      <c r="H83" s="26"/>
      <c r="I83" s="27"/>
      <c r="J83" s="32"/>
      <c r="K83" s="26"/>
      <c r="L83" s="24"/>
      <c r="M83" s="24"/>
      <c r="N83" s="26">
        <v>103</v>
      </c>
      <c r="O83" s="24"/>
      <c r="P83" s="25"/>
      <c r="Q83" s="28">
        <v>0.33888888888888885</v>
      </c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3" x14ac:dyDescent="0.3">
      <c r="A84" s="24">
        <v>200</v>
      </c>
      <c r="B84" s="24"/>
      <c r="C84" s="24"/>
      <c r="D84" s="25" t="s">
        <v>231</v>
      </c>
      <c r="E84" s="29">
        <v>837</v>
      </c>
      <c r="F84" s="25"/>
      <c r="G84" s="26"/>
      <c r="H84" s="26"/>
      <c r="I84" s="27"/>
      <c r="J84" s="32"/>
      <c r="K84" s="26"/>
      <c r="L84" s="24"/>
      <c r="M84" s="24"/>
      <c r="N84" s="26">
        <v>94</v>
      </c>
      <c r="O84" s="24"/>
      <c r="P84" s="25"/>
      <c r="Q84" s="28">
        <v>0.37083333333333335</v>
      </c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3" x14ac:dyDescent="0.3">
      <c r="A85" s="24">
        <v>92</v>
      </c>
      <c r="B85" s="24"/>
      <c r="C85" s="24"/>
      <c r="D85" s="25" t="s">
        <v>117</v>
      </c>
      <c r="E85" s="29">
        <v>815</v>
      </c>
      <c r="F85" s="25" t="s">
        <v>3</v>
      </c>
      <c r="G85" s="26">
        <v>5000</v>
      </c>
      <c r="H85" s="26"/>
      <c r="I85" s="27"/>
      <c r="J85" s="32"/>
      <c r="K85" s="26"/>
      <c r="L85" s="24"/>
      <c r="M85" s="24"/>
      <c r="N85" s="26">
        <v>235.2</v>
      </c>
      <c r="O85" s="24"/>
      <c r="P85" s="25"/>
      <c r="Q85" s="28">
        <v>0.14444444444444446</v>
      </c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3" x14ac:dyDescent="0.3">
      <c r="A86" s="24">
        <v>63</v>
      </c>
      <c r="B86" s="24"/>
      <c r="C86" s="24"/>
      <c r="D86" s="25" t="s">
        <v>88</v>
      </c>
      <c r="E86" s="29">
        <v>757</v>
      </c>
      <c r="F86" s="25" t="s">
        <v>674</v>
      </c>
      <c r="G86" s="26">
        <v>10280</v>
      </c>
      <c r="H86" s="26"/>
      <c r="I86" s="27"/>
      <c r="J86" s="32"/>
      <c r="K86" s="26"/>
      <c r="L86" s="24"/>
      <c r="M86" s="24"/>
      <c r="N86" s="26">
        <v>132.80000000000001</v>
      </c>
      <c r="O86" s="24"/>
      <c r="P86" s="25"/>
      <c r="Q86" s="28">
        <v>0.23750000000000002</v>
      </c>
      <c r="R86" s="25"/>
      <c r="S86" s="25"/>
      <c r="T86" s="25"/>
      <c r="U86" s="25"/>
      <c r="V86" s="25"/>
      <c r="W86" s="25" t="s">
        <v>465</v>
      </c>
      <c r="X86" s="25"/>
      <c r="Y86" s="25"/>
      <c r="Z86" s="25"/>
    </row>
    <row r="87" spans="1:26" x14ac:dyDescent="0.25">
      <c r="A87" s="24">
        <v>36</v>
      </c>
      <c r="B87" s="24"/>
      <c r="C87" s="24"/>
      <c r="D87" s="25" t="s">
        <v>57</v>
      </c>
      <c r="E87" s="29">
        <v>739</v>
      </c>
      <c r="F87" s="25" t="s">
        <v>6</v>
      </c>
      <c r="G87" s="26">
        <v>1000</v>
      </c>
      <c r="H87" s="26">
        <v>510</v>
      </c>
      <c r="I87" s="27">
        <v>18.2</v>
      </c>
      <c r="J87" s="27">
        <v>13.96</v>
      </c>
      <c r="K87" s="26"/>
      <c r="L87" s="24"/>
      <c r="M87" s="24"/>
      <c r="N87" s="26">
        <v>599.4</v>
      </c>
      <c r="O87" s="24"/>
      <c r="P87" s="25"/>
      <c r="Q87" s="28">
        <v>5.1388888888888894E-2</v>
      </c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3" x14ac:dyDescent="0.3">
      <c r="A88" s="24">
        <v>44</v>
      </c>
      <c r="B88" s="24"/>
      <c r="C88" s="24"/>
      <c r="D88" s="25" t="s">
        <v>67</v>
      </c>
      <c r="E88" s="29">
        <v>720</v>
      </c>
      <c r="F88" s="25" t="s">
        <v>525</v>
      </c>
      <c r="G88" s="26">
        <v>171400</v>
      </c>
      <c r="H88" s="26"/>
      <c r="I88" s="27"/>
      <c r="J88" s="32"/>
      <c r="K88" s="26"/>
      <c r="L88" s="24"/>
      <c r="M88" s="24"/>
      <c r="N88" s="26">
        <v>209.6</v>
      </c>
      <c r="O88" s="24"/>
      <c r="P88" s="25"/>
      <c r="Q88" s="28">
        <v>0.14305555555555557</v>
      </c>
      <c r="R88" s="25"/>
      <c r="S88" s="25"/>
      <c r="T88" s="25"/>
      <c r="U88" s="25"/>
      <c r="V88" s="25"/>
      <c r="W88" s="25" t="s">
        <v>76</v>
      </c>
      <c r="X88" s="25"/>
      <c r="Y88" s="25"/>
      <c r="Z88" s="25"/>
    </row>
    <row r="89" spans="1:26" ht="13" x14ac:dyDescent="0.3">
      <c r="A89" s="24">
        <v>162</v>
      </c>
      <c r="B89" s="24"/>
      <c r="C89" s="24"/>
      <c r="D89" s="25" t="s">
        <v>191</v>
      </c>
      <c r="E89" s="29">
        <v>694</v>
      </c>
      <c r="F89" s="25" t="s">
        <v>698</v>
      </c>
      <c r="G89" s="26">
        <v>7790</v>
      </c>
      <c r="H89" s="26"/>
      <c r="I89" s="27"/>
      <c r="J89" s="32"/>
      <c r="K89" s="26"/>
      <c r="L89" s="24"/>
      <c r="M89" s="24"/>
      <c r="N89" s="26">
        <v>132.69999999999999</v>
      </c>
      <c r="O89" s="24"/>
      <c r="P89" s="25"/>
      <c r="Q89" s="28">
        <v>0.21805555555555556</v>
      </c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3" x14ac:dyDescent="0.3">
      <c r="A90" s="24">
        <v>80</v>
      </c>
      <c r="B90" s="24"/>
      <c r="C90" s="24"/>
      <c r="D90" s="25" t="s">
        <v>105</v>
      </c>
      <c r="E90" s="29">
        <v>691</v>
      </c>
      <c r="F90" s="25" t="s">
        <v>539</v>
      </c>
      <c r="G90" s="26">
        <v>215690</v>
      </c>
      <c r="H90" s="26"/>
      <c r="I90" s="27"/>
      <c r="J90" s="32"/>
      <c r="K90" s="26"/>
      <c r="L90" s="24"/>
      <c r="M90" s="24"/>
      <c r="N90" s="26">
        <v>107.4</v>
      </c>
      <c r="O90" s="24"/>
      <c r="P90" s="25"/>
      <c r="Q90" s="28">
        <v>0.26805555555555555</v>
      </c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3" x14ac:dyDescent="0.3">
      <c r="A91" s="24">
        <v>140</v>
      </c>
      <c r="B91" s="24"/>
      <c r="C91" s="24"/>
      <c r="D91" s="25" t="s">
        <v>168</v>
      </c>
      <c r="E91" s="29">
        <v>667</v>
      </c>
      <c r="F91" s="25" t="s">
        <v>6</v>
      </c>
      <c r="G91" s="26"/>
      <c r="H91" s="26"/>
      <c r="I91" s="27"/>
      <c r="J91" s="32"/>
      <c r="K91" s="26"/>
      <c r="L91" s="24"/>
      <c r="M91" s="24"/>
      <c r="N91" s="26">
        <v>160.80000000000001</v>
      </c>
      <c r="O91" s="24"/>
      <c r="P91" s="25"/>
      <c r="Q91" s="28">
        <v>0.17291666666666669</v>
      </c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3" x14ac:dyDescent="0.3">
      <c r="A92" s="24">
        <v>72</v>
      </c>
      <c r="B92" s="24"/>
      <c r="C92" s="24"/>
      <c r="D92" s="25" t="s">
        <v>97</v>
      </c>
      <c r="E92" s="29">
        <v>653</v>
      </c>
      <c r="F92" s="25" t="s">
        <v>536</v>
      </c>
      <c r="G92" s="26">
        <v>140670</v>
      </c>
      <c r="H92" s="26"/>
      <c r="I92" s="27"/>
      <c r="J92" s="32"/>
      <c r="K92" s="26"/>
      <c r="L92" s="24"/>
      <c r="M92" s="24"/>
      <c r="N92" s="26">
        <v>114.3</v>
      </c>
      <c r="O92" s="24"/>
      <c r="P92" s="25"/>
      <c r="Q92" s="28">
        <v>0.23819444444444446</v>
      </c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25">
      <c r="A93" s="24">
        <v>37</v>
      </c>
      <c r="B93" s="24"/>
      <c r="C93" s="24"/>
      <c r="D93" s="25" t="s">
        <v>59</v>
      </c>
      <c r="E93" s="29">
        <v>644</v>
      </c>
      <c r="F93" s="25" t="s">
        <v>540</v>
      </c>
      <c r="G93" s="26">
        <v>0</v>
      </c>
      <c r="H93" s="26">
        <v>719</v>
      </c>
      <c r="I93" s="27">
        <v>7.86</v>
      </c>
      <c r="J93" s="27">
        <v>5.1890000000000001</v>
      </c>
      <c r="K93" s="26"/>
      <c r="L93" s="24"/>
      <c r="M93" s="24"/>
      <c r="N93" s="26">
        <v>238.7</v>
      </c>
      <c r="O93" s="24"/>
      <c r="P93" s="25"/>
      <c r="Q93" s="28">
        <v>0.1125</v>
      </c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3" x14ac:dyDescent="0.3">
      <c r="A94" s="24">
        <v>160</v>
      </c>
      <c r="B94" s="24">
        <v>211</v>
      </c>
      <c r="C94" s="24">
        <v>799</v>
      </c>
      <c r="D94" s="25" t="s">
        <v>242</v>
      </c>
      <c r="E94" s="29">
        <v>625</v>
      </c>
      <c r="F94" s="25"/>
      <c r="G94" s="26"/>
      <c r="H94" s="26"/>
      <c r="I94" s="27"/>
      <c r="J94" s="32"/>
      <c r="K94" s="26"/>
      <c r="L94" s="24"/>
      <c r="M94" s="24"/>
      <c r="N94" s="26">
        <v>42</v>
      </c>
      <c r="O94" s="24"/>
      <c r="P94" s="25"/>
      <c r="Q94" s="28">
        <v>0.62083333333333335</v>
      </c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3" x14ac:dyDescent="0.3">
      <c r="A95" s="24">
        <v>109</v>
      </c>
      <c r="B95" s="24"/>
      <c r="C95" s="24"/>
      <c r="D95" s="25" t="s">
        <v>134</v>
      </c>
      <c r="E95" s="29">
        <v>614</v>
      </c>
      <c r="F95" s="25" t="s">
        <v>538</v>
      </c>
      <c r="G95" s="26">
        <v>167630</v>
      </c>
      <c r="H95" s="26"/>
      <c r="I95" s="27"/>
      <c r="J95" s="32"/>
      <c r="K95" s="26"/>
      <c r="L95" s="24"/>
      <c r="M95" s="24"/>
      <c r="N95" s="26">
        <v>57.19</v>
      </c>
      <c r="O95" s="24"/>
      <c r="P95" s="25"/>
      <c r="Q95" s="28">
        <v>0.44722222222222219</v>
      </c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3" x14ac:dyDescent="0.3">
      <c r="A96" s="24">
        <v>240</v>
      </c>
      <c r="B96" s="24">
        <v>207</v>
      </c>
      <c r="C96" s="24">
        <v>387</v>
      </c>
      <c r="D96" s="25" t="s">
        <v>238</v>
      </c>
      <c r="E96" s="29">
        <v>610</v>
      </c>
      <c r="F96" s="25" t="s">
        <v>562</v>
      </c>
      <c r="G96" s="26"/>
      <c r="H96" s="26"/>
      <c r="I96" s="27"/>
      <c r="J96" s="32"/>
      <c r="K96" s="26"/>
      <c r="L96" s="24"/>
      <c r="M96" s="24"/>
      <c r="N96" s="26">
        <v>78</v>
      </c>
      <c r="O96" s="24"/>
      <c r="P96" s="25"/>
      <c r="Q96" s="28">
        <v>0.32569444444444445</v>
      </c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3" x14ac:dyDescent="0.3">
      <c r="A97" s="24">
        <v>75</v>
      </c>
      <c r="B97" s="24"/>
      <c r="C97" s="24"/>
      <c r="D97" s="25" t="s">
        <v>100</v>
      </c>
      <c r="E97" s="29">
        <v>602</v>
      </c>
      <c r="F97" s="25" t="s">
        <v>537</v>
      </c>
      <c r="G97" s="26">
        <v>32970</v>
      </c>
      <c r="H97" s="26"/>
      <c r="I97" s="27"/>
      <c r="J97" s="32"/>
      <c r="K97" s="26"/>
      <c r="L97" s="24"/>
      <c r="M97" s="24"/>
      <c r="N97" s="26">
        <v>110.1</v>
      </c>
      <c r="O97" s="24"/>
      <c r="P97" s="25"/>
      <c r="Q97" s="28">
        <v>0.22777777777777777</v>
      </c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3" x14ac:dyDescent="0.3">
      <c r="A98" s="24">
        <v>66</v>
      </c>
      <c r="B98" s="24"/>
      <c r="C98" s="24"/>
      <c r="D98" s="25" t="s">
        <v>91</v>
      </c>
      <c r="E98" s="29">
        <v>575</v>
      </c>
      <c r="F98" s="25" t="s">
        <v>606</v>
      </c>
      <c r="G98" s="26">
        <v>121240</v>
      </c>
      <c r="H98" s="26"/>
      <c r="I98" s="27"/>
      <c r="J98" s="32"/>
      <c r="K98" s="26"/>
      <c r="L98" s="24"/>
      <c r="M98" s="24"/>
      <c r="N98" s="26">
        <v>129.80000000000001</v>
      </c>
      <c r="O98" s="24"/>
      <c r="P98" s="25"/>
      <c r="Q98" s="28">
        <v>0.18472222222222223</v>
      </c>
      <c r="R98" s="25"/>
      <c r="S98" s="25"/>
      <c r="T98" s="25"/>
      <c r="U98" s="25"/>
      <c r="V98" s="25"/>
      <c r="W98" s="25" t="s">
        <v>178</v>
      </c>
      <c r="X98" s="25"/>
      <c r="Y98" s="25"/>
      <c r="Z98" s="25"/>
    </row>
    <row r="99" spans="1:26" ht="13" x14ac:dyDescent="0.3">
      <c r="A99" s="24">
        <v>57</v>
      </c>
      <c r="B99" s="24"/>
      <c r="C99" s="24"/>
      <c r="D99" s="25" t="s">
        <v>82</v>
      </c>
      <c r="E99" s="29">
        <v>571</v>
      </c>
      <c r="F99" s="25" t="s">
        <v>551</v>
      </c>
      <c r="G99" s="26">
        <v>73170</v>
      </c>
      <c r="H99" s="26"/>
      <c r="I99" s="27"/>
      <c r="J99" s="32"/>
      <c r="K99" s="26"/>
      <c r="L99" s="24"/>
      <c r="M99" s="24"/>
      <c r="N99" s="26">
        <v>147.69999999999999</v>
      </c>
      <c r="O99" s="24"/>
      <c r="P99" s="25"/>
      <c r="Q99" s="28">
        <v>0.16111111111111112</v>
      </c>
      <c r="R99" s="25"/>
      <c r="S99" s="25"/>
      <c r="T99" s="25"/>
      <c r="U99" s="25"/>
      <c r="V99" s="25"/>
      <c r="W99" s="25" t="s">
        <v>485</v>
      </c>
      <c r="X99" s="25"/>
      <c r="Y99" s="25"/>
      <c r="Z99" s="25"/>
    </row>
    <row r="100" spans="1:26" ht="13" x14ac:dyDescent="0.3">
      <c r="A100" s="24">
        <v>100</v>
      </c>
      <c r="B100" s="24">
        <v>209</v>
      </c>
      <c r="C100" s="24">
        <v>378</v>
      </c>
      <c r="D100" s="25" t="s">
        <v>240</v>
      </c>
      <c r="E100" s="29">
        <v>562</v>
      </c>
      <c r="F100" s="25"/>
      <c r="G100" s="26"/>
      <c r="H100" s="26"/>
      <c r="I100" s="27"/>
      <c r="J100" s="32"/>
      <c r="K100" s="26"/>
      <c r="L100" s="24"/>
      <c r="M100" s="24"/>
      <c r="N100" s="26">
        <v>40</v>
      </c>
      <c r="O100" s="24"/>
      <c r="P100" s="25"/>
      <c r="Q100" s="28">
        <v>0.59027777777777779</v>
      </c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3" x14ac:dyDescent="0.3">
      <c r="A101" s="24">
        <v>90</v>
      </c>
      <c r="B101" s="24"/>
      <c r="C101" s="24"/>
      <c r="D101" s="25" t="s">
        <v>115</v>
      </c>
      <c r="E101" s="29">
        <v>558</v>
      </c>
      <c r="F101" s="25" t="s">
        <v>6</v>
      </c>
      <c r="G101" s="26">
        <v>1000</v>
      </c>
      <c r="H101" s="26"/>
      <c r="I101" s="27"/>
      <c r="J101" s="32"/>
      <c r="K101" s="26"/>
      <c r="L101" s="24"/>
      <c r="M101" s="24"/>
      <c r="N101" s="26">
        <v>170.8</v>
      </c>
      <c r="O101" s="24"/>
      <c r="P101" s="25"/>
      <c r="Q101" s="28">
        <v>0.1361111111111111</v>
      </c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3" x14ac:dyDescent="0.3">
      <c r="A102" s="24">
        <v>95</v>
      </c>
      <c r="B102" s="24"/>
      <c r="C102" s="24"/>
      <c r="D102" s="25" t="s">
        <v>120</v>
      </c>
      <c r="E102" s="29">
        <v>558</v>
      </c>
      <c r="F102" s="25" t="s">
        <v>555</v>
      </c>
      <c r="G102" s="26">
        <v>13250</v>
      </c>
      <c r="H102" s="26"/>
      <c r="I102" s="27"/>
      <c r="J102" s="32"/>
      <c r="K102" s="26"/>
      <c r="L102" s="24"/>
      <c r="M102" s="24"/>
      <c r="N102" s="26">
        <v>95.61</v>
      </c>
      <c r="O102" s="24"/>
      <c r="P102" s="25"/>
      <c r="Q102" s="28">
        <v>0.24305555555555555</v>
      </c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3" x14ac:dyDescent="0.3">
      <c r="A103" s="24">
        <v>101</v>
      </c>
      <c r="B103" s="24"/>
      <c r="C103" s="24"/>
      <c r="D103" s="25" t="s">
        <v>126</v>
      </c>
      <c r="E103" s="29">
        <v>556</v>
      </c>
      <c r="F103" s="25" t="s">
        <v>6</v>
      </c>
      <c r="G103" s="26">
        <v>85900</v>
      </c>
      <c r="H103" s="26"/>
      <c r="I103" s="27"/>
      <c r="J103" s="32"/>
      <c r="K103" s="26"/>
      <c r="L103" s="24"/>
      <c r="M103" s="24"/>
      <c r="N103" s="26">
        <v>76.8</v>
      </c>
      <c r="O103" s="24"/>
      <c r="P103" s="25"/>
      <c r="Q103" s="28">
        <v>0.30138888888888887</v>
      </c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3" x14ac:dyDescent="0.3">
      <c r="A104" s="24">
        <v>77</v>
      </c>
      <c r="B104" s="24"/>
      <c r="C104" s="24"/>
      <c r="D104" s="25" t="s">
        <v>102</v>
      </c>
      <c r="E104" s="29">
        <v>555</v>
      </c>
      <c r="F104" s="25" t="s">
        <v>678</v>
      </c>
      <c r="G104" s="26">
        <v>3910</v>
      </c>
      <c r="H104" s="26"/>
      <c r="I104" s="27"/>
      <c r="J104" s="32"/>
      <c r="K104" s="26"/>
      <c r="L104" s="24"/>
      <c r="M104" s="24"/>
      <c r="N104" s="26">
        <v>109.2</v>
      </c>
      <c r="O104" s="24"/>
      <c r="P104" s="25"/>
      <c r="Q104" s="28">
        <v>0.21180555555555555</v>
      </c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3" x14ac:dyDescent="0.3">
      <c r="A105" s="24">
        <v>81</v>
      </c>
      <c r="B105" s="24"/>
      <c r="C105" s="24"/>
      <c r="D105" s="25" t="s">
        <v>106</v>
      </c>
      <c r="E105" s="29">
        <v>554</v>
      </c>
      <c r="F105" s="25" t="s">
        <v>679</v>
      </c>
      <c r="G105" s="26">
        <v>2220</v>
      </c>
      <c r="H105" s="26"/>
      <c r="I105" s="27"/>
      <c r="J105" s="32"/>
      <c r="K105" s="26"/>
      <c r="L105" s="24"/>
      <c r="M105" s="24"/>
      <c r="N105" s="26">
        <v>184.5</v>
      </c>
      <c r="O105" s="24"/>
      <c r="P105" s="25"/>
      <c r="Q105" s="28">
        <v>0.125</v>
      </c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3" x14ac:dyDescent="0.3">
      <c r="A106" s="24">
        <v>99</v>
      </c>
      <c r="B106" s="24"/>
      <c r="C106" s="24"/>
      <c r="D106" s="25" t="s">
        <v>124</v>
      </c>
      <c r="E106" s="29">
        <v>544</v>
      </c>
      <c r="F106" s="25" t="s">
        <v>533</v>
      </c>
      <c r="G106" s="26">
        <v>30480</v>
      </c>
      <c r="H106" s="26"/>
      <c r="I106" s="27"/>
      <c r="J106" s="32"/>
      <c r="K106" s="26"/>
      <c r="L106" s="24"/>
      <c r="M106" s="24"/>
      <c r="N106" s="26">
        <v>118.7</v>
      </c>
      <c r="O106" s="24"/>
      <c r="P106" s="25"/>
      <c r="Q106" s="28">
        <v>0.19097222222222221</v>
      </c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3" x14ac:dyDescent="0.3">
      <c r="A107" s="24">
        <v>58</v>
      </c>
      <c r="B107" s="24"/>
      <c r="C107" s="24"/>
      <c r="D107" s="25" t="s">
        <v>83</v>
      </c>
      <c r="E107" s="29">
        <v>530</v>
      </c>
      <c r="F107" s="25" t="s">
        <v>552</v>
      </c>
      <c r="G107" s="26">
        <v>145640</v>
      </c>
      <c r="H107" s="26"/>
      <c r="I107" s="27"/>
      <c r="J107" s="32"/>
      <c r="K107" s="26"/>
      <c r="L107" s="24"/>
      <c r="M107" s="24"/>
      <c r="N107" s="26">
        <v>177.7</v>
      </c>
      <c r="O107" s="24"/>
      <c r="P107" s="25"/>
      <c r="Q107" s="28">
        <v>0.12430555555555556</v>
      </c>
      <c r="R107" s="25"/>
      <c r="S107" s="25"/>
      <c r="T107" s="25"/>
      <c r="U107" s="25"/>
      <c r="V107" s="25"/>
      <c r="W107" s="25" t="s">
        <v>471</v>
      </c>
      <c r="X107" s="25"/>
      <c r="Y107" s="25"/>
      <c r="Z107" s="25"/>
    </row>
    <row r="108" spans="1:26" ht="13" x14ac:dyDescent="0.3">
      <c r="A108" s="24">
        <v>84</v>
      </c>
      <c r="B108" s="24"/>
      <c r="C108" s="24"/>
      <c r="D108" s="25" t="s">
        <v>109</v>
      </c>
      <c r="E108" s="29">
        <v>509</v>
      </c>
      <c r="F108" s="25" t="s">
        <v>6</v>
      </c>
      <c r="G108" s="26">
        <v>1000</v>
      </c>
      <c r="H108" s="26"/>
      <c r="I108" s="27"/>
      <c r="J108" s="32"/>
      <c r="K108" s="26"/>
      <c r="L108" s="24"/>
      <c r="M108" s="24"/>
      <c r="N108" s="26">
        <v>66.430000000000007</v>
      </c>
      <c r="O108" s="24"/>
      <c r="P108" s="25"/>
      <c r="Q108" s="28">
        <v>0.31944444444444448</v>
      </c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3" x14ac:dyDescent="0.3">
      <c r="A109" s="24">
        <v>55</v>
      </c>
      <c r="B109" s="24"/>
      <c r="C109" s="24"/>
      <c r="D109" s="25" t="s">
        <v>80</v>
      </c>
      <c r="E109" s="29">
        <v>492</v>
      </c>
      <c r="F109" s="25" t="s">
        <v>541</v>
      </c>
      <c r="G109" s="26">
        <v>200000</v>
      </c>
      <c r="H109" s="26"/>
      <c r="I109" s="27"/>
      <c r="J109" s="32"/>
      <c r="K109" s="26"/>
      <c r="L109" s="24"/>
      <c r="M109" s="24"/>
      <c r="N109" s="26">
        <v>162.30000000000001</v>
      </c>
      <c r="O109" s="24"/>
      <c r="P109" s="25"/>
      <c r="Q109" s="28">
        <v>0.12638888888888888</v>
      </c>
      <c r="R109" s="25"/>
      <c r="S109" s="25"/>
      <c r="T109" s="25"/>
      <c r="U109" s="25"/>
      <c r="V109" s="25"/>
      <c r="W109" s="25" t="s">
        <v>387</v>
      </c>
      <c r="X109" s="25"/>
      <c r="Y109" s="25"/>
      <c r="Z109" s="25"/>
    </row>
    <row r="110" spans="1:26" ht="13" x14ac:dyDescent="0.3">
      <c r="A110" s="24">
        <v>71</v>
      </c>
      <c r="B110" s="24"/>
      <c r="C110" s="24"/>
      <c r="D110" s="25" t="s">
        <v>96</v>
      </c>
      <c r="E110" s="29">
        <v>487</v>
      </c>
      <c r="F110" s="25" t="s">
        <v>542</v>
      </c>
      <c r="G110" s="26">
        <v>56030</v>
      </c>
      <c r="H110" s="26"/>
      <c r="I110" s="27"/>
      <c r="J110" s="32"/>
      <c r="K110" s="26"/>
      <c r="L110" s="24"/>
      <c r="M110" s="24"/>
      <c r="N110" s="26">
        <v>151.5</v>
      </c>
      <c r="O110" s="24"/>
      <c r="P110" s="25"/>
      <c r="Q110" s="28">
        <v>0.13402777777777777</v>
      </c>
      <c r="R110" s="25"/>
      <c r="S110" s="25"/>
      <c r="T110" s="25" t="s">
        <v>684</v>
      </c>
      <c r="U110" s="25"/>
      <c r="V110" s="25"/>
      <c r="W110" s="25"/>
      <c r="X110" s="25"/>
      <c r="Y110" s="25"/>
      <c r="Z110" s="25"/>
    </row>
    <row r="111" spans="1:26" ht="13" x14ac:dyDescent="0.3">
      <c r="A111" s="24">
        <v>54</v>
      </c>
      <c r="B111" s="24"/>
      <c r="C111" s="24"/>
      <c r="D111" s="25" t="s">
        <v>79</v>
      </c>
      <c r="E111" s="29">
        <v>479</v>
      </c>
      <c r="F111" s="25" t="s">
        <v>675</v>
      </c>
      <c r="G111" s="26">
        <v>863</v>
      </c>
      <c r="H111" s="26"/>
      <c r="I111" s="27"/>
      <c r="J111" s="32"/>
      <c r="K111" s="26"/>
      <c r="L111" s="24"/>
      <c r="M111" s="24"/>
      <c r="N111" s="26">
        <v>165.3</v>
      </c>
      <c r="O111" s="24"/>
      <c r="P111" s="25"/>
      <c r="Q111" s="28">
        <v>0.12083333333333333</v>
      </c>
      <c r="R111" s="25"/>
      <c r="S111" s="25"/>
      <c r="T111" s="25"/>
      <c r="U111" s="25"/>
      <c r="V111" s="25"/>
      <c r="W111" s="25" t="s">
        <v>370</v>
      </c>
      <c r="X111" s="25"/>
      <c r="Y111" s="25"/>
      <c r="Z111" s="25"/>
    </row>
    <row r="112" spans="1:26" ht="13" x14ac:dyDescent="0.3">
      <c r="A112" s="24">
        <v>129</v>
      </c>
      <c r="B112" s="24"/>
      <c r="C112" s="24"/>
      <c r="D112" s="25" t="s">
        <v>155</v>
      </c>
      <c r="E112" s="29">
        <v>477</v>
      </c>
      <c r="F112" s="25" t="s">
        <v>559</v>
      </c>
      <c r="G112" s="26">
        <v>25590</v>
      </c>
      <c r="H112" s="26"/>
      <c r="I112" s="27"/>
      <c r="J112" s="32"/>
      <c r="K112" s="26"/>
      <c r="L112" s="24"/>
      <c r="M112" s="24"/>
      <c r="N112" s="26">
        <v>63.04</v>
      </c>
      <c r="O112" s="24"/>
      <c r="P112" s="25"/>
      <c r="Q112" s="28">
        <v>0.31527777777777777</v>
      </c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3" x14ac:dyDescent="0.3">
      <c r="A113" s="24">
        <v>68</v>
      </c>
      <c r="B113" s="24"/>
      <c r="C113" s="24"/>
      <c r="D113" s="25" t="s">
        <v>93</v>
      </c>
      <c r="E113" s="29">
        <v>471</v>
      </c>
      <c r="F113" s="25" t="s">
        <v>6</v>
      </c>
      <c r="G113" s="26"/>
      <c r="H113" s="26"/>
      <c r="I113" s="27"/>
      <c r="J113" s="32"/>
      <c r="K113" s="26"/>
      <c r="L113" s="24"/>
      <c r="M113" s="24"/>
      <c r="N113" s="26">
        <v>139.80000000000001</v>
      </c>
      <c r="O113" s="24"/>
      <c r="P113" s="25"/>
      <c r="Q113" s="28">
        <v>0.14027777777777778</v>
      </c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3" x14ac:dyDescent="0.3">
      <c r="A114" s="24">
        <v>135</v>
      </c>
      <c r="B114" s="24"/>
      <c r="C114" s="24"/>
      <c r="D114" s="25" t="s">
        <v>162</v>
      </c>
      <c r="E114" s="29">
        <v>467</v>
      </c>
      <c r="F114" s="25" t="s">
        <v>548</v>
      </c>
      <c r="G114" s="26">
        <v>184760</v>
      </c>
      <c r="H114" s="26"/>
      <c r="I114" s="27"/>
      <c r="J114" s="32"/>
      <c r="K114" s="26"/>
      <c r="L114" s="24"/>
      <c r="M114" s="24"/>
      <c r="N114" s="26">
        <v>129.69999999999999</v>
      </c>
      <c r="O114" s="24"/>
      <c r="P114" s="25"/>
      <c r="Q114" s="28">
        <v>0.15</v>
      </c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3" x14ac:dyDescent="0.3">
      <c r="A115" s="40">
        <v>88</v>
      </c>
      <c r="B115" s="40"/>
      <c r="C115" s="40"/>
      <c r="D115" s="30" t="s">
        <v>113</v>
      </c>
      <c r="E115" s="29">
        <v>463</v>
      </c>
      <c r="F115" s="25" t="s">
        <v>685</v>
      </c>
      <c r="G115" s="26">
        <v>100</v>
      </c>
      <c r="H115" s="26">
        <v>204</v>
      </c>
      <c r="I115" s="27">
        <v>6.41</v>
      </c>
      <c r="J115" s="32">
        <v>5.6589999999999998</v>
      </c>
      <c r="K115" s="26">
        <v>117</v>
      </c>
      <c r="L115" s="24"/>
      <c r="M115" s="24" t="s">
        <v>743</v>
      </c>
      <c r="N115" s="26">
        <v>180.2</v>
      </c>
      <c r="O115" s="24"/>
      <c r="P115" s="25" t="s">
        <v>686</v>
      </c>
      <c r="Q115" s="28">
        <v>0.10694444444444444</v>
      </c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3" x14ac:dyDescent="0.3">
      <c r="A116" s="24">
        <v>91</v>
      </c>
      <c r="B116" s="24"/>
      <c r="C116" s="24"/>
      <c r="D116" s="25" t="s">
        <v>116</v>
      </c>
      <c r="E116" s="29">
        <v>459</v>
      </c>
      <c r="F116" s="25" t="s">
        <v>554</v>
      </c>
      <c r="G116" s="26">
        <v>12330</v>
      </c>
      <c r="H116" s="26"/>
      <c r="I116" s="27"/>
      <c r="J116" s="32"/>
      <c r="K116" s="26"/>
      <c r="L116" s="24"/>
      <c r="M116" s="24"/>
      <c r="N116" s="26">
        <v>122.4</v>
      </c>
      <c r="O116" s="24"/>
      <c r="P116" s="25"/>
      <c r="Q116" s="28">
        <v>0.15625</v>
      </c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3" x14ac:dyDescent="0.3">
      <c r="A117" s="24">
        <v>165</v>
      </c>
      <c r="B117" s="24"/>
      <c r="C117" s="24"/>
      <c r="D117" s="25" t="s">
        <v>195</v>
      </c>
      <c r="E117" s="29">
        <v>458</v>
      </c>
      <c r="F117" s="25" t="s">
        <v>700</v>
      </c>
      <c r="G117" s="26">
        <v>3000</v>
      </c>
      <c r="H117" s="26"/>
      <c r="I117" s="27"/>
      <c r="J117" s="32"/>
      <c r="K117" s="26"/>
      <c r="L117" s="24"/>
      <c r="M117" s="24"/>
      <c r="N117" s="26">
        <v>52.43</v>
      </c>
      <c r="O117" s="24"/>
      <c r="P117" s="25"/>
      <c r="Q117" s="28">
        <v>0.36388888888888887</v>
      </c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3" x14ac:dyDescent="0.3">
      <c r="A118" s="24">
        <v>82</v>
      </c>
      <c r="B118" s="24"/>
      <c r="C118" s="24"/>
      <c r="D118" s="25" t="s">
        <v>107</v>
      </c>
      <c r="E118" s="29">
        <v>453</v>
      </c>
      <c r="F118" s="25" t="s">
        <v>680</v>
      </c>
      <c r="G118" s="26">
        <v>1170</v>
      </c>
      <c r="H118" s="26"/>
      <c r="I118" s="27"/>
      <c r="J118" s="32"/>
      <c r="K118" s="26"/>
      <c r="L118" s="24"/>
      <c r="M118" s="24"/>
      <c r="N118" s="26">
        <v>103.8</v>
      </c>
      <c r="O118" s="24"/>
      <c r="P118" s="25"/>
      <c r="Q118" s="28">
        <v>0.18194444444444444</v>
      </c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3" x14ac:dyDescent="0.3">
      <c r="A119" s="24">
        <v>160</v>
      </c>
      <c r="B119" s="24"/>
      <c r="C119" s="24"/>
      <c r="D119" s="25" t="s">
        <v>189</v>
      </c>
      <c r="E119" s="29">
        <v>447</v>
      </c>
      <c r="F119" s="25" t="s">
        <v>549</v>
      </c>
      <c r="G119" s="26">
        <v>88480</v>
      </c>
      <c r="H119" s="26"/>
      <c r="I119" s="27"/>
      <c r="J119" s="32"/>
      <c r="K119" s="26"/>
      <c r="L119" s="24"/>
      <c r="M119" s="24"/>
      <c r="N119" s="26">
        <v>88.87</v>
      </c>
      <c r="O119" s="24"/>
      <c r="P119" s="25"/>
      <c r="Q119" s="28">
        <v>0.20972222222222223</v>
      </c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3" x14ac:dyDescent="0.3">
      <c r="A120" s="24">
        <v>178</v>
      </c>
      <c r="B120" s="24"/>
      <c r="C120" s="24"/>
      <c r="D120" s="25" t="s">
        <v>209</v>
      </c>
      <c r="E120" s="29">
        <v>445</v>
      </c>
      <c r="F120" s="25" t="s">
        <v>2</v>
      </c>
      <c r="G120" s="26">
        <v>1000000</v>
      </c>
      <c r="H120" s="26"/>
      <c r="I120" s="27"/>
      <c r="J120" s="32"/>
      <c r="K120" s="26"/>
      <c r="L120" s="24"/>
      <c r="M120" s="24"/>
      <c r="N120" s="26">
        <v>100</v>
      </c>
      <c r="O120" s="24"/>
      <c r="P120" s="25"/>
      <c r="Q120" s="28">
        <v>0.18472222222222223</v>
      </c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3" x14ac:dyDescent="0.3">
      <c r="A121" s="24">
        <v>93</v>
      </c>
      <c r="B121" s="24"/>
      <c r="C121" s="24"/>
      <c r="D121" s="25" t="s">
        <v>118</v>
      </c>
      <c r="E121" s="29">
        <v>430</v>
      </c>
      <c r="F121" s="25" t="s">
        <v>687</v>
      </c>
      <c r="G121" s="26">
        <v>4070</v>
      </c>
      <c r="H121" s="26"/>
      <c r="I121" s="27"/>
      <c r="J121" s="32"/>
      <c r="K121" s="26"/>
      <c r="L121" s="24"/>
      <c r="M121" s="24"/>
      <c r="N121" s="26">
        <v>85.37</v>
      </c>
      <c r="O121" s="24"/>
      <c r="P121" s="25"/>
      <c r="Q121" s="28">
        <v>0.20972222222222223</v>
      </c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3" x14ac:dyDescent="0.3">
      <c r="A122" s="24">
        <v>56</v>
      </c>
      <c r="B122" s="24"/>
      <c r="C122" s="24"/>
      <c r="D122" s="25" t="s">
        <v>81</v>
      </c>
      <c r="E122" s="29">
        <v>428</v>
      </c>
      <c r="F122" s="25" t="s">
        <v>674</v>
      </c>
      <c r="G122" s="26">
        <v>10280</v>
      </c>
      <c r="H122" s="26"/>
      <c r="I122" s="27"/>
      <c r="J122" s="32"/>
      <c r="K122" s="26"/>
      <c r="L122" s="24"/>
      <c r="M122" s="24"/>
      <c r="N122" s="26">
        <v>165.8</v>
      </c>
      <c r="O122" s="24"/>
      <c r="P122" s="25"/>
      <c r="Q122" s="28">
        <v>0.1076388888888889</v>
      </c>
      <c r="R122" s="25"/>
      <c r="S122" s="25"/>
      <c r="T122" s="25"/>
      <c r="U122" s="25"/>
      <c r="V122" s="25"/>
      <c r="W122" s="25" t="s">
        <v>501</v>
      </c>
      <c r="X122" s="25"/>
      <c r="Y122" s="25"/>
      <c r="Z122" s="25"/>
    </row>
    <row r="123" spans="1:26" ht="13" x14ac:dyDescent="0.3">
      <c r="A123" s="24">
        <v>96</v>
      </c>
      <c r="B123" s="24"/>
      <c r="C123" s="24"/>
      <c r="D123" s="25" t="s">
        <v>121</v>
      </c>
      <c r="E123" s="29">
        <v>425</v>
      </c>
      <c r="F123" s="25" t="s">
        <v>556</v>
      </c>
      <c r="G123" s="26">
        <v>15680</v>
      </c>
      <c r="H123" s="26"/>
      <c r="I123" s="27"/>
      <c r="J123" s="32"/>
      <c r="K123" s="26"/>
      <c r="L123" s="24"/>
      <c r="M123" s="24"/>
      <c r="N123" s="26">
        <v>101.6</v>
      </c>
      <c r="O123" s="24"/>
      <c r="P123" s="25"/>
      <c r="Q123" s="28">
        <v>0.17430555555555557</v>
      </c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3" x14ac:dyDescent="0.3">
      <c r="A124" s="24">
        <v>141</v>
      </c>
      <c r="B124" s="24"/>
      <c r="C124" s="24"/>
      <c r="D124" s="25" t="s">
        <v>169</v>
      </c>
      <c r="E124" s="29">
        <v>415</v>
      </c>
      <c r="F124" s="25" t="s">
        <v>696</v>
      </c>
      <c r="G124" s="26">
        <v>1000</v>
      </c>
      <c r="H124" s="26"/>
      <c r="I124" s="27"/>
      <c r="J124" s="32"/>
      <c r="K124" s="26"/>
      <c r="L124" s="24"/>
      <c r="M124" s="24"/>
      <c r="N124" s="26">
        <v>124</v>
      </c>
      <c r="O124" s="24"/>
      <c r="P124" s="25"/>
      <c r="Q124" s="28">
        <v>0.13958333333333334</v>
      </c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3" x14ac:dyDescent="0.3">
      <c r="A125" s="24">
        <v>188</v>
      </c>
      <c r="B125" s="24">
        <v>214</v>
      </c>
      <c r="C125" s="24">
        <v>511</v>
      </c>
      <c r="D125" s="25" t="s">
        <v>245</v>
      </c>
      <c r="E125" s="29">
        <v>406</v>
      </c>
      <c r="F125" s="25"/>
      <c r="G125" s="26"/>
      <c r="H125" s="26"/>
      <c r="I125" s="27"/>
      <c r="J125" s="32"/>
      <c r="K125" s="26"/>
      <c r="L125" s="24"/>
      <c r="M125" s="24"/>
      <c r="N125" s="26">
        <v>74</v>
      </c>
      <c r="O125" s="24"/>
      <c r="P125" s="25"/>
      <c r="Q125" s="28">
        <v>0.22777777777777777</v>
      </c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3" x14ac:dyDescent="0.3">
      <c r="A126" s="24">
        <v>134</v>
      </c>
      <c r="B126" s="24"/>
      <c r="C126" s="24"/>
      <c r="D126" s="25" t="s">
        <v>161</v>
      </c>
      <c r="E126" s="29">
        <v>398</v>
      </c>
      <c r="F126" s="25" t="s">
        <v>547</v>
      </c>
      <c r="G126" s="26">
        <v>109950</v>
      </c>
      <c r="H126" s="26"/>
      <c r="I126" s="27"/>
      <c r="J126" s="32"/>
      <c r="K126" s="26"/>
      <c r="L126" s="24"/>
      <c r="M126" s="24"/>
      <c r="N126" s="26">
        <v>81.77</v>
      </c>
      <c r="O126" s="24"/>
      <c r="P126" s="25"/>
      <c r="Q126" s="28">
        <v>0.20277777777777781</v>
      </c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3" x14ac:dyDescent="0.3">
      <c r="A127" s="24">
        <v>102</v>
      </c>
      <c r="B127" s="24"/>
      <c r="C127" s="24"/>
      <c r="D127" s="25" t="s">
        <v>127</v>
      </c>
      <c r="E127" s="29">
        <v>390</v>
      </c>
      <c r="F127" s="25" t="s">
        <v>543</v>
      </c>
      <c r="G127" s="26">
        <v>223550</v>
      </c>
      <c r="H127" s="26"/>
      <c r="I127" s="27"/>
      <c r="J127" s="32"/>
      <c r="K127" s="26"/>
      <c r="L127" s="24"/>
      <c r="M127" s="24"/>
      <c r="N127" s="26">
        <v>90.46</v>
      </c>
      <c r="O127" s="24"/>
      <c r="P127" s="25"/>
      <c r="Q127" s="28">
        <v>0.17986111111111111</v>
      </c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3" x14ac:dyDescent="0.3">
      <c r="A128" s="24">
        <v>65</v>
      </c>
      <c r="B128" s="24"/>
      <c r="C128" s="24"/>
      <c r="D128" s="25" t="s">
        <v>90</v>
      </c>
      <c r="E128" s="29">
        <v>389</v>
      </c>
      <c r="F128" s="25" t="s">
        <v>607</v>
      </c>
      <c r="G128" s="26">
        <v>2050</v>
      </c>
      <c r="H128" s="26"/>
      <c r="I128" s="27"/>
      <c r="J128" s="32"/>
      <c r="K128" s="26"/>
      <c r="L128" s="24"/>
      <c r="M128" s="24"/>
      <c r="N128" s="26">
        <v>142.30000000000001</v>
      </c>
      <c r="O128" s="24"/>
      <c r="P128" s="25"/>
      <c r="Q128" s="28">
        <v>0.11388888888888889</v>
      </c>
      <c r="R128" s="25"/>
      <c r="S128" s="25"/>
      <c r="T128" s="25"/>
      <c r="U128" s="25"/>
      <c r="V128" s="25"/>
      <c r="W128" s="25" t="s">
        <v>497</v>
      </c>
      <c r="X128" s="25"/>
      <c r="Y128" s="25"/>
      <c r="Z128" s="25"/>
    </row>
    <row r="129" spans="1:26" ht="13" x14ac:dyDescent="0.3">
      <c r="A129" s="24">
        <v>164</v>
      </c>
      <c r="B129" s="24"/>
      <c r="C129" s="24"/>
      <c r="D129" s="25" t="s">
        <v>194</v>
      </c>
      <c r="E129" s="29">
        <v>389</v>
      </c>
      <c r="F129" s="25" t="s">
        <v>699</v>
      </c>
      <c r="G129" s="26">
        <v>9150</v>
      </c>
      <c r="H129" s="26"/>
      <c r="I129" s="27"/>
      <c r="J129" s="32"/>
      <c r="K129" s="26"/>
      <c r="L129" s="24"/>
      <c r="M129" s="24"/>
      <c r="N129" s="26">
        <v>56.71</v>
      </c>
      <c r="O129" s="24"/>
      <c r="P129" s="25"/>
      <c r="Q129" s="28">
        <v>0.28611111111111115</v>
      </c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3" x14ac:dyDescent="0.3">
      <c r="A130" s="24">
        <v>136</v>
      </c>
      <c r="B130" s="24"/>
      <c r="C130" s="24"/>
      <c r="D130" s="25" t="s">
        <v>163</v>
      </c>
      <c r="E130" s="29">
        <v>381</v>
      </c>
      <c r="F130" s="25" t="s">
        <v>6</v>
      </c>
      <c r="G130" s="26">
        <v>10000</v>
      </c>
      <c r="H130" s="26"/>
      <c r="I130" s="27"/>
      <c r="J130" s="32"/>
      <c r="K130" s="26"/>
      <c r="L130" s="24"/>
      <c r="M130" s="24"/>
      <c r="N130" s="26">
        <v>132.30000000000001</v>
      </c>
      <c r="O130" s="24"/>
      <c r="P130" s="25"/>
      <c r="Q130" s="28">
        <v>0.12013888888888889</v>
      </c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3" x14ac:dyDescent="0.3">
      <c r="A131" s="24">
        <v>69</v>
      </c>
      <c r="B131" s="24"/>
      <c r="C131" s="24"/>
      <c r="D131" s="25" t="s">
        <v>94</v>
      </c>
      <c r="E131" s="29">
        <v>372</v>
      </c>
      <c r="F131" s="25"/>
      <c r="G131" s="26"/>
      <c r="H131" s="26"/>
      <c r="I131" s="27"/>
      <c r="J131" s="32"/>
      <c r="K131" s="26"/>
      <c r="L131" s="24"/>
      <c r="M131" s="24"/>
      <c r="N131" s="26">
        <v>139.6</v>
      </c>
      <c r="O131" s="24"/>
      <c r="P131" s="25"/>
      <c r="Q131" s="28">
        <v>0.1111111111111111</v>
      </c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3" x14ac:dyDescent="0.3">
      <c r="A132" s="24">
        <v>159</v>
      </c>
      <c r="B132" s="24"/>
      <c r="C132" s="24"/>
      <c r="D132" s="25" t="s">
        <v>188</v>
      </c>
      <c r="E132" s="29">
        <v>371</v>
      </c>
      <c r="F132" s="25"/>
      <c r="G132" s="26"/>
      <c r="H132" s="26"/>
      <c r="I132" s="27"/>
      <c r="J132" s="32"/>
      <c r="K132" s="26"/>
      <c r="L132" s="24"/>
      <c r="M132" s="24"/>
      <c r="N132" s="26">
        <v>83.61</v>
      </c>
      <c r="O132" s="24"/>
      <c r="P132" s="25"/>
      <c r="Q132" s="28">
        <v>0.18472222222222223</v>
      </c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3" x14ac:dyDescent="0.3">
      <c r="A133" s="24">
        <v>112</v>
      </c>
      <c r="B133" s="24"/>
      <c r="C133" s="24"/>
      <c r="D133" s="25" t="s">
        <v>137</v>
      </c>
      <c r="E133" s="29">
        <v>366</v>
      </c>
      <c r="F133" s="25" t="s">
        <v>558</v>
      </c>
      <c r="G133" s="26">
        <v>2910</v>
      </c>
      <c r="H133" s="26"/>
      <c r="I133" s="27"/>
      <c r="J133" s="32"/>
      <c r="K133" s="26"/>
      <c r="L133" s="24"/>
      <c r="M133" s="24"/>
      <c r="N133" s="26">
        <v>69.09</v>
      </c>
      <c r="O133" s="24"/>
      <c r="P133" s="25"/>
      <c r="Q133" s="28">
        <v>0.22083333333333333</v>
      </c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3" x14ac:dyDescent="0.3">
      <c r="A134" s="24">
        <v>46</v>
      </c>
      <c r="B134" s="24"/>
      <c r="C134" s="24"/>
      <c r="D134" s="25" t="s">
        <v>69</v>
      </c>
      <c r="E134" s="29">
        <v>342</v>
      </c>
      <c r="F134" s="25" t="s">
        <v>6</v>
      </c>
      <c r="G134" s="26">
        <v>500</v>
      </c>
      <c r="H134" s="26"/>
      <c r="I134" s="27"/>
      <c r="J134" s="32"/>
      <c r="K134" s="26"/>
      <c r="L134" s="24"/>
      <c r="M134" s="24"/>
      <c r="N134" s="26">
        <v>181.7</v>
      </c>
      <c r="O134" s="24"/>
      <c r="P134" s="25"/>
      <c r="Q134" s="28">
        <v>7.8472222222222221E-2</v>
      </c>
      <c r="R134" s="25"/>
      <c r="S134" s="25"/>
      <c r="T134" s="25"/>
      <c r="U134" s="25"/>
      <c r="V134" s="25"/>
      <c r="W134" s="25" t="s">
        <v>140</v>
      </c>
      <c r="X134" s="25"/>
      <c r="Y134" s="25"/>
      <c r="Z134" s="25"/>
    </row>
    <row r="135" spans="1:26" ht="13" x14ac:dyDescent="0.3">
      <c r="A135" s="24">
        <v>127</v>
      </c>
      <c r="B135" s="24"/>
      <c r="C135" s="24"/>
      <c r="D135" s="25" t="s">
        <v>153</v>
      </c>
      <c r="E135" s="29">
        <v>341</v>
      </c>
      <c r="F135" s="25" t="s">
        <v>694</v>
      </c>
      <c r="G135" s="26">
        <v>87890</v>
      </c>
      <c r="H135" s="26"/>
      <c r="I135" s="27"/>
      <c r="J135" s="32"/>
      <c r="K135" s="26"/>
      <c r="L135" s="24"/>
      <c r="M135" s="24"/>
      <c r="N135" s="26">
        <v>70.099999999999994</v>
      </c>
      <c r="O135" s="24"/>
      <c r="P135" s="25"/>
      <c r="Q135" s="28">
        <v>0.20277777777777781</v>
      </c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3" x14ac:dyDescent="0.3">
      <c r="A136" s="24">
        <v>122</v>
      </c>
      <c r="B136" s="24"/>
      <c r="C136" s="24"/>
      <c r="D136" s="25" t="s">
        <v>148</v>
      </c>
      <c r="E136" s="29">
        <v>339</v>
      </c>
      <c r="F136" s="25" t="s">
        <v>696</v>
      </c>
      <c r="G136" s="26">
        <v>1000</v>
      </c>
      <c r="H136" s="26"/>
      <c r="I136" s="27"/>
      <c r="J136" s="32"/>
      <c r="K136" s="26"/>
      <c r="L136" s="24"/>
      <c r="M136" s="24"/>
      <c r="N136" s="26">
        <v>113.1</v>
      </c>
      <c r="O136" s="24"/>
      <c r="P136" s="25"/>
      <c r="Q136" s="28">
        <v>0.125</v>
      </c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3" x14ac:dyDescent="0.3">
      <c r="A137" s="24">
        <v>196</v>
      </c>
      <c r="B137" s="24"/>
      <c r="C137" s="24"/>
      <c r="D137" s="25" t="s">
        <v>227</v>
      </c>
      <c r="E137" s="29">
        <v>337</v>
      </c>
      <c r="F137" s="25"/>
      <c r="G137" s="26"/>
      <c r="H137" s="26"/>
      <c r="I137" s="27"/>
      <c r="J137" s="32"/>
      <c r="K137" s="26"/>
      <c r="L137" s="24"/>
      <c r="M137" s="24"/>
      <c r="N137" s="26">
        <v>49</v>
      </c>
      <c r="O137" s="24"/>
      <c r="P137" s="25"/>
      <c r="Q137" s="28">
        <v>0.28402777777777777</v>
      </c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3" x14ac:dyDescent="0.3">
      <c r="A138" s="24">
        <v>163</v>
      </c>
      <c r="B138" s="24"/>
      <c r="C138" s="24"/>
      <c r="D138" s="25" t="s">
        <v>193</v>
      </c>
      <c r="E138" s="29">
        <v>336</v>
      </c>
      <c r="F138" s="25"/>
      <c r="G138" s="26"/>
      <c r="H138" s="26"/>
      <c r="I138" s="27"/>
      <c r="J138" s="32"/>
      <c r="K138" s="26"/>
      <c r="L138" s="24"/>
      <c r="M138" s="24"/>
      <c r="N138" s="26">
        <v>179.9</v>
      </c>
      <c r="O138" s="24"/>
      <c r="P138" s="25"/>
      <c r="Q138" s="28">
        <v>7.7777777777777779E-2</v>
      </c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3" x14ac:dyDescent="0.3">
      <c r="A139" s="24">
        <v>142</v>
      </c>
      <c r="B139" s="24">
        <v>212</v>
      </c>
      <c r="C139" s="24">
        <v>648</v>
      </c>
      <c r="D139" s="25" t="s">
        <v>243</v>
      </c>
      <c r="E139" s="29">
        <v>329</v>
      </c>
      <c r="F139" s="25"/>
      <c r="G139" s="26"/>
      <c r="H139" s="26"/>
      <c r="I139" s="27"/>
      <c r="J139" s="32"/>
      <c r="K139" s="26"/>
      <c r="L139" s="24"/>
      <c r="M139" s="24"/>
      <c r="N139" s="26">
        <v>52</v>
      </c>
      <c r="O139" s="24"/>
      <c r="P139" s="25"/>
      <c r="Q139" s="28">
        <v>0.26527777777777778</v>
      </c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3" x14ac:dyDescent="0.3">
      <c r="A140" s="24">
        <v>86</v>
      </c>
      <c r="B140" s="24"/>
      <c r="C140" s="24"/>
      <c r="D140" s="25" t="s">
        <v>111</v>
      </c>
      <c r="E140" s="29">
        <v>309</v>
      </c>
      <c r="F140" s="25" t="s">
        <v>682</v>
      </c>
      <c r="G140" s="26">
        <v>17970</v>
      </c>
      <c r="H140" s="26"/>
      <c r="I140" s="27"/>
      <c r="J140" s="32"/>
      <c r="K140" s="26"/>
      <c r="L140" s="24"/>
      <c r="M140" s="24"/>
      <c r="N140" s="26">
        <v>99.1</v>
      </c>
      <c r="O140" s="24"/>
      <c r="P140" s="25"/>
      <c r="Q140" s="28">
        <v>0.12986111111111112</v>
      </c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3" x14ac:dyDescent="0.3">
      <c r="A141" s="40">
        <v>174</v>
      </c>
      <c r="B141" s="40"/>
      <c r="C141" s="40"/>
      <c r="D141" s="30" t="s">
        <v>205</v>
      </c>
      <c r="E141" s="29">
        <v>309</v>
      </c>
      <c r="F141" s="25" t="s">
        <v>696</v>
      </c>
      <c r="G141" s="26">
        <v>1000</v>
      </c>
      <c r="H141" s="26">
        <v>115</v>
      </c>
      <c r="I141" s="27">
        <v>3.8490000000000002</v>
      </c>
      <c r="J141" s="32">
        <v>3.1360000000000001</v>
      </c>
      <c r="K141" s="26">
        <v>55</v>
      </c>
      <c r="L141" s="24"/>
      <c r="M141" s="24"/>
      <c r="N141" s="26">
        <v>110</v>
      </c>
      <c r="O141" s="24"/>
      <c r="P141" s="25"/>
      <c r="Q141" s="28">
        <v>0.1173611111111111</v>
      </c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3" x14ac:dyDescent="0.3">
      <c r="A142" s="24">
        <v>149</v>
      </c>
      <c r="B142" s="24"/>
      <c r="C142" s="24"/>
      <c r="D142" s="25" t="s">
        <v>177</v>
      </c>
      <c r="E142" s="29">
        <v>296</v>
      </c>
      <c r="F142" s="25"/>
      <c r="G142" s="26"/>
      <c r="H142" s="26"/>
      <c r="I142" s="27"/>
      <c r="J142" s="32"/>
      <c r="K142" s="26"/>
      <c r="L142" s="24"/>
      <c r="M142" s="24"/>
      <c r="N142" s="26">
        <v>56.84</v>
      </c>
      <c r="O142" s="24"/>
      <c r="P142" s="25"/>
      <c r="Q142" s="28">
        <v>0.21666666666666667</v>
      </c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3" x14ac:dyDescent="0.3">
      <c r="A143" s="24">
        <v>145</v>
      </c>
      <c r="B143" s="24"/>
      <c r="C143" s="24"/>
      <c r="D143" s="25" t="s">
        <v>173</v>
      </c>
      <c r="E143" s="29">
        <v>294</v>
      </c>
      <c r="F143" s="25"/>
      <c r="G143" s="26"/>
      <c r="H143" s="26"/>
      <c r="I143" s="27"/>
      <c r="J143" s="32"/>
      <c r="K143" s="26"/>
      <c r="L143" s="24"/>
      <c r="M143" s="24"/>
      <c r="N143" s="26">
        <v>61.65</v>
      </c>
      <c r="O143" s="24"/>
      <c r="P143" s="25"/>
      <c r="Q143" s="28">
        <v>0.1986111111111111</v>
      </c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3" x14ac:dyDescent="0.3">
      <c r="A144" s="24">
        <v>76</v>
      </c>
      <c r="B144" s="24"/>
      <c r="C144" s="24"/>
      <c r="D144" s="25" t="s">
        <v>101</v>
      </c>
      <c r="E144" s="29">
        <v>291</v>
      </c>
      <c r="F144" s="25" t="s">
        <v>538</v>
      </c>
      <c r="G144" s="26">
        <v>167630</v>
      </c>
      <c r="H144" s="26"/>
      <c r="I144" s="27"/>
      <c r="J144" s="32"/>
      <c r="K144" s="26"/>
      <c r="L144" s="24"/>
      <c r="M144" s="24"/>
      <c r="N144" s="26">
        <v>117.2</v>
      </c>
      <c r="O144" s="24"/>
      <c r="P144" s="25"/>
      <c r="Q144" s="28">
        <v>0.10347222222222223</v>
      </c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3" x14ac:dyDescent="0.3">
      <c r="A145" s="24">
        <v>111</v>
      </c>
      <c r="B145" s="24"/>
      <c r="C145" s="24"/>
      <c r="D145" s="25" t="s">
        <v>136</v>
      </c>
      <c r="E145" s="29">
        <v>289</v>
      </c>
      <c r="F145" s="25" t="s">
        <v>540</v>
      </c>
      <c r="G145" s="26">
        <v>0</v>
      </c>
      <c r="H145" s="26"/>
      <c r="I145" s="27"/>
      <c r="J145" s="32"/>
      <c r="K145" s="26"/>
      <c r="L145" s="24"/>
      <c r="M145" s="24"/>
      <c r="N145" s="26">
        <v>79.61</v>
      </c>
      <c r="O145" s="24"/>
      <c r="P145" s="25"/>
      <c r="Q145" s="28">
        <v>0.15138888888888888</v>
      </c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3" x14ac:dyDescent="0.3">
      <c r="A146" s="24">
        <v>120</v>
      </c>
      <c r="B146" s="24"/>
      <c r="C146" s="24"/>
      <c r="D146" s="25" t="s">
        <v>146</v>
      </c>
      <c r="E146" s="29">
        <v>284</v>
      </c>
      <c r="F146" s="25" t="s">
        <v>9</v>
      </c>
      <c r="G146" s="26">
        <v>168050</v>
      </c>
      <c r="H146" s="26"/>
      <c r="I146" s="27"/>
      <c r="J146" s="32"/>
      <c r="K146" s="26"/>
      <c r="L146" s="24"/>
      <c r="M146" s="24"/>
      <c r="N146" s="26">
        <v>71.849999999999994</v>
      </c>
      <c r="O146" s="24"/>
      <c r="P146" s="25"/>
      <c r="Q146" s="28">
        <v>0.16458333333333333</v>
      </c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3" x14ac:dyDescent="0.3">
      <c r="A147" s="24">
        <v>85</v>
      </c>
      <c r="B147" s="24"/>
      <c r="C147" s="24"/>
      <c r="D147" s="25" t="s">
        <v>110</v>
      </c>
      <c r="E147" s="29">
        <v>283</v>
      </c>
      <c r="F147" s="25" t="s">
        <v>541</v>
      </c>
      <c r="G147" s="26">
        <v>121750</v>
      </c>
      <c r="H147" s="26"/>
      <c r="I147" s="27"/>
      <c r="J147" s="32"/>
      <c r="K147" s="26"/>
      <c r="L147" s="24"/>
      <c r="M147" s="24"/>
      <c r="N147" s="26">
        <v>93.72</v>
      </c>
      <c r="O147" s="24"/>
      <c r="P147" s="25"/>
      <c r="Q147" s="28">
        <v>0.12569444444444444</v>
      </c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3" x14ac:dyDescent="0.3">
      <c r="A148" s="24">
        <v>79</v>
      </c>
      <c r="B148" s="24"/>
      <c r="C148" s="24"/>
      <c r="D148" s="25" t="s">
        <v>104</v>
      </c>
      <c r="E148" s="29">
        <v>277</v>
      </c>
      <c r="F148" s="25" t="s">
        <v>681</v>
      </c>
      <c r="G148" s="26">
        <v>5030</v>
      </c>
      <c r="H148" s="26"/>
      <c r="I148" s="27"/>
      <c r="J148" s="32"/>
      <c r="K148" s="26"/>
      <c r="L148" s="24"/>
      <c r="M148" s="24"/>
      <c r="N148" s="26">
        <v>143.5</v>
      </c>
      <c r="O148" s="24"/>
      <c r="P148" s="25"/>
      <c r="Q148" s="28">
        <v>8.0555555555555561E-2</v>
      </c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3" x14ac:dyDescent="0.3">
      <c r="A149" s="24">
        <v>161</v>
      </c>
      <c r="B149" s="24"/>
      <c r="C149" s="24"/>
      <c r="D149" s="25" t="s">
        <v>190</v>
      </c>
      <c r="E149" s="29">
        <v>274</v>
      </c>
      <c r="F149" s="25">
        <v>35420</v>
      </c>
      <c r="G149" s="26">
        <v>31000</v>
      </c>
      <c r="H149" s="26"/>
      <c r="I149" s="27"/>
      <c r="J149" s="32"/>
      <c r="K149" s="26"/>
      <c r="L149" s="24"/>
      <c r="M149" s="24"/>
      <c r="N149" s="26">
        <v>49.86</v>
      </c>
      <c r="O149" s="24"/>
      <c r="P149" s="25"/>
      <c r="Q149" s="28">
        <v>0.22916666666666666</v>
      </c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3" x14ac:dyDescent="0.3">
      <c r="A150" s="24">
        <v>168</v>
      </c>
      <c r="B150" s="24"/>
      <c r="C150" s="24"/>
      <c r="D150" s="25" t="s">
        <v>199</v>
      </c>
      <c r="E150" s="29">
        <v>273</v>
      </c>
      <c r="F150" s="25" t="s">
        <v>550</v>
      </c>
      <c r="G150" s="26">
        <v>158030</v>
      </c>
      <c r="H150" s="26"/>
      <c r="I150" s="27"/>
      <c r="J150" s="32"/>
      <c r="K150" s="26"/>
      <c r="L150" s="24"/>
      <c r="M150" s="24"/>
      <c r="N150" s="26">
        <v>55</v>
      </c>
      <c r="O150" s="24"/>
      <c r="P150" s="25"/>
      <c r="Q150" s="28">
        <v>0.20555555555555557</v>
      </c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3" x14ac:dyDescent="0.3">
      <c r="A151" s="24">
        <v>142</v>
      </c>
      <c r="B151" s="24"/>
      <c r="C151" s="24"/>
      <c r="D151" s="25" t="s">
        <v>170</v>
      </c>
      <c r="E151" s="29">
        <v>272</v>
      </c>
      <c r="F151" s="25"/>
      <c r="G151" s="26"/>
      <c r="H151" s="26">
        <v>97</v>
      </c>
      <c r="I151" s="27">
        <v>3.0830000000000002</v>
      </c>
      <c r="J151" s="32">
        <v>2.3540000000000001</v>
      </c>
      <c r="K151" s="26">
        <v>39</v>
      </c>
      <c r="L151" s="24"/>
      <c r="M151" s="24"/>
      <c r="N151" s="26">
        <v>90.13</v>
      </c>
      <c r="O151" s="24"/>
      <c r="P151" s="25"/>
      <c r="Q151" s="28">
        <v>0.12569444444444444</v>
      </c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3" x14ac:dyDescent="0.3">
      <c r="A152" s="24">
        <v>509</v>
      </c>
      <c r="B152" s="24">
        <v>221</v>
      </c>
      <c r="C152" s="24">
        <v>1509</v>
      </c>
      <c r="D152" s="25" t="s">
        <v>252</v>
      </c>
      <c r="E152" s="29">
        <v>271</v>
      </c>
      <c r="F152" s="25" t="s">
        <v>707</v>
      </c>
      <c r="G152" s="26">
        <v>1160</v>
      </c>
      <c r="H152" s="26"/>
      <c r="I152" s="27"/>
      <c r="J152" s="32"/>
      <c r="K152" s="26"/>
      <c r="L152" s="24"/>
      <c r="M152" s="24"/>
      <c r="N152" s="26">
        <v>25</v>
      </c>
      <c r="O152" s="24"/>
      <c r="P152" s="25"/>
      <c r="Q152" s="28">
        <v>0.45763888888888887</v>
      </c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3" x14ac:dyDescent="0.3">
      <c r="A153" s="24">
        <v>167</v>
      </c>
      <c r="B153" s="24"/>
      <c r="C153" s="24"/>
      <c r="D153" s="25" t="s">
        <v>198</v>
      </c>
      <c r="E153" s="29">
        <v>270</v>
      </c>
      <c r="F153" s="25" t="s">
        <v>693</v>
      </c>
      <c r="G153" s="26">
        <v>9880</v>
      </c>
      <c r="H153" s="26"/>
      <c r="I153" s="27"/>
      <c r="J153" s="32"/>
      <c r="K153" s="26"/>
      <c r="L153" s="24"/>
      <c r="M153" s="24"/>
      <c r="N153" s="26">
        <v>44.32</v>
      </c>
      <c r="O153" s="24"/>
      <c r="P153" s="25"/>
      <c r="Q153" s="28">
        <v>0.25416666666666665</v>
      </c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3" x14ac:dyDescent="0.3">
      <c r="A154" s="24">
        <v>188</v>
      </c>
      <c r="B154" s="24"/>
      <c r="C154" s="24"/>
      <c r="D154" s="25" t="s">
        <v>219</v>
      </c>
      <c r="E154" s="29">
        <v>265</v>
      </c>
      <c r="F154" s="25"/>
      <c r="G154" s="26"/>
      <c r="H154" s="26"/>
      <c r="I154" s="27"/>
      <c r="J154" s="32"/>
      <c r="K154" s="26"/>
      <c r="L154" s="24"/>
      <c r="M154" s="24"/>
      <c r="N154" s="26">
        <v>111</v>
      </c>
      <c r="O154" s="24"/>
      <c r="P154" s="25"/>
      <c r="Q154" s="28">
        <v>9.930555555555555E-2</v>
      </c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3" x14ac:dyDescent="0.3">
      <c r="A155" s="24">
        <v>176</v>
      </c>
      <c r="B155" s="24">
        <v>213</v>
      </c>
      <c r="C155" s="24">
        <v>685</v>
      </c>
      <c r="D155" s="25" t="s">
        <v>244</v>
      </c>
      <c r="E155" s="29">
        <v>265</v>
      </c>
      <c r="F155" s="25"/>
      <c r="G155" s="26"/>
      <c r="H155" s="26"/>
      <c r="I155" s="27"/>
      <c r="J155" s="32"/>
      <c r="K155" s="26"/>
      <c r="L155" s="24"/>
      <c r="M155" s="24"/>
      <c r="N155" s="26">
        <v>52</v>
      </c>
      <c r="O155" s="24"/>
      <c r="P155" s="25"/>
      <c r="Q155" s="28">
        <v>0.21111111111111111</v>
      </c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3" x14ac:dyDescent="0.3">
      <c r="A156" s="24">
        <v>131</v>
      </c>
      <c r="B156" s="24"/>
      <c r="C156" s="24"/>
      <c r="D156" s="25" t="s">
        <v>158</v>
      </c>
      <c r="E156" s="29">
        <v>259</v>
      </c>
      <c r="F156" s="25" t="s">
        <v>560</v>
      </c>
      <c r="G156" s="26">
        <v>2200</v>
      </c>
      <c r="H156" s="26"/>
      <c r="I156" s="27"/>
      <c r="J156" s="32"/>
      <c r="K156" s="26"/>
      <c r="L156" s="24"/>
      <c r="M156" s="24"/>
      <c r="N156" s="26">
        <v>55.94</v>
      </c>
      <c r="O156" s="24"/>
      <c r="P156" s="25"/>
      <c r="Q156" s="28">
        <v>0.19305555555555554</v>
      </c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3" x14ac:dyDescent="0.3">
      <c r="A157" s="24">
        <v>176</v>
      </c>
      <c r="B157" s="24"/>
      <c r="C157" s="24"/>
      <c r="D157" s="25" t="s">
        <v>207</v>
      </c>
      <c r="E157" s="29">
        <v>253</v>
      </c>
      <c r="F157" s="25" t="s">
        <v>764</v>
      </c>
      <c r="G157" s="26">
        <v>33830</v>
      </c>
      <c r="H157" s="26"/>
      <c r="I157" s="27"/>
      <c r="J157" s="32"/>
      <c r="K157" s="26"/>
      <c r="L157" s="24"/>
      <c r="M157" s="24"/>
      <c r="N157" s="26">
        <v>48</v>
      </c>
      <c r="O157" s="24"/>
      <c r="P157" s="25"/>
      <c r="Q157" s="28">
        <v>0.22013888888888888</v>
      </c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3" x14ac:dyDescent="0.3">
      <c r="A158" s="24">
        <v>193</v>
      </c>
      <c r="B158" s="24"/>
      <c r="C158" s="24"/>
      <c r="D158" s="25" t="s">
        <v>224</v>
      </c>
      <c r="E158" s="29">
        <v>249</v>
      </c>
      <c r="F158" s="25"/>
      <c r="G158" s="26"/>
      <c r="H158" s="26"/>
      <c r="I158" s="27"/>
      <c r="J158" s="32"/>
      <c r="K158" s="26"/>
      <c r="L158" s="24"/>
      <c r="M158" s="24"/>
      <c r="N158" s="26">
        <v>124</v>
      </c>
      <c r="O158" s="24"/>
      <c r="P158" s="25"/>
      <c r="Q158" s="28">
        <v>8.3333333333333329E-2</v>
      </c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3" x14ac:dyDescent="0.3">
      <c r="A159" s="24">
        <v>417</v>
      </c>
      <c r="B159" s="24">
        <v>220</v>
      </c>
      <c r="C159" s="24">
        <v>1437</v>
      </c>
      <c r="D159" s="25" t="s">
        <v>251</v>
      </c>
      <c r="E159" s="29">
        <v>248</v>
      </c>
      <c r="F159" s="25"/>
      <c r="G159" s="26"/>
      <c r="H159" s="26"/>
      <c r="I159" s="27"/>
      <c r="J159" s="32"/>
      <c r="K159" s="26"/>
      <c r="L159" s="24"/>
      <c r="M159" s="24"/>
      <c r="N159" s="26">
        <v>46</v>
      </c>
      <c r="O159" s="24"/>
      <c r="P159" s="25"/>
      <c r="Q159" s="28">
        <v>0.22708333333333333</v>
      </c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3" x14ac:dyDescent="0.3">
      <c r="A160" s="24">
        <v>190</v>
      </c>
      <c r="B160" s="24"/>
      <c r="C160" s="24"/>
      <c r="D160" s="25" t="s">
        <v>221</v>
      </c>
      <c r="E160" s="29">
        <v>245</v>
      </c>
      <c r="F160" s="25"/>
      <c r="G160" s="26"/>
      <c r="H160" s="26"/>
      <c r="I160" s="27"/>
      <c r="J160" s="32"/>
      <c r="K160" s="26"/>
      <c r="L160" s="24"/>
      <c r="M160" s="24"/>
      <c r="N160" s="26">
        <v>53</v>
      </c>
      <c r="O160" s="24"/>
      <c r="P160" s="25"/>
      <c r="Q160" s="28">
        <v>0.19305555555555554</v>
      </c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3" x14ac:dyDescent="0.3">
      <c r="A161" s="24">
        <v>191</v>
      </c>
      <c r="B161" s="24"/>
      <c r="C161" s="24"/>
      <c r="D161" s="25" t="s">
        <v>222</v>
      </c>
      <c r="E161" s="29">
        <v>232</v>
      </c>
      <c r="F161" s="25"/>
      <c r="G161" s="26"/>
      <c r="H161" s="26">
        <v>47</v>
      </c>
      <c r="I161" s="27">
        <v>1.6120000000000001</v>
      </c>
      <c r="J161" s="32">
        <v>1.23</v>
      </c>
      <c r="K161" s="26">
        <v>18</v>
      </c>
      <c r="L161" s="24"/>
      <c r="M161" s="24"/>
      <c r="N161" s="26">
        <v>44</v>
      </c>
      <c r="O161" s="24"/>
      <c r="P161" s="25"/>
      <c r="Q161" s="28">
        <v>0.21944444444444444</v>
      </c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3" x14ac:dyDescent="0.3">
      <c r="A162" s="24">
        <v>158</v>
      </c>
      <c r="B162" s="24"/>
      <c r="C162" s="24"/>
      <c r="D162" s="25" t="s">
        <v>187</v>
      </c>
      <c r="E162" s="29">
        <v>228</v>
      </c>
      <c r="F162" s="25" t="s">
        <v>720</v>
      </c>
      <c r="G162" s="26">
        <v>10590</v>
      </c>
      <c r="H162" s="26"/>
      <c r="I162" s="27"/>
      <c r="J162" s="32"/>
      <c r="K162" s="26"/>
      <c r="L162" s="24"/>
      <c r="M162" s="24"/>
      <c r="N162" s="26">
        <v>51.28</v>
      </c>
      <c r="O162" s="24"/>
      <c r="P162" s="25"/>
      <c r="Q162" s="28">
        <v>0.18541666666666667</v>
      </c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3" x14ac:dyDescent="0.3">
      <c r="A163" s="24">
        <v>119</v>
      </c>
      <c r="B163" s="24"/>
      <c r="C163" s="24"/>
      <c r="D163" s="25" t="s">
        <v>145</v>
      </c>
      <c r="E163" s="29">
        <v>222</v>
      </c>
      <c r="F163" s="25" t="s">
        <v>674</v>
      </c>
      <c r="G163" s="26">
        <v>10490</v>
      </c>
      <c r="H163" s="26">
        <v>89</v>
      </c>
      <c r="I163" s="27">
        <v>2.8239999999999998</v>
      </c>
      <c r="J163" s="32">
        <v>2.0449999999999999</v>
      </c>
      <c r="K163" s="26">
        <v>33</v>
      </c>
      <c r="L163" s="24"/>
      <c r="M163" s="24"/>
      <c r="N163" s="26">
        <v>80.77</v>
      </c>
      <c r="O163" s="24"/>
      <c r="P163" s="25"/>
      <c r="Q163" s="28">
        <v>0.11458333333333333</v>
      </c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3" x14ac:dyDescent="0.3">
      <c r="A164" s="24">
        <v>290</v>
      </c>
      <c r="B164" s="24">
        <v>223</v>
      </c>
      <c r="C164" s="24">
        <v>943</v>
      </c>
      <c r="D164" s="25" t="s">
        <v>254</v>
      </c>
      <c r="E164" s="29">
        <v>219</v>
      </c>
      <c r="F164" s="25" t="s">
        <v>708</v>
      </c>
      <c r="G164" s="26">
        <v>10340</v>
      </c>
      <c r="H164" s="26"/>
      <c r="I164" s="27"/>
      <c r="J164" s="32"/>
      <c r="K164" s="26"/>
      <c r="L164" s="24"/>
      <c r="M164" s="24"/>
      <c r="N164" s="26">
        <v>53</v>
      </c>
      <c r="O164" s="24"/>
      <c r="P164" s="25"/>
      <c r="Q164" s="28">
        <v>0.17222222222222225</v>
      </c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3" x14ac:dyDescent="0.3">
      <c r="A165" s="24">
        <v>179</v>
      </c>
      <c r="B165" s="24"/>
      <c r="C165" s="24"/>
      <c r="D165" s="25" t="s">
        <v>210</v>
      </c>
      <c r="E165" s="29">
        <v>215</v>
      </c>
      <c r="F165" s="25" t="s">
        <v>762</v>
      </c>
      <c r="G165" s="26">
        <v>50480</v>
      </c>
      <c r="H165" s="26"/>
      <c r="I165" s="27"/>
      <c r="J165" s="32"/>
      <c r="K165" s="26"/>
      <c r="L165" s="24"/>
      <c r="M165" s="24"/>
      <c r="N165" s="26">
        <v>43</v>
      </c>
      <c r="O165" s="24"/>
      <c r="P165" s="25"/>
      <c r="Q165" s="28">
        <v>0.20694444444444446</v>
      </c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3" x14ac:dyDescent="0.3">
      <c r="A166" s="24">
        <v>110</v>
      </c>
      <c r="B166" s="24"/>
      <c r="C166" s="24"/>
      <c r="D166" s="25" t="s">
        <v>135</v>
      </c>
      <c r="E166" s="29">
        <v>206</v>
      </c>
      <c r="F166" s="25" t="s">
        <v>557</v>
      </c>
      <c r="G166" s="26">
        <v>87920</v>
      </c>
      <c r="H166" s="26"/>
      <c r="I166" s="27"/>
      <c r="J166" s="32"/>
      <c r="K166" s="26"/>
      <c r="L166" s="24"/>
      <c r="M166" s="24"/>
      <c r="N166" s="26">
        <v>67.12</v>
      </c>
      <c r="O166" s="24"/>
      <c r="P166" s="25"/>
      <c r="Q166" s="28">
        <v>0.1277777777777778</v>
      </c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3" x14ac:dyDescent="0.3">
      <c r="A167" s="24">
        <v>121</v>
      </c>
      <c r="B167" s="24"/>
      <c r="C167" s="24"/>
      <c r="D167" s="25" t="s">
        <v>147</v>
      </c>
      <c r="E167" s="29">
        <v>198</v>
      </c>
      <c r="F167" s="25" t="s">
        <v>693</v>
      </c>
      <c r="G167" s="26">
        <v>9800</v>
      </c>
      <c r="H167" s="26"/>
      <c r="I167" s="27"/>
      <c r="J167" s="32"/>
      <c r="K167" s="26"/>
      <c r="L167" s="24"/>
      <c r="M167" s="24"/>
      <c r="N167" s="26">
        <v>47.59</v>
      </c>
      <c r="O167" s="24"/>
      <c r="P167" s="25"/>
      <c r="Q167" s="28">
        <v>0.17361111111111113</v>
      </c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3" x14ac:dyDescent="0.3">
      <c r="A168" s="24">
        <v>171</v>
      </c>
      <c r="B168" s="24"/>
      <c r="C168" s="24"/>
      <c r="D168" s="25" t="s">
        <v>202</v>
      </c>
      <c r="E168" s="29">
        <v>197</v>
      </c>
      <c r="F168" s="25" t="s">
        <v>6</v>
      </c>
      <c r="G168" s="26">
        <v>500</v>
      </c>
      <c r="H168" s="26"/>
      <c r="I168" s="27"/>
      <c r="J168" s="32"/>
      <c r="K168" s="26"/>
      <c r="L168" s="24"/>
      <c r="M168" s="24"/>
      <c r="N168" s="26">
        <v>48</v>
      </c>
      <c r="O168" s="24"/>
      <c r="P168" s="25"/>
      <c r="Q168" s="28">
        <v>0.17291666666666669</v>
      </c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3" x14ac:dyDescent="0.3">
      <c r="A169" s="24">
        <v>156</v>
      </c>
      <c r="B169" s="24"/>
      <c r="C169" s="24"/>
      <c r="D169" s="25" t="s">
        <v>185</v>
      </c>
      <c r="E169" s="29">
        <v>192</v>
      </c>
      <c r="F169" s="25"/>
      <c r="G169" s="26"/>
      <c r="H169" s="26"/>
      <c r="I169" s="27"/>
      <c r="J169" s="32"/>
      <c r="K169" s="26"/>
      <c r="L169" s="24"/>
      <c r="M169" s="24"/>
      <c r="N169" s="26">
        <v>63.08</v>
      </c>
      <c r="O169" s="24"/>
      <c r="P169" s="25"/>
      <c r="Q169" s="28">
        <v>0.12708333333333333</v>
      </c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3" x14ac:dyDescent="0.3">
      <c r="A170" s="24">
        <v>170</v>
      </c>
      <c r="B170" s="24"/>
      <c r="C170" s="24"/>
      <c r="D170" s="25" t="s">
        <v>201</v>
      </c>
      <c r="E170" s="29">
        <v>192</v>
      </c>
      <c r="F170" s="25" t="s">
        <v>701</v>
      </c>
      <c r="G170" s="26">
        <v>26810</v>
      </c>
      <c r="H170" s="26"/>
      <c r="I170" s="27"/>
      <c r="J170" s="32"/>
      <c r="K170" s="26"/>
      <c r="L170" s="24"/>
      <c r="M170" s="24"/>
      <c r="N170" s="26">
        <v>49</v>
      </c>
      <c r="O170" s="24"/>
      <c r="P170" s="25"/>
      <c r="Q170" s="28">
        <v>0.16527777777777777</v>
      </c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3" x14ac:dyDescent="0.3">
      <c r="A171" s="24">
        <v>177</v>
      </c>
      <c r="B171" s="24"/>
      <c r="C171" s="24"/>
      <c r="D171" s="25" t="s">
        <v>208</v>
      </c>
      <c r="E171" s="29">
        <v>189</v>
      </c>
      <c r="F171" s="25" t="s">
        <v>763</v>
      </c>
      <c r="G171" s="26">
        <v>3130</v>
      </c>
      <c r="H171" s="26"/>
      <c r="I171" s="27"/>
      <c r="J171" s="32"/>
      <c r="K171" s="26"/>
      <c r="L171" s="24"/>
      <c r="M171" s="24"/>
      <c r="N171" s="26">
        <v>49</v>
      </c>
      <c r="O171" s="24"/>
      <c r="P171" s="25"/>
      <c r="Q171" s="28">
        <v>0.15972222222222224</v>
      </c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3" x14ac:dyDescent="0.3">
      <c r="A172" s="24">
        <v>89</v>
      </c>
      <c r="B172" s="24"/>
      <c r="C172" s="24"/>
      <c r="D172" s="25" t="s">
        <v>114</v>
      </c>
      <c r="E172" s="29">
        <v>185</v>
      </c>
      <c r="F172" s="25" t="s">
        <v>5</v>
      </c>
      <c r="G172" s="26">
        <v>0</v>
      </c>
      <c r="H172" s="26"/>
      <c r="I172" s="27"/>
      <c r="J172" s="32"/>
      <c r="K172" s="26"/>
      <c r="L172" s="24"/>
      <c r="M172" s="24"/>
      <c r="N172" s="26">
        <v>90.26</v>
      </c>
      <c r="O172" s="24"/>
      <c r="P172" s="25"/>
      <c r="Q172" s="28">
        <v>8.5416666666666655E-2</v>
      </c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3" x14ac:dyDescent="0.3">
      <c r="A173" s="24">
        <v>199</v>
      </c>
      <c r="B173" s="24"/>
      <c r="C173" s="24"/>
      <c r="D173" s="25" t="s">
        <v>230</v>
      </c>
      <c r="E173" s="29">
        <v>184</v>
      </c>
      <c r="F173" s="25"/>
      <c r="G173" s="26"/>
      <c r="H173" s="26"/>
      <c r="I173" s="27"/>
      <c r="J173" s="32"/>
      <c r="K173" s="26"/>
      <c r="L173" s="24"/>
      <c r="M173" s="24"/>
      <c r="N173" s="26">
        <v>78</v>
      </c>
      <c r="O173" s="24"/>
      <c r="P173" s="25"/>
      <c r="Q173" s="28">
        <v>9.7916666666666666E-2</v>
      </c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3" x14ac:dyDescent="0.3">
      <c r="A174" s="24">
        <v>83</v>
      </c>
      <c r="B174" s="24"/>
      <c r="C174" s="24"/>
      <c r="D174" s="25" t="s">
        <v>108</v>
      </c>
      <c r="E174" s="29">
        <v>180</v>
      </c>
      <c r="F174" s="25" t="s">
        <v>540</v>
      </c>
      <c r="G174" s="26">
        <v>0</v>
      </c>
      <c r="H174" s="26"/>
      <c r="I174" s="27"/>
      <c r="J174" s="32"/>
      <c r="K174" s="26"/>
      <c r="L174" s="24"/>
      <c r="M174" s="24"/>
      <c r="N174" s="26">
        <v>37.85</v>
      </c>
      <c r="O174" s="24"/>
      <c r="P174" s="25"/>
      <c r="Q174" s="28">
        <v>0.19791666666666666</v>
      </c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3" x14ac:dyDescent="0.3">
      <c r="A175" s="24">
        <v>187</v>
      </c>
      <c r="B175" s="24"/>
      <c r="C175" s="24"/>
      <c r="D175" s="25" t="s">
        <v>218</v>
      </c>
      <c r="E175" s="29">
        <v>180</v>
      </c>
      <c r="F175" s="25"/>
      <c r="G175" s="26"/>
      <c r="H175" s="26"/>
      <c r="I175" s="27"/>
      <c r="J175" s="32"/>
      <c r="K175" s="26"/>
      <c r="L175" s="24"/>
      <c r="M175" s="24"/>
      <c r="N175" s="26">
        <v>67</v>
      </c>
      <c r="O175" s="24"/>
      <c r="P175" s="25"/>
      <c r="Q175" s="28">
        <v>0.11180555555555556</v>
      </c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3" x14ac:dyDescent="0.3">
      <c r="A176" s="24">
        <v>154</v>
      </c>
      <c r="B176" s="24">
        <v>215</v>
      </c>
      <c r="C176" s="26">
        <v>815</v>
      </c>
      <c r="D176" s="25" t="s">
        <v>246</v>
      </c>
      <c r="E176" s="29">
        <v>178</v>
      </c>
      <c r="F176" s="25"/>
      <c r="G176" s="26"/>
      <c r="H176" s="26"/>
      <c r="I176" s="27"/>
      <c r="J176" s="32"/>
      <c r="K176" s="26"/>
      <c r="L176" s="24"/>
      <c r="M176" s="24"/>
      <c r="N176" s="26">
        <v>47</v>
      </c>
      <c r="O176" s="24"/>
      <c r="P176" s="25"/>
      <c r="Q176" s="28">
        <v>0.15972222222222224</v>
      </c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3" x14ac:dyDescent="0.3">
      <c r="A177" s="24">
        <v>201</v>
      </c>
      <c r="B177" s="24"/>
      <c r="C177" s="24"/>
      <c r="D177" s="25" t="s">
        <v>232</v>
      </c>
      <c r="E177" s="29">
        <v>174</v>
      </c>
      <c r="F177" s="25"/>
      <c r="G177" s="26"/>
      <c r="H177" s="26"/>
      <c r="I177" s="27"/>
      <c r="J177" s="32"/>
      <c r="K177" s="26"/>
      <c r="L177" s="24"/>
      <c r="M177" s="24"/>
      <c r="N177" s="26">
        <v>42</v>
      </c>
      <c r="O177" s="24"/>
      <c r="P177" s="25"/>
      <c r="Q177" s="28">
        <v>0.17083333333333331</v>
      </c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3" x14ac:dyDescent="0.3">
      <c r="A178" s="24">
        <v>192</v>
      </c>
      <c r="B178" s="24"/>
      <c r="C178" s="24"/>
      <c r="D178" s="25" t="s">
        <v>223</v>
      </c>
      <c r="E178" s="29">
        <v>167</v>
      </c>
      <c r="F178" s="25"/>
      <c r="G178" s="26"/>
      <c r="H178" s="26"/>
      <c r="I178" s="27"/>
      <c r="J178" s="32"/>
      <c r="K178" s="26"/>
      <c r="L178" s="24"/>
      <c r="M178" s="24"/>
      <c r="N178" s="26">
        <v>82</v>
      </c>
      <c r="O178" s="24"/>
      <c r="P178" s="25"/>
      <c r="Q178" s="28">
        <v>8.4722222222222213E-2</v>
      </c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3" x14ac:dyDescent="0.3">
      <c r="A179" s="24">
        <v>128</v>
      </c>
      <c r="B179" s="24"/>
      <c r="C179" s="24"/>
      <c r="D179" s="25" t="s">
        <v>154</v>
      </c>
      <c r="E179" s="29">
        <v>165</v>
      </c>
      <c r="F179" s="25" t="s">
        <v>3</v>
      </c>
      <c r="G179" s="26">
        <v>5000</v>
      </c>
      <c r="H179" s="26"/>
      <c r="I179" s="27"/>
      <c r="J179" s="32"/>
      <c r="K179" s="26"/>
      <c r="L179" s="24"/>
      <c r="M179" s="24"/>
      <c r="N179" s="26">
        <v>71.12</v>
      </c>
      <c r="O179" s="24"/>
      <c r="P179" s="25"/>
      <c r="Q179" s="28">
        <v>9.6527777777777768E-2</v>
      </c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3" x14ac:dyDescent="0.3">
      <c r="A180" s="24">
        <v>168</v>
      </c>
      <c r="B180" s="24">
        <v>219</v>
      </c>
      <c r="C180" s="24">
        <v>897</v>
      </c>
      <c r="D180" s="25" t="s">
        <v>250</v>
      </c>
      <c r="E180" s="29">
        <v>161</v>
      </c>
      <c r="F180" s="25"/>
      <c r="G180" s="26"/>
      <c r="H180" s="26"/>
      <c r="I180" s="27"/>
      <c r="J180" s="32"/>
      <c r="K180" s="26"/>
      <c r="L180" s="24"/>
      <c r="M180" s="24"/>
      <c r="N180" s="26">
        <v>39</v>
      </c>
      <c r="O180" s="24"/>
      <c r="P180" s="25"/>
      <c r="Q180" s="28">
        <v>0.17152777777777775</v>
      </c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3" x14ac:dyDescent="0.3">
      <c r="A181" s="24">
        <v>139</v>
      </c>
      <c r="B181" s="24"/>
      <c r="C181" s="24"/>
      <c r="D181" s="25" t="s">
        <v>167</v>
      </c>
      <c r="E181" s="29">
        <v>160</v>
      </c>
      <c r="F181" s="25"/>
      <c r="G181" s="26"/>
      <c r="H181" s="26"/>
      <c r="I181" s="27"/>
      <c r="J181" s="32"/>
      <c r="K181" s="26"/>
      <c r="L181" s="24"/>
      <c r="M181" s="24"/>
      <c r="N181" s="26">
        <v>78.89</v>
      </c>
      <c r="O181" s="24"/>
      <c r="P181" s="25"/>
      <c r="Q181" s="28">
        <v>8.4722222222222213E-2</v>
      </c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3" x14ac:dyDescent="0.3">
      <c r="A182" s="24">
        <v>157</v>
      </c>
      <c r="B182" s="24"/>
      <c r="C182" s="24"/>
      <c r="D182" s="25" t="s">
        <v>186</v>
      </c>
      <c r="E182" s="29">
        <v>155</v>
      </c>
      <c r="F182" s="25"/>
      <c r="G182" s="26"/>
      <c r="H182" s="26"/>
      <c r="I182" s="27"/>
      <c r="J182" s="32"/>
      <c r="K182" s="26"/>
      <c r="L182" s="24"/>
      <c r="M182" s="24"/>
      <c r="N182" s="26">
        <v>85.18</v>
      </c>
      <c r="O182" s="24"/>
      <c r="P182" s="25"/>
      <c r="Q182" s="28">
        <v>7.5694444444444439E-2</v>
      </c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3" x14ac:dyDescent="0.3">
      <c r="A183" s="24">
        <v>198</v>
      </c>
      <c r="B183" s="24"/>
      <c r="C183" s="24"/>
      <c r="D183" s="25" t="s">
        <v>229</v>
      </c>
      <c r="E183" s="29">
        <v>155</v>
      </c>
      <c r="F183" s="25"/>
      <c r="G183" s="26"/>
      <c r="H183" s="26"/>
      <c r="I183" s="27"/>
      <c r="J183" s="32"/>
      <c r="K183" s="26"/>
      <c r="L183" s="24"/>
      <c r="M183" s="24"/>
      <c r="N183" s="26">
        <v>38</v>
      </c>
      <c r="O183" s="24"/>
      <c r="P183" s="25"/>
      <c r="Q183" s="28">
        <v>0.17152777777777775</v>
      </c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3" x14ac:dyDescent="0.3">
      <c r="A184" s="24">
        <v>124</v>
      </c>
      <c r="B184" s="24"/>
      <c r="C184" s="24"/>
      <c r="D184" s="30" t="s">
        <v>150</v>
      </c>
      <c r="E184" s="29">
        <v>152</v>
      </c>
      <c r="F184" s="25" t="s">
        <v>5</v>
      </c>
      <c r="G184" s="26">
        <v>0</v>
      </c>
      <c r="H184" s="26">
        <v>153</v>
      </c>
      <c r="I184" s="27">
        <v>4.7300000000000004</v>
      </c>
      <c r="J184" s="32">
        <v>4.2839999999999998</v>
      </c>
      <c r="K184" s="26">
        <v>102</v>
      </c>
      <c r="L184" s="24"/>
      <c r="M184" s="24"/>
      <c r="N184" s="26">
        <v>125.3</v>
      </c>
      <c r="O184" s="24"/>
      <c r="P184" s="25"/>
      <c r="Q184" s="28">
        <v>5.0694444444444452E-2</v>
      </c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3" x14ac:dyDescent="0.3">
      <c r="A185" s="24">
        <v>189</v>
      </c>
      <c r="B185" s="24"/>
      <c r="C185" s="24"/>
      <c r="D185" s="25" t="s">
        <v>220</v>
      </c>
      <c r="E185" s="29">
        <v>148</v>
      </c>
      <c r="F185" s="25"/>
      <c r="G185" s="26"/>
      <c r="H185" s="26"/>
      <c r="I185" s="27"/>
      <c r="J185" s="32"/>
      <c r="K185" s="26"/>
      <c r="L185" s="24"/>
      <c r="M185" s="24"/>
      <c r="N185" s="26">
        <v>46</v>
      </c>
      <c r="O185" s="24"/>
      <c r="P185" s="25"/>
      <c r="Q185" s="28">
        <v>0.13263888888888889</v>
      </c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3" x14ac:dyDescent="0.3">
      <c r="A186" s="24">
        <v>256</v>
      </c>
      <c r="B186" s="24">
        <v>222</v>
      </c>
      <c r="C186" s="24">
        <v>835</v>
      </c>
      <c r="D186" s="25" t="s">
        <v>253</v>
      </c>
      <c r="E186" s="29">
        <v>144</v>
      </c>
      <c r="F186" s="25"/>
      <c r="G186" s="26"/>
      <c r="H186" s="26"/>
      <c r="I186" s="27"/>
      <c r="J186" s="32"/>
      <c r="K186" s="26"/>
      <c r="L186" s="24"/>
      <c r="M186" s="24"/>
      <c r="N186" s="26">
        <v>61</v>
      </c>
      <c r="O186" s="24"/>
      <c r="P186" s="25"/>
      <c r="Q186" s="28">
        <v>9.8611111111111108E-2</v>
      </c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3" x14ac:dyDescent="0.3">
      <c r="A187" s="24">
        <v>181</v>
      </c>
      <c r="B187" s="24"/>
      <c r="C187" s="24"/>
      <c r="D187" s="25" t="s">
        <v>212</v>
      </c>
      <c r="E187" s="29">
        <v>139</v>
      </c>
      <c r="F187" s="25" t="s">
        <v>704</v>
      </c>
      <c r="G187" s="26">
        <v>10870</v>
      </c>
      <c r="H187" s="26"/>
      <c r="I187" s="27"/>
      <c r="J187" s="32"/>
      <c r="K187" s="26"/>
      <c r="L187" s="24"/>
      <c r="M187" s="24"/>
      <c r="N187" s="26">
        <v>61</v>
      </c>
      <c r="O187" s="24"/>
      <c r="P187" s="25"/>
      <c r="Q187" s="28">
        <v>9.5833333333333326E-2</v>
      </c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3" x14ac:dyDescent="0.3">
      <c r="A188" s="24">
        <v>108</v>
      </c>
      <c r="B188" s="24"/>
      <c r="C188" s="24"/>
      <c r="D188" s="30" t="s">
        <v>133</v>
      </c>
      <c r="E188" s="29">
        <v>135</v>
      </c>
      <c r="F188" s="25" t="s">
        <v>6</v>
      </c>
      <c r="G188" s="26">
        <v>300</v>
      </c>
      <c r="H188" s="26">
        <v>117</v>
      </c>
      <c r="I188" s="27">
        <v>3.98</v>
      </c>
      <c r="J188" s="32">
        <v>3.5779999999999998</v>
      </c>
      <c r="K188" s="26">
        <v>72</v>
      </c>
      <c r="L188" s="24"/>
      <c r="M188" s="24"/>
      <c r="N188" s="26">
        <v>109.5</v>
      </c>
      <c r="O188" s="24"/>
      <c r="P188" s="25"/>
      <c r="Q188" s="28">
        <v>5.1388888888888894E-2</v>
      </c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3" x14ac:dyDescent="0.3">
      <c r="A189" s="24">
        <v>346</v>
      </c>
      <c r="B189" s="24">
        <v>217</v>
      </c>
      <c r="C189" s="24">
        <v>1504</v>
      </c>
      <c r="D189" s="25" t="s">
        <v>248</v>
      </c>
      <c r="E189" s="29">
        <v>134</v>
      </c>
      <c r="F189" s="25" t="s">
        <v>9</v>
      </c>
      <c r="G189" s="26"/>
      <c r="H189" s="26"/>
      <c r="I189" s="27"/>
      <c r="J189" s="32"/>
      <c r="K189" s="26"/>
      <c r="L189" s="24"/>
      <c r="M189" s="24"/>
      <c r="N189" s="26">
        <v>45</v>
      </c>
      <c r="O189" s="24"/>
      <c r="P189" s="25"/>
      <c r="Q189" s="28">
        <v>0.125</v>
      </c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3" x14ac:dyDescent="0.3">
      <c r="A190" s="24">
        <v>94</v>
      </c>
      <c r="B190" s="24"/>
      <c r="C190" s="24"/>
      <c r="D190" s="25" t="s">
        <v>119</v>
      </c>
      <c r="E190" s="29">
        <v>129</v>
      </c>
      <c r="F190" s="25" t="s">
        <v>6</v>
      </c>
      <c r="G190" s="26">
        <v>1000</v>
      </c>
      <c r="H190" s="26"/>
      <c r="I190" s="27"/>
      <c r="J190" s="32"/>
      <c r="K190" s="26"/>
      <c r="L190" s="24"/>
      <c r="M190" s="24"/>
      <c r="N190" s="26">
        <v>106</v>
      </c>
      <c r="O190" s="24"/>
      <c r="P190" s="25"/>
      <c r="Q190" s="28">
        <v>5.0694444444444452E-2</v>
      </c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3" x14ac:dyDescent="0.3">
      <c r="A191" s="24">
        <v>153</v>
      </c>
      <c r="B191" s="24"/>
      <c r="C191" s="24"/>
      <c r="D191" s="25" t="s">
        <v>182</v>
      </c>
      <c r="E191" s="29">
        <v>129</v>
      </c>
      <c r="F191" s="25"/>
      <c r="G191" s="26"/>
      <c r="H191" s="26"/>
      <c r="I191" s="27"/>
      <c r="J191" s="32"/>
      <c r="K191" s="26"/>
      <c r="L191" s="24"/>
      <c r="M191" s="24"/>
      <c r="N191" s="26">
        <v>117.6</v>
      </c>
      <c r="O191" s="24"/>
      <c r="P191" s="25"/>
      <c r="Q191" s="28">
        <v>4.5833333333333337E-2</v>
      </c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3" x14ac:dyDescent="0.3">
      <c r="A192" s="24">
        <v>123</v>
      </c>
      <c r="B192" s="24"/>
      <c r="C192" s="24"/>
      <c r="D192" s="25" t="s">
        <v>149</v>
      </c>
      <c r="E192" s="29">
        <v>128</v>
      </c>
      <c r="F192" s="25" t="s">
        <v>681</v>
      </c>
      <c r="G192" s="26">
        <v>5000</v>
      </c>
      <c r="H192" s="26"/>
      <c r="I192" s="27"/>
      <c r="J192" s="32"/>
      <c r="K192" s="26"/>
      <c r="L192" s="24"/>
      <c r="M192" s="24"/>
      <c r="N192" s="26">
        <v>89.5</v>
      </c>
      <c r="O192" s="24"/>
      <c r="P192" s="25"/>
      <c r="Q192" s="28">
        <v>5.9722222222222225E-2</v>
      </c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3" x14ac:dyDescent="0.3">
      <c r="A193" s="24">
        <v>130</v>
      </c>
      <c r="B193" s="24"/>
      <c r="C193" s="24"/>
      <c r="D193" s="25" t="s">
        <v>156</v>
      </c>
      <c r="E193" s="29">
        <v>128</v>
      </c>
      <c r="F193" s="25" t="s">
        <v>534</v>
      </c>
      <c r="G193" s="26">
        <v>119970</v>
      </c>
      <c r="H193" s="26"/>
      <c r="I193" s="27"/>
      <c r="J193" s="32"/>
      <c r="K193" s="26"/>
      <c r="L193" s="24"/>
      <c r="M193" s="24"/>
      <c r="N193" s="26">
        <v>44.6</v>
      </c>
      <c r="O193" s="24"/>
      <c r="P193" s="25"/>
      <c r="Q193" s="28">
        <v>0.11944444444444445</v>
      </c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3" x14ac:dyDescent="0.3">
      <c r="A194" s="40">
        <v>137</v>
      </c>
      <c r="B194" s="40"/>
      <c r="C194" s="40"/>
      <c r="D194" s="30" t="s">
        <v>164</v>
      </c>
      <c r="E194" s="29">
        <v>125</v>
      </c>
      <c r="F194" s="25" t="s">
        <v>6</v>
      </c>
      <c r="G194" s="26">
        <v>3000</v>
      </c>
      <c r="H194" s="26">
        <v>102</v>
      </c>
      <c r="I194" s="27">
        <v>3.1469999999999998</v>
      </c>
      <c r="J194" s="32">
        <v>2.859</v>
      </c>
      <c r="K194" s="26">
        <v>66</v>
      </c>
      <c r="L194" s="24"/>
      <c r="M194" s="24"/>
      <c r="N194" s="26">
        <v>86.18</v>
      </c>
      <c r="O194" s="24"/>
      <c r="P194" s="25"/>
      <c r="Q194" s="24">
        <v>6.0416666666666667E-2</v>
      </c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3" x14ac:dyDescent="0.3">
      <c r="A195" s="24">
        <v>197</v>
      </c>
      <c r="B195" s="24"/>
      <c r="C195" s="24"/>
      <c r="D195" s="25" t="s">
        <v>228</v>
      </c>
      <c r="E195" s="29">
        <v>125</v>
      </c>
      <c r="F195" s="25" t="s">
        <v>674</v>
      </c>
      <c r="G195" s="26"/>
      <c r="H195" s="26"/>
      <c r="I195" s="27"/>
      <c r="J195" s="32"/>
      <c r="K195" s="26"/>
      <c r="L195" s="24"/>
      <c r="M195" s="24"/>
      <c r="N195" s="26">
        <v>48</v>
      </c>
      <c r="O195" s="24"/>
      <c r="P195" s="25"/>
      <c r="Q195" s="28">
        <v>0.10833333333333334</v>
      </c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3" x14ac:dyDescent="0.3">
      <c r="A196" s="24">
        <v>244</v>
      </c>
      <c r="B196" s="24">
        <v>216</v>
      </c>
      <c r="C196" s="24">
        <v>512</v>
      </c>
      <c r="D196" s="30" t="s">
        <v>247</v>
      </c>
      <c r="E196" s="29">
        <v>121</v>
      </c>
      <c r="F196" s="25"/>
      <c r="G196" s="26"/>
      <c r="H196" s="26"/>
      <c r="I196" s="27"/>
      <c r="J196" s="32"/>
      <c r="K196" s="26"/>
      <c r="L196" s="24"/>
      <c r="M196" s="24"/>
      <c r="N196" s="26">
        <v>79</v>
      </c>
      <c r="O196" s="24"/>
      <c r="P196" s="25"/>
      <c r="Q196" s="28">
        <v>6.3888888888888884E-2</v>
      </c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3" x14ac:dyDescent="0.3">
      <c r="A197" s="24">
        <v>117</v>
      </c>
      <c r="B197" s="24"/>
      <c r="C197" s="24"/>
      <c r="D197" s="25" t="s">
        <v>143</v>
      </c>
      <c r="E197" s="29">
        <v>119</v>
      </c>
      <c r="F197" s="25" t="s">
        <v>538</v>
      </c>
      <c r="G197" s="26">
        <v>167630</v>
      </c>
      <c r="H197" s="26"/>
      <c r="I197" s="27"/>
      <c r="J197" s="32"/>
      <c r="K197" s="26"/>
      <c r="L197" s="24"/>
      <c r="M197" s="24"/>
      <c r="N197" s="26">
        <v>80.47</v>
      </c>
      <c r="O197" s="24"/>
      <c r="P197" s="25"/>
      <c r="Q197" s="28">
        <v>6.1805555555555558E-2</v>
      </c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3" x14ac:dyDescent="0.3">
      <c r="A198" s="24">
        <v>325</v>
      </c>
      <c r="B198" s="24">
        <v>218</v>
      </c>
      <c r="C198" s="24">
        <v>1728</v>
      </c>
      <c r="D198" s="25" t="s">
        <v>249</v>
      </c>
      <c r="E198" s="29">
        <v>118</v>
      </c>
      <c r="F198" s="25"/>
      <c r="G198" s="26"/>
      <c r="H198" s="26"/>
      <c r="I198" s="27"/>
      <c r="J198" s="32"/>
      <c r="K198" s="26"/>
      <c r="L198" s="24"/>
      <c r="M198" s="24"/>
      <c r="N198" s="26">
        <v>38</v>
      </c>
      <c r="O198" s="24"/>
      <c r="P198" s="25"/>
      <c r="Q198" s="28">
        <v>0.12847222222222224</v>
      </c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3" x14ac:dyDescent="0.3">
      <c r="A199" s="24">
        <v>133</v>
      </c>
      <c r="B199" s="24"/>
      <c r="C199" s="24"/>
      <c r="D199" s="25" t="s">
        <v>160</v>
      </c>
      <c r="E199" s="29">
        <v>112</v>
      </c>
      <c r="F199" s="25"/>
      <c r="G199" s="26"/>
      <c r="H199" s="26"/>
      <c r="I199" s="27"/>
      <c r="J199" s="32"/>
      <c r="K199" s="26"/>
      <c r="L199" s="24"/>
      <c r="M199" s="24"/>
      <c r="N199" s="26">
        <v>77.06</v>
      </c>
      <c r="O199" s="24"/>
      <c r="P199" s="25"/>
      <c r="Q199" s="28">
        <v>6.0416666666666667E-2</v>
      </c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3" x14ac:dyDescent="0.3">
      <c r="A200" s="24">
        <v>172</v>
      </c>
      <c r="B200" s="24"/>
      <c r="C200" s="24"/>
      <c r="D200" s="25" t="s">
        <v>203</v>
      </c>
      <c r="E200" s="29">
        <v>112</v>
      </c>
      <c r="F200" s="25" t="s">
        <v>674</v>
      </c>
      <c r="G200" s="26">
        <v>10830</v>
      </c>
      <c r="H200" s="26"/>
      <c r="I200" s="27"/>
      <c r="J200" s="32"/>
      <c r="K200" s="26"/>
      <c r="L200" s="24"/>
      <c r="M200" s="24"/>
      <c r="N200" s="26">
        <v>52</v>
      </c>
      <c r="O200" s="24"/>
      <c r="P200" s="25"/>
      <c r="Q200" s="28">
        <v>9.0277777777777776E-2</v>
      </c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3" x14ac:dyDescent="0.3">
      <c r="A201" s="24">
        <v>184</v>
      </c>
      <c r="B201" s="24"/>
      <c r="C201" s="24"/>
      <c r="D201" s="25" t="s">
        <v>215</v>
      </c>
      <c r="E201" s="29">
        <v>111</v>
      </c>
      <c r="F201" s="25" t="s">
        <v>705</v>
      </c>
      <c r="G201" s="26">
        <v>708</v>
      </c>
      <c r="H201" s="26"/>
      <c r="I201" s="27"/>
      <c r="J201" s="32"/>
      <c r="K201" s="26"/>
      <c r="L201" s="24"/>
      <c r="M201" s="24"/>
      <c r="N201" s="26">
        <v>49</v>
      </c>
      <c r="O201" s="24"/>
      <c r="P201" s="25"/>
      <c r="Q201" s="28">
        <v>9.5138888888888884E-2</v>
      </c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3" x14ac:dyDescent="0.3">
      <c r="A202" s="24">
        <v>104</v>
      </c>
      <c r="B202" s="24"/>
      <c r="C202" s="24"/>
      <c r="D202" s="25" t="s">
        <v>129</v>
      </c>
      <c r="E202" s="29">
        <v>105</v>
      </c>
      <c r="F202" s="25" t="s">
        <v>690</v>
      </c>
      <c r="G202" s="26">
        <v>1000</v>
      </c>
      <c r="H202" s="26"/>
      <c r="I202" s="27"/>
      <c r="J202" s="32"/>
      <c r="K202" s="26"/>
      <c r="L202" s="24"/>
      <c r="M202" s="24"/>
      <c r="N202" s="26">
        <v>67.97</v>
      </c>
      <c r="O202" s="24"/>
      <c r="P202" s="25"/>
      <c r="Q202" s="28">
        <v>6.458333333333334E-2</v>
      </c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3" x14ac:dyDescent="0.3">
      <c r="A203" s="24">
        <v>185</v>
      </c>
      <c r="B203" s="24"/>
      <c r="C203" s="24"/>
      <c r="D203" s="25" t="s">
        <v>216</v>
      </c>
      <c r="E203" s="29">
        <v>97</v>
      </c>
      <c r="F203" s="25"/>
      <c r="G203" s="26"/>
      <c r="H203" s="26"/>
      <c r="I203" s="27"/>
      <c r="J203" s="32"/>
      <c r="K203" s="26"/>
      <c r="L203" s="24"/>
      <c r="M203" s="24"/>
      <c r="N203" s="26">
        <v>48</v>
      </c>
      <c r="O203" s="24"/>
      <c r="P203" s="25"/>
      <c r="Q203" s="28">
        <v>8.4722222222222213E-2</v>
      </c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3" x14ac:dyDescent="0.3">
      <c r="A204" s="24">
        <v>243</v>
      </c>
      <c r="B204" s="24"/>
      <c r="C204" s="24"/>
      <c r="D204" s="25" t="s">
        <v>241</v>
      </c>
      <c r="E204" s="29">
        <v>95</v>
      </c>
      <c r="F204" s="25"/>
      <c r="G204" s="26"/>
      <c r="H204" s="26"/>
      <c r="I204" s="27"/>
      <c r="J204" s="32"/>
      <c r="K204" s="26"/>
      <c r="L204" s="24"/>
      <c r="M204" s="24"/>
      <c r="N204" s="26">
        <v>260</v>
      </c>
      <c r="O204" s="24"/>
      <c r="P204" s="25"/>
      <c r="Q204" s="28">
        <v>1.5277777777777777E-2</v>
      </c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3" x14ac:dyDescent="0.3">
      <c r="A205" s="24">
        <v>202</v>
      </c>
      <c r="B205" s="24"/>
      <c r="C205" s="24"/>
      <c r="D205" s="25" t="s">
        <v>233</v>
      </c>
      <c r="E205" s="29">
        <v>94</v>
      </c>
      <c r="F205" s="25"/>
      <c r="G205" s="26"/>
      <c r="H205" s="26"/>
      <c r="I205" s="27"/>
      <c r="J205" s="32"/>
      <c r="K205" s="26"/>
      <c r="L205" s="24"/>
      <c r="M205" s="24"/>
      <c r="N205" s="26">
        <v>69</v>
      </c>
      <c r="O205" s="24"/>
      <c r="P205" s="25"/>
      <c r="Q205" s="28">
        <v>5.6944444444444443E-2</v>
      </c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3" x14ac:dyDescent="0.3">
      <c r="A206" s="24">
        <v>175</v>
      </c>
      <c r="B206" s="24"/>
      <c r="C206" s="24"/>
      <c r="D206" s="25" t="s">
        <v>206</v>
      </c>
      <c r="E206" s="29">
        <v>93</v>
      </c>
      <c r="F206" s="25" t="s">
        <v>702</v>
      </c>
      <c r="G206" s="26">
        <v>3430</v>
      </c>
      <c r="H206" s="26"/>
      <c r="I206" s="27"/>
      <c r="J206" s="32"/>
      <c r="K206" s="26"/>
      <c r="L206" s="24"/>
      <c r="M206" s="24"/>
      <c r="N206" s="26">
        <v>11</v>
      </c>
      <c r="O206" s="24"/>
      <c r="P206" s="25"/>
      <c r="Q206" s="28">
        <v>0.35625000000000001</v>
      </c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3" x14ac:dyDescent="0.3">
      <c r="A207" s="24">
        <v>155</v>
      </c>
      <c r="B207" s="24"/>
      <c r="C207" s="24"/>
      <c r="D207" s="25" t="s">
        <v>184</v>
      </c>
      <c r="E207" s="29">
        <v>91</v>
      </c>
      <c r="F207" s="25" t="s">
        <v>693</v>
      </c>
      <c r="G207" s="26">
        <v>9880</v>
      </c>
      <c r="H207" s="26">
        <v>63</v>
      </c>
      <c r="I207" s="27">
        <v>2.4420000000000002</v>
      </c>
      <c r="J207" s="32">
        <v>2.2120000000000002</v>
      </c>
      <c r="K207" s="26">
        <v>39</v>
      </c>
      <c r="L207" s="24" t="s">
        <v>11</v>
      </c>
      <c r="M207" s="24" t="s">
        <v>16</v>
      </c>
      <c r="N207" s="26">
        <v>82.44</v>
      </c>
      <c r="O207" s="24"/>
      <c r="P207" s="25"/>
      <c r="Q207" s="41">
        <v>4.5833333333333337E-2</v>
      </c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3" x14ac:dyDescent="0.3">
      <c r="A208" s="24">
        <v>195</v>
      </c>
      <c r="B208" s="24"/>
      <c r="C208" s="24"/>
      <c r="D208" s="25" t="s">
        <v>226</v>
      </c>
      <c r="E208" s="29">
        <v>91</v>
      </c>
      <c r="F208" s="25"/>
      <c r="G208" s="26"/>
      <c r="H208" s="26"/>
      <c r="I208" s="27"/>
      <c r="J208" s="32"/>
      <c r="K208" s="26"/>
      <c r="L208" s="24"/>
      <c r="M208" s="24"/>
      <c r="N208" s="26">
        <v>45</v>
      </c>
      <c r="O208" s="24"/>
      <c r="P208" s="25"/>
      <c r="Q208" s="28">
        <v>8.4722222222222213E-2</v>
      </c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3" x14ac:dyDescent="0.3">
      <c r="A209" s="24">
        <v>143</v>
      </c>
      <c r="B209" s="24"/>
      <c r="C209" s="24"/>
      <c r="D209" s="25" t="s">
        <v>171</v>
      </c>
      <c r="E209" s="29">
        <v>88</v>
      </c>
      <c r="F209" s="25"/>
      <c r="G209" s="26"/>
      <c r="H209" s="26"/>
      <c r="I209" s="27"/>
      <c r="J209" s="32"/>
      <c r="K209" s="26"/>
      <c r="L209" s="24"/>
      <c r="M209" s="24"/>
      <c r="N209" s="26">
        <v>70.790000000000006</v>
      </c>
      <c r="O209" s="24"/>
      <c r="P209" s="25"/>
      <c r="Q209" s="28">
        <v>5.2083333333333336E-2</v>
      </c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3" x14ac:dyDescent="0.3">
      <c r="A210" s="24">
        <v>144</v>
      </c>
      <c r="B210" s="24"/>
      <c r="C210" s="24"/>
      <c r="D210" s="25" t="s">
        <v>172</v>
      </c>
      <c r="E210" s="29">
        <v>85</v>
      </c>
      <c r="F210" s="25" t="s">
        <v>6</v>
      </c>
      <c r="G210" s="26">
        <v>0</v>
      </c>
      <c r="H210" s="26">
        <v>86</v>
      </c>
      <c r="I210" s="27">
        <v>2.1579999999999999</v>
      </c>
      <c r="J210" s="32">
        <v>1.6830000000000001</v>
      </c>
      <c r="K210" s="26">
        <v>27</v>
      </c>
      <c r="L210" s="24"/>
      <c r="M210" s="24"/>
      <c r="N210" s="26">
        <v>35.39</v>
      </c>
      <c r="O210" s="24"/>
      <c r="P210" s="25"/>
      <c r="Q210" s="41">
        <v>9.9999999999999992E-2</v>
      </c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3" x14ac:dyDescent="0.3">
      <c r="A211" s="24">
        <v>148</v>
      </c>
      <c r="B211" s="24"/>
      <c r="C211" s="24"/>
      <c r="D211" s="25" t="s">
        <v>176</v>
      </c>
      <c r="E211" s="29">
        <v>79</v>
      </c>
      <c r="F211" s="25"/>
      <c r="G211" s="26"/>
      <c r="H211" s="26">
        <v>64</v>
      </c>
      <c r="I211" s="27">
        <v>1.6850000000000001</v>
      </c>
      <c r="J211" s="32">
        <v>1.552</v>
      </c>
      <c r="K211" s="26">
        <v>40</v>
      </c>
      <c r="L211" s="24"/>
      <c r="M211" s="24"/>
      <c r="N211" s="26">
        <v>65.3</v>
      </c>
      <c r="O211" s="24"/>
      <c r="P211" s="25"/>
      <c r="Q211" s="28">
        <v>5.0694444444444452E-2</v>
      </c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3" x14ac:dyDescent="0.3">
      <c r="A212" s="24">
        <v>194</v>
      </c>
      <c r="B212" s="24"/>
      <c r="C212" s="24"/>
      <c r="D212" s="25" t="s">
        <v>225</v>
      </c>
      <c r="E212" s="29">
        <v>78</v>
      </c>
      <c r="F212" s="25"/>
      <c r="G212" s="26"/>
      <c r="H212" s="26"/>
      <c r="I212" s="27"/>
      <c r="J212" s="32"/>
      <c r="K212" s="26"/>
      <c r="L212" s="24"/>
      <c r="M212" s="24"/>
      <c r="N212" s="26">
        <v>39</v>
      </c>
      <c r="O212" s="24"/>
      <c r="P212" s="25"/>
      <c r="Q212" s="28">
        <v>8.4027777777777771E-2</v>
      </c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3" x14ac:dyDescent="0.3">
      <c r="A213" s="24">
        <v>518</v>
      </c>
      <c r="B213" s="24">
        <v>204</v>
      </c>
      <c r="C213" s="24"/>
      <c r="D213" s="25" t="s">
        <v>235</v>
      </c>
      <c r="E213" s="29">
        <v>74</v>
      </c>
      <c r="F213" s="25"/>
      <c r="G213" s="26"/>
      <c r="H213" s="26"/>
      <c r="I213" s="27"/>
      <c r="J213" s="32"/>
      <c r="K213" s="26"/>
      <c r="L213" s="24"/>
      <c r="M213" s="24"/>
      <c r="N213" s="26">
        <v>34</v>
      </c>
      <c r="O213" s="24"/>
      <c r="P213" s="25"/>
      <c r="Q213" s="28">
        <v>9.0972222222222218E-2</v>
      </c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3" x14ac:dyDescent="0.3">
      <c r="A214" s="24">
        <v>100</v>
      </c>
      <c r="B214" s="24"/>
      <c r="C214" s="24"/>
      <c r="D214" s="25" t="s">
        <v>125</v>
      </c>
      <c r="E214" s="29">
        <v>66</v>
      </c>
      <c r="F214" s="25" t="s">
        <v>689</v>
      </c>
      <c r="G214" s="26">
        <v>191320</v>
      </c>
      <c r="H214" s="26"/>
      <c r="I214" s="27"/>
      <c r="J214" s="32"/>
      <c r="K214" s="26"/>
      <c r="L214" s="24"/>
      <c r="M214" s="24"/>
      <c r="N214" s="26">
        <v>60.28</v>
      </c>
      <c r="O214" s="24"/>
      <c r="P214" s="25"/>
      <c r="Q214" s="28">
        <v>4.5833333333333337E-2</v>
      </c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3" x14ac:dyDescent="0.3">
      <c r="A215" s="24">
        <v>166</v>
      </c>
      <c r="B215" s="24"/>
      <c r="C215" s="24"/>
      <c r="D215" s="25" t="s">
        <v>197</v>
      </c>
      <c r="E215" s="29">
        <v>57</v>
      </c>
      <c r="F215" s="25" t="s">
        <v>6</v>
      </c>
      <c r="G215" s="26">
        <v>0</v>
      </c>
      <c r="H215" s="26">
        <v>44</v>
      </c>
      <c r="I215" s="27">
        <v>0.82499999999999996</v>
      </c>
      <c r="J215" s="32">
        <v>0.57399999999999995</v>
      </c>
      <c r="K215" s="26">
        <v>13</v>
      </c>
      <c r="L215" s="24"/>
      <c r="M215" s="24"/>
      <c r="N215" s="26">
        <v>19.78</v>
      </c>
      <c r="O215" s="24"/>
      <c r="P215" s="28"/>
      <c r="Q215" s="28">
        <v>0.12013888888888889</v>
      </c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3" x14ac:dyDescent="0.3">
      <c r="A216" s="24">
        <v>203</v>
      </c>
      <c r="B216" s="24"/>
      <c r="C216" s="24"/>
      <c r="D216" s="25" t="s">
        <v>234</v>
      </c>
      <c r="E216" s="29">
        <v>51</v>
      </c>
      <c r="F216" s="25" t="s">
        <v>538</v>
      </c>
      <c r="G216" s="26"/>
      <c r="H216" s="26"/>
      <c r="I216" s="27"/>
      <c r="J216" s="32"/>
      <c r="K216" s="26"/>
      <c r="L216" s="24"/>
      <c r="M216" s="24"/>
      <c r="N216" s="26">
        <v>24</v>
      </c>
      <c r="O216" s="24"/>
      <c r="P216" s="25"/>
      <c r="Q216" s="28">
        <v>9.0972222222222218E-2</v>
      </c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3" x14ac:dyDescent="0.3">
      <c r="A217" s="24">
        <v>477</v>
      </c>
      <c r="B217" s="24">
        <v>205</v>
      </c>
      <c r="C217" s="24"/>
      <c r="D217" s="25" t="s">
        <v>236</v>
      </c>
      <c r="E217" s="29">
        <v>43</v>
      </c>
      <c r="F217" s="25"/>
      <c r="G217" s="26"/>
      <c r="H217" s="26"/>
      <c r="I217" s="27"/>
      <c r="J217" s="32"/>
      <c r="K217" s="26"/>
      <c r="L217" s="24"/>
      <c r="M217" s="24"/>
      <c r="N217" s="26">
        <v>104</v>
      </c>
      <c r="O217" s="24"/>
      <c r="P217" s="25"/>
      <c r="Q217" s="28">
        <v>1.7361111111111112E-2</v>
      </c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3" x14ac:dyDescent="0.3">
      <c r="A218" s="24">
        <v>169</v>
      </c>
      <c r="B218" s="24"/>
      <c r="C218" s="24"/>
      <c r="D218" s="25" t="s">
        <v>200</v>
      </c>
      <c r="E218" s="29">
        <v>40</v>
      </c>
      <c r="F218" s="25"/>
      <c r="G218" s="26"/>
      <c r="H218" s="26"/>
      <c r="I218" s="27"/>
      <c r="J218" s="32"/>
      <c r="K218" s="26"/>
      <c r="L218" s="24"/>
      <c r="M218" s="24"/>
      <c r="N218" s="26">
        <v>41</v>
      </c>
      <c r="O218" s="24"/>
      <c r="P218" s="25"/>
      <c r="Q218" s="28">
        <v>4.0972222222222222E-2</v>
      </c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3" x14ac:dyDescent="0.3">
      <c r="A219" s="24">
        <v>1077</v>
      </c>
      <c r="B219" s="24">
        <v>224</v>
      </c>
      <c r="C219" s="24">
        <v>5784</v>
      </c>
      <c r="D219" s="25" t="s">
        <v>255</v>
      </c>
      <c r="E219" s="29">
        <v>27</v>
      </c>
      <c r="F219" s="25"/>
      <c r="G219" s="26"/>
      <c r="H219" s="26"/>
      <c r="I219" s="27"/>
      <c r="J219" s="32"/>
      <c r="K219" s="26"/>
      <c r="L219" s="24"/>
      <c r="M219" s="24"/>
      <c r="N219" s="26">
        <v>10</v>
      </c>
      <c r="O219" s="24"/>
      <c r="P219" s="25"/>
      <c r="Q219" s="28">
        <v>0.11388888888888889</v>
      </c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3" x14ac:dyDescent="0.3">
      <c r="A220" s="24">
        <v>146</v>
      </c>
      <c r="B220" s="24"/>
      <c r="C220" s="24"/>
      <c r="D220" s="25" t="s">
        <v>174</v>
      </c>
      <c r="E220" s="29">
        <v>26</v>
      </c>
      <c r="F220" s="25" t="s">
        <v>6</v>
      </c>
      <c r="G220" s="26">
        <v>1000</v>
      </c>
      <c r="H220" s="26"/>
      <c r="I220" s="27"/>
      <c r="J220" s="32"/>
      <c r="K220" s="26"/>
      <c r="L220" s="24"/>
      <c r="M220" s="24"/>
      <c r="N220" s="26">
        <v>9.5009999999999994</v>
      </c>
      <c r="O220" s="24"/>
      <c r="P220" s="25"/>
      <c r="Q220" s="28">
        <v>0.11597222222222221</v>
      </c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3" x14ac:dyDescent="0.3">
      <c r="A221" s="24">
        <v>118</v>
      </c>
      <c r="B221" s="24"/>
      <c r="C221" s="24"/>
      <c r="D221" s="25" t="s">
        <v>144</v>
      </c>
      <c r="E221" s="29">
        <v>23</v>
      </c>
      <c r="F221" s="25" t="s">
        <v>6</v>
      </c>
      <c r="G221" s="26">
        <v>6900</v>
      </c>
      <c r="H221" s="26"/>
      <c r="I221" s="27"/>
      <c r="J221" s="32"/>
      <c r="K221" s="26"/>
      <c r="L221" s="24"/>
      <c r="M221" s="24"/>
      <c r="N221" s="26">
        <v>65.540000000000006</v>
      </c>
      <c r="O221" s="24"/>
      <c r="P221" s="25"/>
      <c r="Q221" s="28">
        <v>1.4583333333333332E-2</v>
      </c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3" x14ac:dyDescent="0.3">
      <c r="A222" s="24">
        <v>125</v>
      </c>
      <c r="B222" s="24"/>
      <c r="C222" s="24"/>
      <c r="D222" s="25" t="s">
        <v>151</v>
      </c>
      <c r="E222" s="29">
        <v>8</v>
      </c>
      <c r="F222" s="25" t="s">
        <v>695</v>
      </c>
      <c r="G222" s="26">
        <v>0</v>
      </c>
      <c r="H222" s="26"/>
      <c r="I222" s="27"/>
      <c r="J222" s="32"/>
      <c r="K222" s="26"/>
      <c r="L222" s="24"/>
      <c r="M222" s="24"/>
      <c r="N222" s="26">
        <v>8.8130000000000006</v>
      </c>
      <c r="O222" s="24"/>
      <c r="P222" s="25"/>
      <c r="Q222" s="28">
        <v>3.9583333333333331E-2</v>
      </c>
      <c r="R222" s="25"/>
      <c r="S222" s="25"/>
      <c r="T222" s="25"/>
      <c r="U222" s="25"/>
      <c r="V222" s="25"/>
      <c r="W222" s="25"/>
      <c r="X222" s="25"/>
      <c r="Y222" s="25"/>
      <c r="Z22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Finance</vt:lpstr>
      <vt:lpstr>User Minutes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2023-05-11T16:16:41Z</dcterms:created>
  <dcterms:modified xsi:type="dcterms:W3CDTF">2025-10-25T18:41:31Z</dcterms:modified>
</cp:coreProperties>
</file>