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tin Shkreli - DL\models\"/>
    </mc:Choice>
  </mc:AlternateContent>
  <xr:revisionPtr revIDLastSave="0" documentId="13_ncr:1_{E2E1A077-CEBC-4A4B-B8FC-3FCED77139ED}" xr6:coauthVersionLast="47" xr6:coauthVersionMax="47" xr10:uidLastSave="{00000000-0000-0000-0000-000000000000}"/>
  <bookViews>
    <workbookView xWindow="45690" yWindow="3040" windowWidth="24340" windowHeight="15680" activeTab="2" xr2:uid="{BF14CAB3-0C0C-4694-B9CA-7CC550084526}"/>
  </bookViews>
  <sheets>
    <sheet name="Main" sheetId="1" r:id="rId1"/>
    <sheet name="Model" sheetId="2" r:id="rId2"/>
    <sheet name="deramiocel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6" i="1" l="1"/>
  <c r="K17" i="1"/>
  <c r="D21" i="1"/>
  <c r="D20" i="1"/>
  <c r="D19" i="1"/>
  <c r="D18" i="1"/>
  <c r="D17" i="1"/>
  <c r="D16" i="1"/>
  <c r="D15" i="1"/>
  <c r="E21" i="1"/>
  <c r="F21" i="1" s="1"/>
  <c r="E20" i="1"/>
  <c r="F20" i="1" s="1"/>
  <c r="E19" i="1"/>
  <c r="F19" i="1" s="1"/>
  <c r="E18" i="1"/>
  <c r="F18" i="1" s="1"/>
  <c r="E17" i="1"/>
  <c r="F17" i="1" s="1"/>
  <c r="E16" i="1"/>
  <c r="F16" i="1" s="1"/>
  <c r="E15" i="1"/>
  <c r="F15" i="1" s="1"/>
  <c r="E14" i="1"/>
  <c r="F14" i="1" s="1"/>
  <c r="E13" i="1"/>
  <c r="F13" i="1" s="1"/>
  <c r="E12" i="1"/>
  <c r="F12" i="1" s="1"/>
  <c r="E11" i="1"/>
  <c r="F11" i="1" s="1"/>
  <c r="E10" i="1"/>
  <c r="F10" i="1" s="1"/>
  <c r="K18" i="1"/>
  <c r="K5" i="1"/>
  <c r="K4" i="1"/>
  <c r="K7" i="1" l="1"/>
</calcChain>
</file>

<file path=xl/sharedStrings.xml><?xml version="1.0" encoding="utf-8"?>
<sst xmlns="http://schemas.openxmlformats.org/spreadsheetml/2006/main" count="71" uniqueCount="64">
  <si>
    <t>Price</t>
  </si>
  <si>
    <t>Shares</t>
  </si>
  <si>
    <t>MC</t>
  </si>
  <si>
    <t>Cash</t>
  </si>
  <si>
    <t>Debt</t>
  </si>
  <si>
    <t>EV</t>
  </si>
  <si>
    <t>Name</t>
  </si>
  <si>
    <t>deramiocel</t>
  </si>
  <si>
    <t>Indication</t>
  </si>
  <si>
    <t>DMD</t>
  </si>
  <si>
    <t>MOA</t>
  </si>
  <si>
    <t>Founded: 2005</t>
  </si>
  <si>
    <t>Merged with Nile</t>
  </si>
  <si>
    <t>Phase</t>
  </si>
  <si>
    <t>Brand</t>
  </si>
  <si>
    <t>Main</t>
  </si>
  <si>
    <t>Clinical Trials</t>
  </si>
  <si>
    <t>Q424</t>
  </si>
  <si>
    <t>Administration</t>
  </si>
  <si>
    <t>IV</t>
  </si>
  <si>
    <t>dermaiocel, fka CAP-1002</t>
  </si>
  <si>
    <t>Phase I "HOPE" n=13 DMD</t>
  </si>
  <si>
    <t>PE: Performance of Upper Limb. Baseline was 2-5.</t>
  </si>
  <si>
    <t>allogeneic exosomes/"CDCs"</t>
  </si>
  <si>
    <t>one-time administration delivered via coronary artery catheterisation</t>
  </si>
  <si>
    <t>Phase II "HOPE-2" n=20 late-stage DMD - NCT03406780, Lancet 2022.</t>
  </si>
  <si>
    <t>Mean 12-month change from baseline was 36.2% percentile difference, or 2.6 points, p=0.014.</t>
  </si>
  <si>
    <t>4 dose course, every 3 months.</t>
  </si>
  <si>
    <t>3/1/18 to 3/21/20 enrollment, 7 sites (UC Davis, CHOP, NCH). 10MW &gt;10sec or non-ambulatory</t>
  </si>
  <si>
    <t xml:space="preserve">  CDCs secrete exosomes which have miR-146a and miR-181b and Y RNA fragments</t>
  </si>
  <si>
    <t xml:space="preserve">  Theoretically these RNA change gene expression in macrophages</t>
  </si>
  <si>
    <t xml:space="preserve">  planned for 84 patients, FDA recommended transitioning to a phase 3.</t>
  </si>
  <si>
    <t xml:space="preserve">  interim analysis for futility was looked at and enrollment paused by Capricor due to 'funding constraints'</t>
  </si>
  <si>
    <t>Manufacturing</t>
  </si>
  <si>
    <t>two donor hearts, culture myocardial tissue to create CDCs. 12 lots of CDCs are formulated as CAP-1002.</t>
  </si>
  <si>
    <t>CDCs are identified by high CD105 and low CD45 expression.</t>
  </si>
  <si>
    <t>26 screened, 20 assigned/randomized, 19 had a post-treatment PUL 1.2 assessment (8 CAP, 11 placebo)</t>
  </si>
  <si>
    <t>3 IV hypersensitivity reactions, 1 discontinuation after receiving a partial infusion at month 3, resulting in 7 followed for full 12 months.</t>
  </si>
  <si>
    <t>3 patients in the placebo arm discontinued: n=2 after 2 infusions and n=1 after 1 infusion, resulting in 9 followed for full 12 months.</t>
  </si>
  <si>
    <t>Q125</t>
  </si>
  <si>
    <t>PIC</t>
  </si>
  <si>
    <t>AD</t>
  </si>
  <si>
    <t>Revenue</t>
  </si>
  <si>
    <t>Q123</t>
  </si>
  <si>
    <t>Q223</t>
  </si>
  <si>
    <t>Q323</t>
  </si>
  <si>
    <t>Q423</t>
  </si>
  <si>
    <t>Q124</t>
  </si>
  <si>
    <t>Q224</t>
  </si>
  <si>
    <t>Q324</t>
  </si>
  <si>
    <t>Q225</t>
  </si>
  <si>
    <t>Q325</t>
  </si>
  <si>
    <t>Q425</t>
  </si>
  <si>
    <t>CFFO</t>
  </si>
  <si>
    <t>PK</t>
  </si>
  <si>
    <t>6-9B heart cells, 2-3B cardiomyocytes</t>
  </si>
  <si>
    <t>150m cells by IV --&gt; only 0.15% ever reach the heart? T1/2 = 24h?</t>
  </si>
  <si>
    <t>3 months: 1.2, 6 months: 1.5, 9 months: 1.5, 12 months: 2.6</t>
  </si>
  <si>
    <t>CAP-1002 at 12 months: 65.5 (10.8 SE, 31SD) -0.75 (2.6 delta)</t>
  </si>
  <si>
    <t>placebo at 12 months: 29.3 (9.2 SE, 32 SD) - -3.36</t>
  </si>
  <si>
    <t>Cash/share</t>
  </si>
  <si>
    <t>Below Cash</t>
  </si>
  <si>
    <t>Current Cash/share</t>
  </si>
  <si>
    <t>FV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</si>
</sst>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#,##0.0"/>
  </numFmts>
  <fonts count="4" x14ac:knownFonts="1">
    <font>
      <sz val="10"/>
      <color theme="1"/>
      <name val="Arial"/>
      <family val="2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0">
    <xf numFmtId="0" fontId="0" fillId="0" borderId="0" xfId="0"/>
    <xf numFmtId="4" fontId="0" fillId="0" borderId="0" xfId="0" applyNumberFormat="1"/>
    <xf numFmtId="0" fontId="0" fillId="0" borderId="1" xfId="0" quotePrefix="1" applyBorder="1"/>
    <xf numFmtId="0" fontId="0" fillId="0" borderId="2" xfId="0" applyBorder="1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2" fillId="0" borderId="0" xfId="1"/>
    <xf numFmtId="0" fontId="1" fillId="0" borderId="0" xfId="0" applyFont="1"/>
    <xf numFmtId="0" fontId="3" fillId="0" borderId="0" xfId="0" applyFont="1"/>
    <xf numFmtId="3" fontId="0" fillId="0" borderId="0" xfId="0" applyNumberFormat="1"/>
    <xf numFmtId="0" fontId="0" fillId="0" borderId="0" xfId="0" applyAlignment="1">
      <alignment horizontal="right"/>
    </xf>
    <xf numFmtId="164" fontId="0" fillId="0" borderId="0" xfId="0" applyNumberFormat="1"/>
    <xf numFmtId="164" fontId="0" fillId="0" borderId="0" xfId="0" applyNumberFormat="1" applyAlignment="1">
      <alignment horizontal="right"/>
    </xf>
    <xf numFmtId="16" fontId="0" fillId="0" borderId="0" xfId="0" applyNumberFormat="1"/>
    <xf numFmtId="9" fontId="0" fillId="0" borderId="0" xfId="0" applyNumberFormat="1"/>
  </cellXfs>
  <cellStyles count="2">
    <cellStyle name="Hyperlink" xfId="1" builtinId="8"/>
    <cellStyle name="Normal" xfId="0" builtinId="0"/>
  </cellStyles>
  <dxfs count="0"/>
  <tableStyles count="1" defaultTableStyle="TableStyleMedium2" defaultPivotStyle="PivotStyleLight16">
    <tableStyle name="Invisible" pivot="0" table="0" count="0" xr9:uid="{866B8461-0EBC-4DC1-A3B2-45E3A7A68D9A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deramiocel!$B$27:$F$27</c:f>
              <c:numCache>
                <c:formatCode>General</c:formatCode>
                <c:ptCount val="5"/>
                <c:pt idx="0">
                  <c:v>0</c:v>
                </c:pt>
                <c:pt idx="1">
                  <c:v>1.2</c:v>
                </c:pt>
                <c:pt idx="2">
                  <c:v>1.5</c:v>
                </c:pt>
                <c:pt idx="3">
                  <c:v>1.5</c:v>
                </c:pt>
                <c:pt idx="4">
                  <c:v>2.6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56-4B16-8854-6C9DBE8FF2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67493696"/>
        <c:axId val="1467490816"/>
      </c:lineChart>
      <c:catAx>
        <c:axId val="14674936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7490816"/>
        <c:crosses val="autoZero"/>
        <c:auto val="1"/>
        <c:lblAlgn val="ctr"/>
        <c:lblOffset val="100"/>
        <c:noMultiLvlLbl val="0"/>
      </c:catAx>
      <c:valAx>
        <c:axId val="1467490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74936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chart" Target="../charts/chart1.xml"/><Relationship Id="rId4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65484</xdr:colOff>
      <xdr:row>31</xdr:row>
      <xdr:rowOff>140493</xdr:rowOff>
    </xdr:from>
    <xdr:to>
      <xdr:col>9</xdr:col>
      <xdr:colOff>188516</xdr:colOff>
      <xdr:row>49</xdr:row>
      <xdr:rowOff>26193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078B9A-6F8C-57D0-7E7F-40DD1BBCF8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</xdr:col>
      <xdr:colOff>241525</xdr:colOff>
      <xdr:row>56</xdr:row>
      <xdr:rowOff>38847</xdr:rowOff>
    </xdr:from>
    <xdr:to>
      <xdr:col>11</xdr:col>
      <xdr:colOff>111732</xdr:colOff>
      <xdr:row>79</xdr:row>
      <xdr:rowOff>66579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609242F-4D13-321D-1D4B-3A95326CF7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41407" y="8861612"/>
          <a:ext cx="5555325" cy="3636026"/>
        </a:xfrm>
        <a:prstGeom prst="rect">
          <a:avLst/>
        </a:prstGeom>
      </xdr:spPr>
    </xdr:pic>
    <xdr:clientData/>
  </xdr:twoCellAnchor>
  <xdr:twoCellAnchor editAs="oneCell">
    <xdr:from>
      <xdr:col>10</xdr:col>
      <xdr:colOff>495958</xdr:colOff>
      <xdr:row>6</xdr:row>
      <xdr:rowOff>71391</xdr:rowOff>
    </xdr:from>
    <xdr:to>
      <xdr:col>22</xdr:col>
      <xdr:colOff>238614</xdr:colOff>
      <xdr:row>35</xdr:row>
      <xdr:rowOff>71391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FA8A122-7C51-1A38-08E3-7F996CDE25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832820" y="1017322"/>
          <a:ext cx="7047346" cy="4615793"/>
        </a:xfrm>
        <a:prstGeom prst="rect">
          <a:avLst/>
        </a:prstGeom>
      </xdr:spPr>
    </xdr:pic>
    <xdr:clientData/>
  </xdr:twoCellAnchor>
  <xdr:twoCellAnchor editAs="oneCell">
    <xdr:from>
      <xdr:col>12</xdr:col>
      <xdr:colOff>347345</xdr:colOff>
      <xdr:row>41</xdr:row>
      <xdr:rowOff>135592</xdr:rowOff>
    </xdr:from>
    <xdr:to>
      <xdr:col>24</xdr:col>
      <xdr:colOff>151936</xdr:colOff>
      <xdr:row>77</xdr:row>
      <xdr:rowOff>95669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EDF4770-410D-7527-4B99-45C1440068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910195" y="6676092"/>
          <a:ext cx="7119791" cy="567507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636C82-AED4-4D1E-B69C-D638906C4BC1}">
  <dimension ref="B2:L21"/>
  <sheetViews>
    <sheetView topLeftCell="A7" zoomScale="160" zoomScaleNormal="160" workbookViewId="0">
      <selection activeCell="K16" sqref="K16"/>
    </sheetView>
  </sheetViews>
  <sheetFormatPr defaultRowHeight="12.5" x14ac:dyDescent="0.25"/>
  <cols>
    <col min="1" max="1" width="3.7265625" customWidth="1"/>
    <col min="2" max="2" width="10.54296875" customWidth="1"/>
    <col min="3" max="3" width="9.26953125" customWidth="1"/>
    <col min="10" max="10" width="10.36328125" customWidth="1"/>
  </cols>
  <sheetData>
    <row r="2" spans="2:12" x14ac:dyDescent="0.25">
      <c r="B2" s="8" t="s">
        <v>6</v>
      </c>
      <c r="C2" s="9" t="s">
        <v>8</v>
      </c>
      <c r="D2" s="9" t="s">
        <v>10</v>
      </c>
      <c r="E2" s="9" t="s">
        <v>13</v>
      </c>
      <c r="F2" s="9"/>
      <c r="G2" s="10"/>
      <c r="J2" t="s">
        <v>0</v>
      </c>
      <c r="K2" s="1">
        <v>6.3</v>
      </c>
    </row>
    <row r="3" spans="2:12" x14ac:dyDescent="0.25">
      <c r="B3" s="2" t="s">
        <v>7</v>
      </c>
      <c r="C3" t="s">
        <v>9</v>
      </c>
      <c r="G3" s="3"/>
      <c r="J3" t="s">
        <v>1</v>
      </c>
      <c r="K3" s="14">
        <v>45.716974999999998</v>
      </c>
      <c r="L3" s="15" t="s">
        <v>51</v>
      </c>
    </row>
    <row r="4" spans="2:12" x14ac:dyDescent="0.25">
      <c r="B4" s="4"/>
      <c r="G4" s="3"/>
      <c r="J4" t="s">
        <v>2</v>
      </c>
      <c r="K4" s="14">
        <f>+K2*K3</f>
        <v>288.01694249999997</v>
      </c>
      <c r="L4" s="15"/>
    </row>
    <row r="5" spans="2:12" x14ac:dyDescent="0.25">
      <c r="B5" s="4"/>
      <c r="G5" s="3"/>
      <c r="J5" t="s">
        <v>3</v>
      </c>
      <c r="K5" s="14">
        <f>23.241199+99.559482</f>
        <v>122.800681</v>
      </c>
      <c r="L5" s="15" t="s">
        <v>51</v>
      </c>
    </row>
    <row r="6" spans="2:12" x14ac:dyDescent="0.25">
      <c r="B6" s="5"/>
      <c r="C6" s="6"/>
      <c r="D6" s="6"/>
      <c r="E6" s="6"/>
      <c r="F6" s="6"/>
      <c r="G6" s="7"/>
      <c r="J6" t="s">
        <v>4</v>
      </c>
      <c r="K6" s="14">
        <v>0</v>
      </c>
      <c r="L6" s="15" t="s">
        <v>51</v>
      </c>
    </row>
    <row r="7" spans="2:12" x14ac:dyDescent="0.25">
      <c r="J7" t="s">
        <v>5</v>
      </c>
      <c r="K7" s="14">
        <f>+K4-K5+K6</f>
        <v>165.21626149999997</v>
      </c>
    </row>
    <row r="8" spans="2:12" x14ac:dyDescent="0.25">
      <c r="H8" s="1"/>
    </row>
    <row r="9" spans="2:12" x14ac:dyDescent="0.25">
      <c r="E9" t="s">
        <v>63</v>
      </c>
      <c r="J9" t="s">
        <v>40</v>
      </c>
      <c r="K9" s="14">
        <v>353.68069400000002</v>
      </c>
      <c r="L9" s="15" t="s">
        <v>51</v>
      </c>
    </row>
    <row r="10" spans="2:12" x14ac:dyDescent="0.25">
      <c r="B10" s="18">
        <v>45982</v>
      </c>
      <c r="C10" s="1">
        <v>1</v>
      </c>
      <c r="D10">
        <v>0.05</v>
      </c>
      <c r="E10" s="1">
        <f t="shared" ref="E10:E21" si="0">IF((C10-$K$16)&gt;0,(C10-$K$16),0)</f>
        <v>0</v>
      </c>
      <c r="F10" s="19">
        <f t="shared" ref="F10:F20" si="1">+E10/D10-1</f>
        <v>-1</v>
      </c>
      <c r="J10" t="s">
        <v>41</v>
      </c>
      <c r="K10" s="14">
        <v>-250.13692399999999</v>
      </c>
      <c r="L10" s="15" t="s">
        <v>51</v>
      </c>
    </row>
    <row r="11" spans="2:12" x14ac:dyDescent="0.25">
      <c r="B11" s="18">
        <v>45982</v>
      </c>
      <c r="C11" s="1">
        <v>2.5</v>
      </c>
      <c r="D11" s="1">
        <v>0.2</v>
      </c>
      <c r="E11" s="1">
        <f t="shared" si="0"/>
        <v>0</v>
      </c>
      <c r="F11" s="19">
        <f t="shared" si="1"/>
        <v>-1</v>
      </c>
      <c r="H11" s="1"/>
    </row>
    <row r="12" spans="2:12" x14ac:dyDescent="0.25">
      <c r="B12" s="18">
        <v>45982</v>
      </c>
      <c r="C12" s="1">
        <v>4</v>
      </c>
      <c r="D12" s="1">
        <v>0.67500000000000004</v>
      </c>
      <c r="E12" s="1">
        <f t="shared" si="0"/>
        <v>1.3138931217561964</v>
      </c>
      <c r="F12" s="19">
        <f t="shared" si="1"/>
        <v>0.94650832852769828</v>
      </c>
      <c r="H12" s="1"/>
      <c r="J12" t="s">
        <v>11</v>
      </c>
    </row>
    <row r="13" spans="2:12" x14ac:dyDescent="0.25">
      <c r="B13" s="18">
        <v>45982</v>
      </c>
      <c r="C13" s="1">
        <v>5</v>
      </c>
      <c r="D13" s="1">
        <v>1.2250000000000001</v>
      </c>
      <c r="E13" s="1">
        <f t="shared" si="0"/>
        <v>2.3138931217561964</v>
      </c>
      <c r="F13" s="19">
        <f t="shared" si="1"/>
        <v>0.88889234429077257</v>
      </c>
      <c r="J13" t="s">
        <v>12</v>
      </c>
    </row>
    <row r="14" spans="2:12" x14ac:dyDescent="0.25">
      <c r="B14" s="18">
        <v>45982</v>
      </c>
      <c r="C14" s="1">
        <v>6</v>
      </c>
      <c r="D14" s="1">
        <v>1.825</v>
      </c>
      <c r="E14" s="1">
        <f t="shared" si="0"/>
        <v>3.3138931217561964</v>
      </c>
      <c r="F14" s="19">
        <f t="shared" si="1"/>
        <v>0.81583184753764182</v>
      </c>
    </row>
    <row r="15" spans="2:12" x14ac:dyDescent="0.25">
      <c r="B15" s="18">
        <v>45982</v>
      </c>
      <c r="C15" s="1">
        <v>7.5</v>
      </c>
      <c r="D15" s="1">
        <f>AVERAGE(2.35,3.1)</f>
        <v>2.7250000000000001</v>
      </c>
      <c r="E15" s="1">
        <f t="shared" si="0"/>
        <v>4.8138931217561964</v>
      </c>
      <c r="F15" s="19">
        <f t="shared" si="1"/>
        <v>0.76656628321328313</v>
      </c>
    </row>
    <row r="16" spans="2:12" x14ac:dyDescent="0.25">
      <c r="B16" s="18">
        <v>45982</v>
      </c>
      <c r="C16" s="1">
        <v>9</v>
      </c>
      <c r="D16" s="1">
        <f>AVERAGE(2.25,5.8)</f>
        <v>4.0250000000000004</v>
      </c>
      <c r="E16" s="1">
        <f t="shared" si="0"/>
        <v>6.3138931217561964</v>
      </c>
      <c r="F16" s="19">
        <f t="shared" si="1"/>
        <v>0.56866909857296788</v>
      </c>
      <c r="J16" t="s">
        <v>60</v>
      </c>
      <c r="K16" s="1">
        <f>+(K5)/K3</f>
        <v>2.6861068782438036</v>
      </c>
    </row>
    <row r="17" spans="2:11" x14ac:dyDescent="0.25">
      <c r="B17" s="18">
        <v>45982</v>
      </c>
      <c r="C17" s="1">
        <v>10</v>
      </c>
      <c r="D17" s="1">
        <f>AVERAGE(2.65,6.4)</f>
        <v>4.5250000000000004</v>
      </c>
      <c r="E17" s="1">
        <f t="shared" si="0"/>
        <v>7.3138931217561964</v>
      </c>
      <c r="F17" s="19">
        <f t="shared" si="1"/>
        <v>0.61632997165882775</v>
      </c>
      <c r="J17" t="s">
        <v>62</v>
      </c>
      <c r="K17" s="1">
        <f>(K5-13-4)/K3</f>
        <v>2.3142537536658976</v>
      </c>
    </row>
    <row r="18" spans="2:11" x14ac:dyDescent="0.25">
      <c r="B18" s="18">
        <v>45982</v>
      </c>
      <c r="C18" s="1">
        <v>11</v>
      </c>
      <c r="D18">
        <f>AVERAGE(3.5,8)</f>
        <v>5.75</v>
      </c>
      <c r="E18" s="1">
        <f t="shared" si="0"/>
        <v>8.3138931217561964</v>
      </c>
      <c r="F18" s="19">
        <f t="shared" si="1"/>
        <v>0.44589445595759947</v>
      </c>
      <c r="J18" t="s">
        <v>61</v>
      </c>
      <c r="K18" s="1">
        <f>(K5-13-26)/K3</f>
        <v>1.8330320630356667</v>
      </c>
    </row>
    <row r="19" spans="2:11" x14ac:dyDescent="0.25">
      <c r="B19" s="18">
        <v>45982</v>
      </c>
      <c r="C19" s="1">
        <v>12.5</v>
      </c>
      <c r="D19" s="1">
        <f>AVERAGE(5,9)</f>
        <v>7</v>
      </c>
      <c r="E19" s="1">
        <f t="shared" si="0"/>
        <v>9.8138931217561964</v>
      </c>
      <c r="F19" s="19">
        <f t="shared" si="1"/>
        <v>0.4019847316794567</v>
      </c>
    </row>
    <row r="20" spans="2:11" x14ac:dyDescent="0.25">
      <c r="B20" s="18">
        <v>45982</v>
      </c>
      <c r="C20" s="1">
        <v>15</v>
      </c>
      <c r="D20" s="1">
        <f>AVERAGE(7,11.4)</f>
        <v>9.1999999999999993</v>
      </c>
      <c r="E20" s="1">
        <f t="shared" si="0"/>
        <v>12.313893121756196</v>
      </c>
      <c r="F20" s="19">
        <f t="shared" si="1"/>
        <v>0.33846664366915191</v>
      </c>
    </row>
    <row r="21" spans="2:11" x14ac:dyDescent="0.25">
      <c r="B21" s="18">
        <v>45982</v>
      </c>
      <c r="C21" s="1">
        <v>17.5</v>
      </c>
      <c r="D21" s="1">
        <f>AVERAGE(9.5,14)</f>
        <v>11.75</v>
      </c>
      <c r="E21" s="1">
        <f t="shared" si="0"/>
        <v>14.813893121756196</v>
      </c>
      <c r="F21" s="19">
        <f>+E21/D21-1</f>
        <v>0.26075686142605936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E7A31-D5D6-4383-8581-002AD62CC3D3}">
  <dimension ref="A1:N13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2.5" x14ac:dyDescent="0.25"/>
  <cols>
    <col min="1" max="1" width="4.6328125" bestFit="1" customWidth="1"/>
    <col min="3" max="14" width="8.7265625" style="15"/>
  </cols>
  <sheetData>
    <row r="1" spans="1:14" x14ac:dyDescent="0.25">
      <c r="A1" s="11" t="s">
        <v>15</v>
      </c>
    </row>
    <row r="2" spans="1:14" x14ac:dyDescent="0.25">
      <c r="C2" s="15" t="s">
        <v>43</v>
      </c>
      <c r="D2" s="15" t="s">
        <v>44</v>
      </c>
      <c r="E2" s="15" t="s">
        <v>45</v>
      </c>
      <c r="F2" s="15" t="s">
        <v>46</v>
      </c>
      <c r="G2" s="15" t="s">
        <v>47</v>
      </c>
      <c r="H2" s="15" t="s">
        <v>48</v>
      </c>
      <c r="I2" s="15" t="s">
        <v>49</v>
      </c>
      <c r="J2" s="15" t="s">
        <v>17</v>
      </c>
      <c r="K2" s="15" t="s">
        <v>39</v>
      </c>
      <c r="L2" s="15" t="s">
        <v>50</v>
      </c>
      <c r="M2" s="15" t="s">
        <v>51</v>
      </c>
      <c r="N2" s="15" t="s">
        <v>52</v>
      </c>
    </row>
    <row r="3" spans="1:14" x14ac:dyDescent="0.25">
      <c r="B3" t="s">
        <v>42</v>
      </c>
    </row>
    <row r="13" spans="1:14" s="16" customFormat="1" x14ac:dyDescent="0.25">
      <c r="B13" s="16" t="s">
        <v>53</v>
      </c>
      <c r="C13" s="17"/>
      <c r="D13" s="17"/>
      <c r="E13" s="17"/>
      <c r="F13" s="17"/>
      <c r="G13" s="17">
        <v>-1.26844</v>
      </c>
      <c r="H13" s="17"/>
      <c r="I13" s="17"/>
      <c r="J13" s="17"/>
      <c r="K13" s="17">
        <v>-6.4335199999999997</v>
      </c>
      <c r="L13" s="17"/>
      <c r="M13" s="17"/>
      <c r="N13" s="17"/>
    </row>
  </sheetData>
  <hyperlinks>
    <hyperlink ref="A1" location="Main!A1" display="Main" xr:uid="{3A728F07-9E77-4091-A515-4A358B92A239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8139D-9143-47B3-84C4-3BE05C923E9F}">
  <dimension ref="A1:F31"/>
  <sheetViews>
    <sheetView tabSelected="1" topLeftCell="A4" zoomScaleNormal="100" workbookViewId="0">
      <selection activeCell="I11" sqref="I11"/>
    </sheetView>
  </sheetViews>
  <sheetFormatPr defaultRowHeight="12.5" x14ac:dyDescent="0.25"/>
  <cols>
    <col min="1" max="1" width="5" bestFit="1" customWidth="1"/>
    <col min="2" max="2" width="13.54296875" customWidth="1"/>
    <col min="3" max="3" width="11.1796875" customWidth="1"/>
  </cols>
  <sheetData>
    <row r="1" spans="1:3" x14ac:dyDescent="0.25">
      <c r="A1" s="11" t="s">
        <v>15</v>
      </c>
    </row>
    <row r="2" spans="1:3" x14ac:dyDescent="0.25">
      <c r="B2" t="s">
        <v>14</v>
      </c>
      <c r="C2" t="s">
        <v>20</v>
      </c>
    </row>
    <row r="3" spans="1:3" x14ac:dyDescent="0.25">
      <c r="B3" t="s">
        <v>10</v>
      </c>
      <c r="C3" t="s">
        <v>23</v>
      </c>
    </row>
    <row r="4" spans="1:3" x14ac:dyDescent="0.25">
      <c r="C4" t="s">
        <v>29</v>
      </c>
    </row>
    <row r="5" spans="1:3" x14ac:dyDescent="0.25">
      <c r="C5" t="s">
        <v>30</v>
      </c>
    </row>
    <row r="6" spans="1:3" x14ac:dyDescent="0.25">
      <c r="B6" t="s">
        <v>18</v>
      </c>
      <c r="C6" t="s">
        <v>19</v>
      </c>
    </row>
    <row r="7" spans="1:3" x14ac:dyDescent="0.25">
      <c r="B7" t="s">
        <v>33</v>
      </c>
      <c r="C7" t="s">
        <v>34</v>
      </c>
    </row>
    <row r="8" spans="1:3" x14ac:dyDescent="0.25">
      <c r="C8" t="s">
        <v>35</v>
      </c>
    </row>
    <row r="9" spans="1:3" x14ac:dyDescent="0.25">
      <c r="B9" t="s">
        <v>54</v>
      </c>
      <c r="C9" t="s">
        <v>55</v>
      </c>
    </row>
    <row r="10" spans="1:3" x14ac:dyDescent="0.25">
      <c r="C10" t="s">
        <v>56</v>
      </c>
    </row>
    <row r="11" spans="1:3" x14ac:dyDescent="0.25">
      <c r="B11" t="s">
        <v>16</v>
      </c>
    </row>
    <row r="12" spans="1:3" ht="13" x14ac:dyDescent="0.3">
      <c r="C12" s="13" t="s">
        <v>25</v>
      </c>
    </row>
    <row r="13" spans="1:3" x14ac:dyDescent="0.25">
      <c r="C13" t="s">
        <v>28</v>
      </c>
    </row>
    <row r="14" spans="1:3" x14ac:dyDescent="0.25">
      <c r="C14" t="s">
        <v>36</v>
      </c>
    </row>
    <row r="15" spans="1:3" x14ac:dyDescent="0.25">
      <c r="C15" t="s">
        <v>31</v>
      </c>
    </row>
    <row r="16" spans="1:3" x14ac:dyDescent="0.25">
      <c r="C16" t="s">
        <v>32</v>
      </c>
    </row>
    <row r="17" spans="2:6" x14ac:dyDescent="0.25">
      <c r="C17" t="s">
        <v>22</v>
      </c>
    </row>
    <row r="18" spans="2:6" x14ac:dyDescent="0.25">
      <c r="C18" t="s">
        <v>27</v>
      </c>
    </row>
    <row r="19" spans="2:6" ht="13" x14ac:dyDescent="0.3">
      <c r="C19" s="12" t="s">
        <v>37</v>
      </c>
    </row>
    <row r="20" spans="2:6" ht="13" x14ac:dyDescent="0.3">
      <c r="C20" s="12" t="s">
        <v>38</v>
      </c>
    </row>
    <row r="21" spans="2:6" x14ac:dyDescent="0.25">
      <c r="C21" t="s">
        <v>26</v>
      </c>
    </row>
    <row r="23" spans="2:6" x14ac:dyDescent="0.25">
      <c r="C23" t="s">
        <v>59</v>
      </c>
    </row>
    <row r="24" spans="2:6" x14ac:dyDescent="0.25">
      <c r="C24" t="s">
        <v>58</v>
      </c>
    </row>
    <row r="25" spans="2:6" ht="13" x14ac:dyDescent="0.3">
      <c r="C25" s="12" t="s">
        <v>57</v>
      </c>
    </row>
    <row r="27" spans="2:6" x14ac:dyDescent="0.25">
      <c r="B27">
        <v>0</v>
      </c>
      <c r="C27">
        <v>1.2</v>
      </c>
      <c r="D27">
        <v>1.5</v>
      </c>
      <c r="E27">
        <v>1.5</v>
      </c>
      <c r="F27">
        <v>2.6</v>
      </c>
    </row>
    <row r="30" spans="2:6" ht="13" x14ac:dyDescent="0.3">
      <c r="C30" s="13" t="s">
        <v>21</v>
      </c>
    </row>
    <row r="31" spans="2:6" x14ac:dyDescent="0.25">
      <c r="C31" t="s">
        <v>24</v>
      </c>
    </row>
  </sheetData>
  <hyperlinks>
    <hyperlink ref="A1" location="Main!A1" display="Main" xr:uid="{B92359C9-F5F9-4BBB-9B07-E5430B615648}"/>
  </hyperlink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</vt:lpstr>
      <vt:lpstr>Model</vt:lpstr>
      <vt:lpstr>deramiocel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Shkreli</dc:creator>
  <cp:lastModifiedBy>Martin Shkreli</cp:lastModifiedBy>
  <dcterms:created xsi:type="dcterms:W3CDTF">2025-04-17T14:53:15Z</dcterms:created>
  <dcterms:modified xsi:type="dcterms:W3CDTF">2025-10-29T01:36:45Z</dcterms:modified>
</cp:coreProperties>
</file>