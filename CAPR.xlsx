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B0990E9-6BEA-488F-B5B4-3A92F0FAF46F}" xr6:coauthVersionLast="47" xr6:coauthVersionMax="47" xr10:uidLastSave="{00000000-0000-0000-0000-000000000000}"/>
  <bookViews>
    <workbookView xWindow="3490" yWindow="1800" windowWidth="23470" windowHeight="16810" xr2:uid="{BF14CAB3-0C0C-4694-B9CA-7CC550084526}"/>
  </bookViews>
  <sheets>
    <sheet name="Main" sheetId="1" r:id="rId1"/>
    <sheet name="Model" sheetId="2" r:id="rId2"/>
    <sheet name="deramioc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F10" i="1" s="1"/>
  <c r="I25" i="1"/>
  <c r="D30" i="1"/>
  <c r="E30" i="1" s="1"/>
  <c r="H30" i="1" s="1"/>
  <c r="I30" i="1" s="1"/>
  <c r="J30" i="1" s="1"/>
  <c r="F30" i="1" s="1"/>
  <c r="G30" i="1" s="1"/>
  <c r="B24" i="1" s="1"/>
  <c r="C24" i="1" s="1"/>
  <c r="D24" i="1" s="1"/>
  <c r="E24" i="1" s="1"/>
  <c r="F24" i="1" s="1"/>
  <c r="C31" i="1" s="1"/>
  <c r="B31" i="1" s="1"/>
  <c r="G24" i="1" s="1"/>
  <c r="H24" i="1" s="1"/>
  <c r="I24" i="1" s="1"/>
  <c r="B25" i="1" s="1"/>
  <c r="C25" i="1" s="1"/>
  <c r="D25" i="1" s="1"/>
  <c r="E25" i="1" s="1"/>
  <c r="F25" i="1" s="1"/>
  <c r="G25" i="1" s="1"/>
  <c r="H25" i="1" s="1"/>
  <c r="D31" i="1" s="1"/>
  <c r="E31" i="1" s="1"/>
  <c r="F31" i="1" s="1"/>
  <c r="G31" i="1" s="1"/>
  <c r="K16" i="1"/>
  <c r="J4" i="1"/>
  <c r="E21" i="1" l="1"/>
  <c r="F21" i="1" s="1"/>
  <c r="E18" i="1"/>
  <c r="F18" i="1" s="1"/>
  <c r="E15" i="1"/>
  <c r="F15" i="1" s="1"/>
  <c r="E13" i="1"/>
  <c r="F13" i="1" s="1"/>
  <c r="E20" i="1"/>
  <c r="F20" i="1" s="1"/>
  <c r="E19" i="1"/>
  <c r="F19" i="1" s="1"/>
  <c r="E17" i="1"/>
  <c r="F17" i="1" s="1"/>
  <c r="E16" i="1"/>
  <c r="F16" i="1" s="1"/>
  <c r="E14" i="1"/>
  <c r="F14" i="1" s="1"/>
  <c r="E11" i="1"/>
  <c r="F11" i="1" s="1"/>
  <c r="E12" i="1"/>
  <c r="F12" i="1" s="1"/>
  <c r="J18" i="1"/>
  <c r="K18" i="1" s="1"/>
  <c r="J17" i="1"/>
  <c r="K17" i="1" s="1"/>
  <c r="J7" i="1"/>
</calcChain>
</file>

<file path=xl/sharedStrings.xml><?xml version="1.0" encoding="utf-8"?>
<sst xmlns="http://schemas.openxmlformats.org/spreadsheetml/2006/main" count="72" uniqueCount="65">
  <si>
    <t>Price</t>
  </si>
  <si>
    <t>Shares</t>
  </si>
  <si>
    <t>MC</t>
  </si>
  <si>
    <t>Cash</t>
  </si>
  <si>
    <t>Debt</t>
  </si>
  <si>
    <t>EV</t>
  </si>
  <si>
    <t>Name</t>
  </si>
  <si>
    <t>deramiocel</t>
  </si>
  <si>
    <t>Indication</t>
  </si>
  <si>
    <t>DMD</t>
  </si>
  <si>
    <t>MOA</t>
  </si>
  <si>
    <t>Founded: 2005</t>
  </si>
  <si>
    <t>Merged with Nile</t>
  </si>
  <si>
    <t>Phase</t>
  </si>
  <si>
    <t>Brand</t>
  </si>
  <si>
    <t>Main</t>
  </si>
  <si>
    <t>Clinical Trials</t>
  </si>
  <si>
    <t>Q424</t>
  </si>
  <si>
    <t>Administration</t>
  </si>
  <si>
    <t>IV</t>
  </si>
  <si>
    <t>dermaiocel, fka CAP-1002</t>
  </si>
  <si>
    <t>Phase I "HOPE" n=13 DMD</t>
  </si>
  <si>
    <t>PE: Performance of Upper Limb. Baseline was 2-5.</t>
  </si>
  <si>
    <t>allogeneic exosomes/"CDCs"</t>
  </si>
  <si>
    <t>one-time administration delivered via coronary artery catheterisation</t>
  </si>
  <si>
    <t>Phase II "HOPE-2" n=20 late-stage DMD - NCT03406780, Lancet 2022.</t>
  </si>
  <si>
    <t>Mean 12-month change from baseline was 36.2% percentile difference, or 2.6 points, p=0.014.</t>
  </si>
  <si>
    <t>4 dose course, every 3 months.</t>
  </si>
  <si>
    <t>3/1/18 to 3/21/20 enrollment, 7 sites (UC Davis, CHOP, NCH). 10MW &gt;10sec or non-ambulatory</t>
  </si>
  <si>
    <t xml:space="preserve">  CDCs secrete exosomes which have miR-146a and miR-181b and Y RNA fragments</t>
  </si>
  <si>
    <t xml:space="preserve">  Theoretically these RNA change gene expression in macrophages</t>
  </si>
  <si>
    <t xml:space="preserve">  planned for 84 patients, FDA recommended transitioning to a phase 3.</t>
  </si>
  <si>
    <t xml:space="preserve">  interim analysis for futility was looked at and enrollment paused by Capricor due to 'funding constraints'</t>
  </si>
  <si>
    <t>Manufacturing</t>
  </si>
  <si>
    <t>two donor hearts, culture myocardial tissue to create CDCs. 12 lots of CDCs are formulated as CAP-1002.</t>
  </si>
  <si>
    <t>CDCs are identified by high CD105 and low CD45 expression.</t>
  </si>
  <si>
    <t>26 screened, 20 assigned/randomized, 19 had a post-treatment PUL 1.2 assessment (8 CAP, 11 placebo)</t>
  </si>
  <si>
    <t>3 IV hypersensitivity reactions, 1 discontinuation after receiving a partial infusion at month 3, resulting in 7 followed for full 12 months.</t>
  </si>
  <si>
    <t>3 patients in the placebo arm discontinued: n=2 after 2 infusions and n=1 after 1 infusion, resulting in 9 followed for full 12 months.</t>
  </si>
  <si>
    <t>Q125</t>
  </si>
  <si>
    <t>PIC</t>
  </si>
  <si>
    <t>AD</t>
  </si>
  <si>
    <t>Revenue</t>
  </si>
  <si>
    <t>Q123</t>
  </si>
  <si>
    <t>Q223</t>
  </si>
  <si>
    <t>Q323</t>
  </si>
  <si>
    <t>Q423</t>
  </si>
  <si>
    <t>Q124</t>
  </si>
  <si>
    <t>Q224</t>
  </si>
  <si>
    <t>Q324</t>
  </si>
  <si>
    <t>Q225</t>
  </si>
  <si>
    <t>Q325</t>
  </si>
  <si>
    <t>Q425</t>
  </si>
  <si>
    <t>CFFO</t>
  </si>
  <si>
    <t>PK</t>
  </si>
  <si>
    <t>6-9B heart cells, 2-3B cardiomyocytes</t>
  </si>
  <si>
    <t>150m cells by IV --&gt; only 0.15% ever reach the heart? T1/2 = 24h?</t>
  </si>
  <si>
    <t>3 months: 1.2, 6 months: 1.5, 9 months: 1.5, 12 months: 2.6</t>
  </si>
  <si>
    <t>CAP-1002 at 12 months: 65.5 (10.8 SE, 31SD) -0.75 (2.6 delta)</t>
  </si>
  <si>
    <t>placebo at 12 months: 29.3 (9.2 SE, 32 SD) - -3.36</t>
  </si>
  <si>
    <t>Cash/share</t>
  </si>
  <si>
    <t>Below Cash</t>
  </si>
  <si>
    <t>Current Cash/share</t>
  </si>
  <si>
    <t>FV</t>
  </si>
  <si>
    <t>Phase III "HOPE-3" n=103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</si>
</sst>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0" fontId="0" fillId="0" borderId="1" xfId="0" quotePrefix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1"/>
    <xf numFmtId="0" fontId="1" fillId="0" borderId="0" xfId="0" applyFont="1"/>
    <xf numFmtId="0" fontId="3" fillId="0" borderId="0" xfId="0" applyFont="1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" fontId="0" fillId="0" borderId="0" xfId="0" applyNumberFormat="1"/>
    <xf numFmtId="9" fontId="0" fillId="0" borderId="0" xfId="0" applyNumberFormat="1"/>
    <xf numFmtId="3" fontId="1" fillId="0" borderId="0" xfId="0" applyNumberFormat="1" applyFont="1"/>
    <xf numFmtId="3" fontId="0" fillId="2" borderId="0" xfId="0" applyNumberFormat="1" applyFill="1"/>
    <xf numFmtId="3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66B8461-0EBC-4DC1-A3B2-45E3A7A68D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deramiocel!$B$33:$F$33</c:f>
              <c:numCache>
                <c:formatCode>General</c:formatCode>
                <c:ptCount val="5"/>
                <c:pt idx="0">
                  <c:v>0</c:v>
                </c:pt>
                <c:pt idx="1">
                  <c:v>1.2</c:v>
                </c:pt>
                <c:pt idx="2">
                  <c:v>1.5</c:v>
                </c:pt>
                <c:pt idx="3">
                  <c:v>1.5</c:v>
                </c:pt>
                <c:pt idx="4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6-4B16-8854-6C9DBE8FF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493696"/>
        <c:axId val="1467490816"/>
      </c:lineChart>
      <c:catAx>
        <c:axId val="1467493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90816"/>
        <c:crosses val="autoZero"/>
        <c:auto val="1"/>
        <c:lblAlgn val="ctr"/>
        <c:lblOffset val="100"/>
        <c:noMultiLvlLbl val="0"/>
      </c:catAx>
      <c:valAx>
        <c:axId val="14674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9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65484</xdr:colOff>
      <xdr:row>37</xdr:row>
      <xdr:rowOff>140493</xdr:rowOff>
    </xdr:from>
    <xdr:to>
      <xdr:col>9</xdr:col>
      <xdr:colOff>188516</xdr:colOff>
      <xdr:row>55</xdr:row>
      <xdr:rowOff>26193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078B9A-6F8C-57D0-7E7F-40DD1BBCF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241525</xdr:colOff>
      <xdr:row>62</xdr:row>
      <xdr:rowOff>38847</xdr:rowOff>
    </xdr:from>
    <xdr:to>
      <xdr:col>11</xdr:col>
      <xdr:colOff>111732</xdr:colOff>
      <xdr:row>85</xdr:row>
      <xdr:rowOff>66579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09242F-4D13-321D-1D4B-3A95326CF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1407" y="8861612"/>
          <a:ext cx="5555325" cy="3636026"/>
        </a:xfrm>
        <a:prstGeom prst="rect">
          <a:avLst/>
        </a:prstGeom>
      </xdr:spPr>
    </xdr:pic>
    <xdr:clientData/>
  </xdr:twoCellAnchor>
  <xdr:twoCellAnchor editAs="oneCell">
    <xdr:from>
      <xdr:col>16</xdr:col>
      <xdr:colOff>51458</xdr:colOff>
      <xdr:row>12</xdr:row>
      <xdr:rowOff>115841</xdr:rowOff>
    </xdr:from>
    <xdr:to>
      <xdr:col>27</xdr:col>
      <xdr:colOff>403714</xdr:colOff>
      <xdr:row>41</xdr:row>
      <xdr:rowOff>115841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A8A122-7C51-1A38-08E3-7F996CDE2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52708" y="2027191"/>
          <a:ext cx="7057856" cy="4635500"/>
        </a:xfrm>
        <a:prstGeom prst="rect">
          <a:avLst/>
        </a:prstGeom>
      </xdr:spPr>
    </xdr:pic>
    <xdr:clientData/>
  </xdr:twoCellAnchor>
  <xdr:twoCellAnchor editAs="oneCell">
    <xdr:from>
      <xdr:col>12</xdr:col>
      <xdr:colOff>347345</xdr:colOff>
      <xdr:row>47</xdr:row>
      <xdr:rowOff>135592</xdr:rowOff>
    </xdr:from>
    <xdr:to>
      <xdr:col>24</xdr:col>
      <xdr:colOff>151936</xdr:colOff>
      <xdr:row>83</xdr:row>
      <xdr:rowOff>95669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DF4770-410D-7527-4B99-45C144006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0195" y="6676092"/>
          <a:ext cx="7119791" cy="5675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6C82-AED4-4D1E-B69C-D638906C4BC1}">
  <dimension ref="B2:O31"/>
  <sheetViews>
    <sheetView tabSelected="1" zoomScale="145" zoomScaleNormal="145" workbookViewId="0">
      <selection activeCell="E11" sqref="E11"/>
    </sheetView>
  </sheetViews>
  <sheetFormatPr defaultRowHeight="12.5" x14ac:dyDescent="0.25"/>
  <cols>
    <col min="1" max="1" width="3.7265625" customWidth="1"/>
    <col min="2" max="2" width="10.54296875" customWidth="1"/>
    <col min="3" max="3" width="9.26953125" customWidth="1"/>
    <col min="9" max="9" width="16.6328125" customWidth="1"/>
    <col min="13" max="13" width="11.54296875" bestFit="1" customWidth="1"/>
    <col min="14" max="14" width="9.36328125" customWidth="1"/>
    <col min="15" max="15" width="9.54296875" bestFit="1" customWidth="1"/>
  </cols>
  <sheetData>
    <row r="2" spans="2:15" x14ac:dyDescent="0.25">
      <c r="B2" s="8" t="s">
        <v>6</v>
      </c>
      <c r="C2" s="9" t="s">
        <v>8</v>
      </c>
      <c r="D2" s="9" t="s">
        <v>10</v>
      </c>
      <c r="E2" s="9" t="s">
        <v>13</v>
      </c>
      <c r="F2" s="9"/>
      <c r="G2" s="10"/>
      <c r="I2" t="s">
        <v>0</v>
      </c>
      <c r="J2" s="1">
        <v>1.79</v>
      </c>
      <c r="M2" s="14"/>
    </row>
    <row r="3" spans="2:15" x14ac:dyDescent="0.25">
      <c r="B3" s="2" t="s">
        <v>7</v>
      </c>
      <c r="C3" t="s">
        <v>9</v>
      </c>
      <c r="G3" s="3"/>
      <c r="I3" t="s">
        <v>1</v>
      </c>
      <c r="J3" s="14">
        <v>45.716974999999998</v>
      </c>
      <c r="K3" s="15" t="s">
        <v>51</v>
      </c>
      <c r="M3" s="14"/>
    </row>
    <row r="4" spans="2:15" x14ac:dyDescent="0.25">
      <c r="B4" s="4"/>
      <c r="G4" s="3"/>
      <c r="I4" t="s">
        <v>2</v>
      </c>
      <c r="J4" s="14">
        <f>+J2*J3</f>
        <v>81.833385249999992</v>
      </c>
      <c r="K4" s="15"/>
    </row>
    <row r="5" spans="2:15" x14ac:dyDescent="0.25">
      <c r="B5" s="4"/>
      <c r="G5" s="3"/>
      <c r="I5" t="s">
        <v>3</v>
      </c>
      <c r="J5" s="14">
        <v>99</v>
      </c>
      <c r="K5" s="15" t="s">
        <v>51</v>
      </c>
    </row>
    <row r="6" spans="2:15" x14ac:dyDescent="0.25">
      <c r="B6" s="5"/>
      <c r="C6" s="6"/>
      <c r="D6" s="6"/>
      <c r="E6" s="6"/>
      <c r="F6" s="6"/>
      <c r="G6" s="7"/>
      <c r="I6" t="s">
        <v>4</v>
      </c>
      <c r="J6" s="14">
        <v>0</v>
      </c>
      <c r="K6" s="15" t="s">
        <v>51</v>
      </c>
    </row>
    <row r="7" spans="2:15" x14ac:dyDescent="0.25">
      <c r="I7" t="s">
        <v>5</v>
      </c>
      <c r="J7" s="14">
        <f>+J4-J5+J6</f>
        <v>-17.166614750000008</v>
      </c>
    </row>
    <row r="8" spans="2:15" x14ac:dyDescent="0.25">
      <c r="H8" s="1"/>
    </row>
    <row r="9" spans="2:15" x14ac:dyDescent="0.25">
      <c r="E9" t="s">
        <v>63</v>
      </c>
      <c r="I9" t="s">
        <v>40</v>
      </c>
      <c r="J9" s="14">
        <v>353.68069400000002</v>
      </c>
      <c r="K9" s="15" t="s">
        <v>51</v>
      </c>
    </row>
    <row r="10" spans="2:15" x14ac:dyDescent="0.25">
      <c r="B10" s="18">
        <v>46010</v>
      </c>
      <c r="C10" s="1">
        <v>1</v>
      </c>
      <c r="D10" s="1">
        <v>0.09</v>
      </c>
      <c r="E10" s="1">
        <f>IF((C10-$J$16)&gt;0,(C10-$J$16),0)</f>
        <v>0</v>
      </c>
      <c r="F10" s="19">
        <f t="shared" ref="F10:F20" si="0">+E10/D10-1</f>
        <v>-1</v>
      </c>
      <c r="I10" t="s">
        <v>41</v>
      </c>
      <c r="J10" s="14">
        <v>-250.13692399999999</v>
      </c>
      <c r="K10" s="15" t="s">
        <v>51</v>
      </c>
    </row>
    <row r="11" spans="2:15" x14ac:dyDescent="0.25">
      <c r="B11" s="18">
        <v>46010</v>
      </c>
      <c r="C11" s="1">
        <v>2.5</v>
      </c>
      <c r="D11" s="1">
        <v>0.6</v>
      </c>
      <c r="E11" s="1">
        <f t="shared" ref="E10:E21" si="1">IF((C11-$J$16)&gt;0,(C11-$J$16),0)</f>
        <v>1.19</v>
      </c>
      <c r="F11" s="19">
        <f>+E11/D11-1</f>
        <v>0.98333333333333339</v>
      </c>
      <c r="H11" s="1"/>
    </row>
    <row r="12" spans="2:15" x14ac:dyDescent="0.25">
      <c r="B12" s="18">
        <v>46010</v>
      </c>
      <c r="C12" s="1">
        <v>4</v>
      </c>
      <c r="D12" s="1">
        <v>1.5249999999999999</v>
      </c>
      <c r="E12" s="1">
        <f t="shared" si="1"/>
        <v>2.69</v>
      </c>
      <c r="F12" s="19">
        <f t="shared" si="0"/>
        <v>0.76393442622950825</v>
      </c>
      <c r="H12" s="1"/>
      <c r="I12" t="s">
        <v>11</v>
      </c>
    </row>
    <row r="13" spans="2:15" x14ac:dyDescent="0.25">
      <c r="B13" s="18">
        <v>46010</v>
      </c>
      <c r="C13" s="1">
        <v>5</v>
      </c>
      <c r="D13" s="1">
        <v>2.2000000000000002</v>
      </c>
      <c r="E13" s="1">
        <f t="shared" si="1"/>
        <v>3.69</v>
      </c>
      <c r="F13" s="19">
        <f t="shared" si="0"/>
        <v>0.67727272727272703</v>
      </c>
      <c r="I13" t="s">
        <v>12</v>
      </c>
    </row>
    <row r="14" spans="2:15" x14ac:dyDescent="0.25">
      <c r="B14" s="18">
        <v>46010</v>
      </c>
      <c r="C14" s="1">
        <v>6</v>
      </c>
      <c r="D14" s="1">
        <v>2.9750000000000001</v>
      </c>
      <c r="E14" s="1">
        <f t="shared" si="1"/>
        <v>4.6899999999999995</v>
      </c>
      <c r="F14" s="19">
        <f t="shared" si="0"/>
        <v>0.57647058823529385</v>
      </c>
      <c r="N14" s="19"/>
      <c r="O14" s="19"/>
    </row>
    <row r="15" spans="2:15" x14ac:dyDescent="0.25">
      <c r="B15" s="18">
        <v>46010</v>
      </c>
      <c r="C15" s="1">
        <v>7.5</v>
      </c>
      <c r="D15" s="1">
        <v>4.05</v>
      </c>
      <c r="E15" s="1">
        <f t="shared" si="1"/>
        <v>6.1899999999999995</v>
      </c>
      <c r="F15" s="19">
        <f t="shared" si="0"/>
        <v>0.52839506172839501</v>
      </c>
      <c r="K15" s="19"/>
      <c r="M15" s="14"/>
      <c r="N15" s="14"/>
      <c r="O15" s="14"/>
    </row>
    <row r="16" spans="2:15" ht="13" x14ac:dyDescent="0.3">
      <c r="B16" s="18">
        <v>46010</v>
      </c>
      <c r="C16" s="1">
        <v>9</v>
      </c>
      <c r="D16" s="1">
        <v>4.9000000000000004</v>
      </c>
      <c r="E16" s="1">
        <f t="shared" si="1"/>
        <v>7.6899999999999995</v>
      </c>
      <c r="F16" s="19">
        <f t="shared" si="0"/>
        <v>0.56938775510204054</v>
      </c>
      <c r="I16" t="s">
        <v>60</v>
      </c>
      <c r="J16" s="1">
        <v>1.31</v>
      </c>
      <c r="K16" s="19">
        <f>+J16/$J$2-1</f>
        <v>-0.26815642458100553</v>
      </c>
      <c r="M16" s="14"/>
      <c r="N16" s="20"/>
      <c r="O16" s="14"/>
    </row>
    <row r="17" spans="2:15" x14ac:dyDescent="0.25">
      <c r="B17" s="18">
        <v>46010</v>
      </c>
      <c r="C17" s="1">
        <v>10</v>
      </c>
      <c r="D17" s="1">
        <v>5.9</v>
      </c>
      <c r="E17" s="1">
        <f t="shared" si="1"/>
        <v>8.69</v>
      </c>
      <c r="F17" s="19">
        <f t="shared" si="0"/>
        <v>0.47288135593220315</v>
      </c>
      <c r="I17" t="s">
        <v>62</v>
      </c>
      <c r="J17" s="1">
        <f>(J5-13-4)/J3</f>
        <v>1.7936444832581333</v>
      </c>
      <c r="K17" s="19">
        <f>+J17/$J$2-1</f>
        <v>2.0360241665549061E-3</v>
      </c>
      <c r="M17" s="14"/>
      <c r="N17" s="14"/>
      <c r="O17" s="14"/>
    </row>
    <row r="18" spans="2:15" ht="13" x14ac:dyDescent="0.3">
      <c r="B18" s="18">
        <v>46010</v>
      </c>
      <c r="C18" s="1">
        <v>11</v>
      </c>
      <c r="D18" s="1">
        <v>6.6</v>
      </c>
      <c r="E18" s="1">
        <f t="shared" si="1"/>
        <v>9.69</v>
      </c>
      <c r="F18" s="19">
        <f t="shared" si="0"/>
        <v>0.46818181818181825</v>
      </c>
      <c r="I18" t="s">
        <v>61</v>
      </c>
      <c r="J18" s="1">
        <f>(J5-13-26)/J3</f>
        <v>1.3124227926279024</v>
      </c>
      <c r="K18" s="19">
        <f>+J18/$J$2-1</f>
        <v>-0.26680290914642324</v>
      </c>
      <c r="M18" s="14"/>
      <c r="N18" s="14"/>
      <c r="O18" s="20"/>
    </row>
    <row r="19" spans="2:15" x14ac:dyDescent="0.25">
      <c r="B19" s="18">
        <v>46010</v>
      </c>
      <c r="C19" s="1">
        <v>12.5</v>
      </c>
      <c r="D19" s="1">
        <v>7.6</v>
      </c>
      <c r="E19" s="1">
        <f t="shared" si="1"/>
        <v>11.19</v>
      </c>
      <c r="F19" s="19">
        <f t="shared" si="0"/>
        <v>0.47236842105263155</v>
      </c>
    </row>
    <row r="20" spans="2:15" x14ac:dyDescent="0.25">
      <c r="B20" s="18">
        <v>46010</v>
      </c>
      <c r="C20" s="1">
        <v>15</v>
      </c>
      <c r="D20" s="1">
        <v>9.4</v>
      </c>
      <c r="E20" s="1">
        <f t="shared" si="1"/>
        <v>13.69</v>
      </c>
      <c r="F20" s="19">
        <f t="shared" si="0"/>
        <v>0.45638297872340416</v>
      </c>
    </row>
    <row r="21" spans="2:15" x14ac:dyDescent="0.25">
      <c r="B21" s="18">
        <v>46010</v>
      </c>
      <c r="C21" s="1">
        <v>17.5</v>
      </c>
      <c r="D21" s="1">
        <v>12</v>
      </c>
      <c r="E21" s="1">
        <f t="shared" si="1"/>
        <v>16.190000000000001</v>
      </c>
      <c r="F21" s="19">
        <f>+E21/D21-1</f>
        <v>0.34916666666666685</v>
      </c>
    </row>
    <row r="24" spans="2:15" x14ac:dyDescent="0.25">
      <c r="B24" s="21">
        <f>+G30+1</f>
        <v>10</v>
      </c>
      <c r="C24" s="21">
        <f t="shared" ref="C24:F25" si="2">+B24+1</f>
        <v>11</v>
      </c>
      <c r="D24" s="21">
        <f t="shared" si="2"/>
        <v>12</v>
      </c>
      <c r="E24" s="21">
        <f t="shared" si="2"/>
        <v>13</v>
      </c>
      <c r="F24" s="21">
        <f t="shared" si="2"/>
        <v>14</v>
      </c>
      <c r="G24" s="22">
        <f>+B31+1</f>
        <v>17</v>
      </c>
      <c r="H24" s="22">
        <f>+G24+1</f>
        <v>18</v>
      </c>
      <c r="I24" s="22">
        <f>+H24+1</f>
        <v>19</v>
      </c>
    </row>
    <row r="25" spans="2:15" x14ac:dyDescent="0.25">
      <c r="B25" s="22">
        <f>+I24+1</f>
        <v>20</v>
      </c>
      <c r="C25" s="22">
        <f t="shared" si="2"/>
        <v>21</v>
      </c>
      <c r="D25" s="22">
        <f t="shared" si="2"/>
        <v>22</v>
      </c>
      <c r="E25" s="22">
        <f t="shared" si="2"/>
        <v>23</v>
      </c>
      <c r="F25" s="22">
        <f t="shared" si="2"/>
        <v>24</v>
      </c>
      <c r="G25" s="22">
        <f>+F25+1</f>
        <v>25</v>
      </c>
      <c r="H25" s="22">
        <f>+G25+1</f>
        <v>26</v>
      </c>
      <c r="I25" s="22">
        <f>+H25+2</f>
        <v>28</v>
      </c>
    </row>
    <row r="26" spans="2:15" x14ac:dyDescent="0.25">
      <c r="B26" s="22">
        <v>1</v>
      </c>
      <c r="C26" s="22">
        <v>2</v>
      </c>
      <c r="D26" s="22">
        <v>3</v>
      </c>
      <c r="E26" s="22">
        <v>4</v>
      </c>
      <c r="F26" s="22">
        <v>5</v>
      </c>
    </row>
    <row r="30" spans="2:15" x14ac:dyDescent="0.25">
      <c r="B30" s="21">
        <v>1</v>
      </c>
      <c r="C30" s="21">
        <v>2</v>
      </c>
      <c r="D30" s="21">
        <f>+C30+1</f>
        <v>3</v>
      </c>
      <c r="E30" s="21">
        <f>+D30+1</f>
        <v>4</v>
      </c>
      <c r="F30" s="21">
        <f>+J30+1</f>
        <v>8</v>
      </c>
      <c r="G30" s="21">
        <f>+F30+1</f>
        <v>9</v>
      </c>
      <c r="H30" s="21">
        <f>+E30+1</f>
        <v>5</v>
      </c>
      <c r="I30" s="21">
        <f>+H30+1</f>
        <v>6</v>
      </c>
      <c r="J30" s="21">
        <f>+I30+1</f>
        <v>7</v>
      </c>
    </row>
    <row r="31" spans="2:15" x14ac:dyDescent="0.25">
      <c r="B31" s="21">
        <f>+C31+1</f>
        <v>16</v>
      </c>
      <c r="C31" s="21">
        <f>+F24+1</f>
        <v>15</v>
      </c>
      <c r="D31" s="21">
        <f>+H25+1</f>
        <v>27</v>
      </c>
      <c r="E31" s="21">
        <f>+D31+1</f>
        <v>28</v>
      </c>
      <c r="F31" s="21">
        <f>+E31+1</f>
        <v>29</v>
      </c>
      <c r="G31" s="21">
        <f>+F31+1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7A31-D5D6-4383-8581-002AD62CC3D3}">
  <dimension ref="A1:N1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5" x14ac:dyDescent="0.25"/>
  <cols>
    <col min="1" max="1" width="4.6328125" bestFit="1" customWidth="1"/>
    <col min="3" max="14" width="8.7265625" style="15"/>
  </cols>
  <sheetData>
    <row r="1" spans="1:14" x14ac:dyDescent="0.25">
      <c r="A1" s="11" t="s">
        <v>15</v>
      </c>
    </row>
    <row r="2" spans="1:14" x14ac:dyDescent="0.25">
      <c r="C2" s="15" t="s">
        <v>43</v>
      </c>
      <c r="D2" s="15" t="s">
        <v>44</v>
      </c>
      <c r="E2" s="15" t="s">
        <v>45</v>
      </c>
      <c r="F2" s="15" t="s">
        <v>46</v>
      </c>
      <c r="G2" s="15" t="s">
        <v>47</v>
      </c>
      <c r="H2" s="15" t="s">
        <v>48</v>
      </c>
      <c r="I2" s="15" t="s">
        <v>49</v>
      </c>
      <c r="J2" s="15" t="s">
        <v>17</v>
      </c>
      <c r="K2" s="15" t="s">
        <v>39</v>
      </c>
      <c r="L2" s="15" t="s">
        <v>50</v>
      </c>
      <c r="M2" s="15" t="s">
        <v>51</v>
      </c>
      <c r="N2" s="15" t="s">
        <v>52</v>
      </c>
    </row>
    <row r="3" spans="1:14" x14ac:dyDescent="0.25">
      <c r="B3" t="s">
        <v>42</v>
      </c>
    </row>
    <row r="13" spans="1:14" s="16" customFormat="1" x14ac:dyDescent="0.25">
      <c r="B13" s="16" t="s">
        <v>53</v>
      </c>
      <c r="C13" s="17"/>
      <c r="D13" s="17"/>
      <c r="E13" s="17"/>
      <c r="F13" s="17"/>
      <c r="G13" s="17">
        <v>-1.26844</v>
      </c>
      <c r="H13" s="17"/>
      <c r="I13" s="17"/>
      <c r="J13" s="17"/>
      <c r="K13" s="17">
        <v>-6.4335199999999997</v>
      </c>
      <c r="L13" s="17"/>
      <c r="M13" s="17"/>
      <c r="N13" s="17"/>
    </row>
  </sheetData>
  <hyperlinks>
    <hyperlink ref="A1" location="Main!A1" display="Main" xr:uid="{3A728F07-9E77-4091-A515-4A358B92A2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139D-9143-47B3-84C4-3BE05C923E9F}">
  <dimension ref="A1:F37"/>
  <sheetViews>
    <sheetView zoomScaleNormal="100" workbookViewId="0">
      <selection activeCell="M14" sqref="M14"/>
    </sheetView>
  </sheetViews>
  <sheetFormatPr defaultRowHeight="12.5" x14ac:dyDescent="0.25"/>
  <cols>
    <col min="1" max="1" width="5" bestFit="1" customWidth="1"/>
    <col min="2" max="2" width="13.54296875" customWidth="1"/>
    <col min="3" max="3" width="11.1796875" customWidth="1"/>
  </cols>
  <sheetData>
    <row r="1" spans="1:3" x14ac:dyDescent="0.25">
      <c r="A1" s="11" t="s">
        <v>15</v>
      </c>
    </row>
    <row r="2" spans="1:3" x14ac:dyDescent="0.25">
      <c r="B2" t="s">
        <v>14</v>
      </c>
      <c r="C2" t="s">
        <v>20</v>
      </c>
    </row>
    <row r="3" spans="1:3" x14ac:dyDescent="0.25">
      <c r="B3" t="s">
        <v>10</v>
      </c>
      <c r="C3" t="s">
        <v>23</v>
      </c>
    </row>
    <row r="4" spans="1:3" x14ac:dyDescent="0.25">
      <c r="C4" t="s">
        <v>29</v>
      </c>
    </row>
    <row r="5" spans="1:3" x14ac:dyDescent="0.25">
      <c r="C5" t="s">
        <v>30</v>
      </c>
    </row>
    <row r="6" spans="1:3" x14ac:dyDescent="0.25">
      <c r="B6" t="s">
        <v>18</v>
      </c>
      <c r="C6" t="s">
        <v>19</v>
      </c>
    </row>
    <row r="7" spans="1:3" x14ac:dyDescent="0.25">
      <c r="B7" t="s">
        <v>33</v>
      </c>
      <c r="C7" t="s">
        <v>34</v>
      </c>
    </row>
    <row r="8" spans="1:3" x14ac:dyDescent="0.25">
      <c r="C8" t="s">
        <v>35</v>
      </c>
    </row>
    <row r="9" spans="1:3" x14ac:dyDescent="0.25">
      <c r="B9" t="s">
        <v>54</v>
      </c>
      <c r="C9" t="s">
        <v>55</v>
      </c>
    </row>
    <row r="10" spans="1:3" x14ac:dyDescent="0.25">
      <c r="C10" t="s">
        <v>56</v>
      </c>
    </row>
    <row r="11" spans="1:3" x14ac:dyDescent="0.25">
      <c r="B11" t="s">
        <v>16</v>
      </c>
    </row>
    <row r="12" spans="1:3" ht="13" x14ac:dyDescent="0.3">
      <c r="C12" s="13" t="s">
        <v>64</v>
      </c>
    </row>
    <row r="18" spans="3:3" ht="13" x14ac:dyDescent="0.3">
      <c r="C18" s="13" t="s">
        <v>25</v>
      </c>
    </row>
    <row r="19" spans="3:3" x14ac:dyDescent="0.25">
      <c r="C19" t="s">
        <v>28</v>
      </c>
    </row>
    <row r="20" spans="3:3" x14ac:dyDescent="0.25">
      <c r="C20" t="s">
        <v>36</v>
      </c>
    </row>
    <row r="21" spans="3:3" x14ac:dyDescent="0.25">
      <c r="C21" t="s">
        <v>31</v>
      </c>
    </row>
    <row r="22" spans="3:3" x14ac:dyDescent="0.25">
      <c r="C22" t="s">
        <v>32</v>
      </c>
    </row>
    <row r="23" spans="3:3" x14ac:dyDescent="0.25">
      <c r="C23" t="s">
        <v>22</v>
      </c>
    </row>
    <row r="24" spans="3:3" x14ac:dyDescent="0.25">
      <c r="C24" t="s">
        <v>27</v>
      </c>
    </row>
    <row r="25" spans="3:3" ht="13" x14ac:dyDescent="0.3">
      <c r="C25" s="12" t="s">
        <v>37</v>
      </c>
    </row>
    <row r="26" spans="3:3" ht="13" x14ac:dyDescent="0.3">
      <c r="C26" s="12" t="s">
        <v>38</v>
      </c>
    </row>
    <row r="27" spans="3:3" x14ac:dyDescent="0.25">
      <c r="C27" t="s">
        <v>26</v>
      </c>
    </row>
    <row r="29" spans="3:3" x14ac:dyDescent="0.25">
      <c r="C29" t="s">
        <v>59</v>
      </c>
    </row>
    <row r="30" spans="3:3" x14ac:dyDescent="0.25">
      <c r="C30" t="s">
        <v>58</v>
      </c>
    </row>
    <row r="31" spans="3:3" ht="13" x14ac:dyDescent="0.3">
      <c r="C31" s="12" t="s">
        <v>57</v>
      </c>
    </row>
    <row r="33" spans="2:6" x14ac:dyDescent="0.25">
      <c r="B33">
        <v>0</v>
      </c>
      <c r="C33">
        <v>1.2</v>
      </c>
      <c r="D33">
        <v>1.5</v>
      </c>
      <c r="E33">
        <v>1.5</v>
      </c>
      <c r="F33">
        <v>2.6</v>
      </c>
    </row>
    <row r="36" spans="2:6" ht="13" x14ac:dyDescent="0.3">
      <c r="C36" s="13" t="s">
        <v>21</v>
      </c>
    </row>
    <row r="37" spans="2:6" x14ac:dyDescent="0.25">
      <c r="C37" t="s">
        <v>24</v>
      </c>
    </row>
  </sheetData>
  <hyperlinks>
    <hyperlink ref="A1" location="Main!A1" display="Main" xr:uid="{B92359C9-F5F9-4BBB-9B07-E5430B615648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deramiocel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2025-04-17T14:53:15Z</dcterms:created>
  <dcterms:modified xsi:type="dcterms:W3CDTF">2025-11-11T20:49:53Z</dcterms:modified>
</cp:coreProperties>
</file>